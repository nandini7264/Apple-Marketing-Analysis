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pivotTables/pivotTable11.xml" ContentType="application/vnd.openxmlformats-officedocument.spreadsheetml.pivot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pivotTables/pivotTable12.xml" ContentType="application/vnd.openxmlformats-officedocument.spreadsheetml.pivot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pivotTables/pivotTable1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Nandini\Downloads\"/>
    </mc:Choice>
  </mc:AlternateContent>
  <xr:revisionPtr revIDLastSave="0" documentId="13_ncr:1_{647315C2-4ACF-4924-B9F3-DBC185C6E96E}" xr6:coauthVersionLast="47" xr6:coauthVersionMax="47" xr10:uidLastSave="{00000000-0000-0000-0000-000000000000}"/>
  <bookViews>
    <workbookView xWindow="-108" yWindow="-108" windowWidth="23256" windowHeight="12456" activeTab="5" xr2:uid="{DB46E21B-05E5-4A9D-BA19-295B80C718A5}"/>
  </bookViews>
  <sheets>
    <sheet name="Posts" sheetId="4" r:id="rId1"/>
    <sheet name="Engagement Summary" sheetId="5" r:id="rId2"/>
    <sheet name="Campaign Management" sheetId="6" r:id="rId3"/>
    <sheet name="Task 1" sheetId="8" r:id="rId4"/>
    <sheet name="Task 2" sheetId="10" r:id="rId5"/>
    <sheet name="Task 2.3.1" sheetId="12" r:id="rId6"/>
    <sheet name="Task 2.3.2" sheetId="13" r:id="rId7"/>
    <sheet name="Task 2.4" sheetId="15" r:id="rId8"/>
    <sheet name="Task 2.4.1" sheetId="16" r:id="rId9"/>
    <sheet name="Task 3.1" sheetId="17" r:id="rId10"/>
    <sheet name="Task 3.2 &amp; 3.4" sheetId="19" r:id="rId11"/>
    <sheet name="Task 4" sheetId="20" r:id="rId12"/>
    <sheet name="Task 5.1.1" sheetId="21" r:id="rId13"/>
    <sheet name="Task 5.2.1" sheetId="28" r:id="rId14"/>
    <sheet name="Task 5.2.2" sheetId="29" r:id="rId15"/>
    <sheet name="Task 6.1" sheetId="22" r:id="rId16"/>
    <sheet name="Task 6.2" sheetId="23" r:id="rId17"/>
    <sheet name="Task 6.4" sheetId="24" r:id="rId18"/>
    <sheet name="Task 7" sheetId="33" r:id="rId19"/>
  </sheets>
  <definedNames>
    <definedName name="ExternalData_1" localSheetId="2" hidden="1">'Campaign Management'!$A$1:$G$6</definedName>
    <definedName name="ExternalData_1" localSheetId="1" hidden="1">'Engagement Summary'!$A$1:$G$201</definedName>
    <definedName name="ExternalData_1" localSheetId="0" hidden="1">Posts!$A$1:$L$301</definedName>
    <definedName name="ExternalData_1" localSheetId="7" hidden="1">'Task 2.4'!$A$1:$M$568</definedName>
    <definedName name="ExternalData_1" localSheetId="9" hidden="1">'Task 3.1'!$A$1:$M$568</definedName>
    <definedName name="ExternalData_1" localSheetId="10" hidden="1">'Task 3.2 &amp; 3.4'!$A$1:$G$201</definedName>
    <definedName name="ExternalData_1" localSheetId="11" hidden="1">'Task 4'!$A$1:$M$568</definedName>
    <definedName name="ExternalData_1" localSheetId="13" hidden="1">'Task 5.2.1'!$A$1:$G$6</definedName>
    <definedName name="ExternalData_1" localSheetId="14" hidden="1">'Task 5.2.2'!$A$1:$G$201</definedName>
    <definedName name="ExternalData_2" localSheetId="3" hidden="1">'Task 1'!$A$1:$L$568</definedName>
    <definedName name="ExternalData_2" localSheetId="4" hidden="1">'Task 2'!$A$1:$M$301</definedName>
    <definedName name="ExternalData_2" localSheetId="12" hidden="1">'Task 5.1.1'!$A$1:$M$568</definedName>
  </definedNames>
  <calcPr calcId="191029"/>
  <pivotCaches>
    <pivotCache cacheId="0" r:id="rId20"/>
    <pivotCache cacheId="1" r:id="rId21"/>
    <pivotCache cacheId="2" r:id="rId22"/>
    <pivotCache cacheId="3" r:id="rId23"/>
    <pivotCache cacheId="4" r:id="rId24"/>
    <pivotCache cacheId="5" r:id="rId25"/>
    <pivotCache cacheId="6" r:id="rId26"/>
    <pivotCache cacheId="7" r:id="rId27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2" i="10" l="1"/>
  <c r="I2" i="29"/>
  <c r="I3" i="29"/>
  <c r="I4" i="29"/>
  <c r="I5" i="29"/>
  <c r="I6" i="29"/>
  <c r="I7" i="29"/>
  <c r="I8" i="29"/>
  <c r="I9" i="29"/>
  <c r="I10" i="29"/>
  <c r="I11" i="29"/>
  <c r="I12" i="29"/>
  <c r="I13" i="29"/>
  <c r="I14" i="29"/>
  <c r="I15" i="29"/>
  <c r="I16" i="29"/>
  <c r="I17" i="29"/>
  <c r="I18" i="29"/>
  <c r="I19" i="29"/>
  <c r="I20" i="29"/>
  <c r="I21" i="29"/>
  <c r="I22" i="29"/>
  <c r="I23" i="29"/>
  <c r="I24" i="29"/>
  <c r="I25" i="29"/>
  <c r="I26" i="29"/>
  <c r="I27" i="29"/>
  <c r="I28" i="29"/>
  <c r="I29" i="29"/>
  <c r="I30" i="29"/>
  <c r="I31" i="29"/>
  <c r="I32" i="29"/>
  <c r="I33" i="29"/>
  <c r="I34" i="29"/>
  <c r="I35" i="29"/>
  <c r="I36" i="29"/>
  <c r="I37" i="29"/>
  <c r="I38" i="29"/>
  <c r="I39" i="29"/>
  <c r="I40" i="29"/>
  <c r="I41" i="29"/>
  <c r="I42" i="29"/>
  <c r="I43" i="29"/>
  <c r="I44" i="29"/>
  <c r="I45" i="29"/>
  <c r="I46" i="29"/>
  <c r="I47" i="29"/>
  <c r="I48" i="29"/>
  <c r="I49" i="29"/>
  <c r="I50" i="29"/>
  <c r="I51" i="29"/>
  <c r="I52" i="29"/>
  <c r="I53" i="29"/>
  <c r="I54" i="29"/>
  <c r="I55" i="29"/>
  <c r="I56" i="29"/>
  <c r="I57" i="29"/>
  <c r="I58" i="29"/>
  <c r="I59" i="29"/>
  <c r="I60" i="29"/>
  <c r="I61" i="29"/>
  <c r="I62" i="29"/>
  <c r="I63" i="29"/>
  <c r="I64" i="29"/>
  <c r="I65" i="29"/>
  <c r="I66" i="29"/>
  <c r="I67" i="29"/>
  <c r="I68" i="29"/>
  <c r="I69" i="29"/>
  <c r="I70" i="29"/>
  <c r="I71" i="29"/>
  <c r="I72" i="29"/>
  <c r="I73" i="29"/>
  <c r="I74" i="29"/>
  <c r="I75" i="29"/>
  <c r="I76" i="29"/>
  <c r="I77" i="29"/>
  <c r="I78" i="29"/>
  <c r="I79" i="29"/>
  <c r="I80" i="29"/>
  <c r="I81" i="29"/>
  <c r="I82" i="29"/>
  <c r="I83" i="29"/>
  <c r="I84" i="29"/>
  <c r="I85" i="29"/>
  <c r="I86" i="29"/>
  <c r="I87" i="29"/>
  <c r="I88" i="29"/>
  <c r="I89" i="29"/>
  <c r="I90" i="29"/>
  <c r="I91" i="29"/>
  <c r="I92" i="29"/>
  <c r="I93" i="29"/>
  <c r="I94" i="29"/>
  <c r="I95" i="29"/>
  <c r="I96" i="29"/>
  <c r="I97" i="29"/>
  <c r="I98" i="29"/>
  <c r="I99" i="29"/>
  <c r="I100" i="29"/>
  <c r="I101" i="29"/>
  <c r="I102" i="29"/>
  <c r="I103" i="29"/>
  <c r="I104" i="29"/>
  <c r="I105" i="29"/>
  <c r="I106" i="29"/>
  <c r="I107" i="29"/>
  <c r="I108" i="29"/>
  <c r="I109" i="29"/>
  <c r="I110" i="29"/>
  <c r="I111" i="29"/>
  <c r="I112" i="29"/>
  <c r="I113" i="29"/>
  <c r="I114" i="29"/>
  <c r="I115" i="29"/>
  <c r="I116" i="29"/>
  <c r="I117" i="29"/>
  <c r="I118" i="29"/>
  <c r="I119" i="29"/>
  <c r="I120" i="29"/>
  <c r="I121" i="29"/>
  <c r="I122" i="29"/>
  <c r="I123" i="29"/>
  <c r="I124" i="29"/>
  <c r="I125" i="29"/>
  <c r="I126" i="29"/>
  <c r="I127" i="29"/>
  <c r="I128" i="29"/>
  <c r="I129" i="29"/>
  <c r="I130" i="29"/>
  <c r="I131" i="29"/>
  <c r="I132" i="29"/>
  <c r="I133" i="29"/>
  <c r="I134" i="29"/>
  <c r="I135" i="29"/>
  <c r="I136" i="29"/>
  <c r="I137" i="29"/>
  <c r="I138" i="29"/>
  <c r="I139" i="29"/>
  <c r="I140" i="29"/>
  <c r="I141" i="29"/>
  <c r="I142" i="29"/>
  <c r="I143" i="29"/>
  <c r="I144" i="29"/>
  <c r="I145" i="29"/>
  <c r="I146" i="29"/>
  <c r="I147" i="29"/>
  <c r="I148" i="29"/>
  <c r="I149" i="29"/>
  <c r="I150" i="29"/>
  <c r="I151" i="29"/>
  <c r="I152" i="29"/>
  <c r="I153" i="29"/>
  <c r="I154" i="29"/>
  <c r="I155" i="29"/>
  <c r="I156" i="29"/>
  <c r="I157" i="29"/>
  <c r="I158" i="29"/>
  <c r="I159" i="29"/>
  <c r="I160" i="29"/>
  <c r="I161" i="29"/>
  <c r="I162" i="29"/>
  <c r="I163" i="29"/>
  <c r="I164" i="29"/>
  <c r="I165" i="29"/>
  <c r="I166" i="29"/>
  <c r="I167" i="29"/>
  <c r="I168" i="29"/>
  <c r="I169" i="29"/>
  <c r="I170" i="29"/>
  <c r="I171" i="29"/>
  <c r="I172" i="29"/>
  <c r="I173" i="29"/>
  <c r="I174" i="29"/>
  <c r="I175" i="29"/>
  <c r="I176" i="29"/>
  <c r="I177" i="29"/>
  <c r="I178" i="29"/>
  <c r="I179" i="29"/>
  <c r="I180" i="29"/>
  <c r="I181" i="29"/>
  <c r="I182" i="29"/>
  <c r="I183" i="29"/>
  <c r="I184" i="29"/>
  <c r="I185" i="29"/>
  <c r="I186" i="29"/>
  <c r="I187" i="29"/>
  <c r="I188" i="29"/>
  <c r="I189" i="29"/>
  <c r="I190" i="29"/>
  <c r="I191" i="29"/>
  <c r="I192" i="29"/>
  <c r="I193" i="29"/>
  <c r="I194" i="29"/>
  <c r="I195" i="29"/>
  <c r="I196" i="29"/>
  <c r="I197" i="29"/>
  <c r="I198" i="29"/>
  <c r="I199" i="29"/>
  <c r="I200" i="29"/>
  <c r="I201" i="29"/>
  <c r="H201" i="29"/>
  <c r="H200" i="29"/>
  <c r="H199" i="29"/>
  <c r="H198" i="29"/>
  <c r="H197" i="29"/>
  <c r="H196" i="29"/>
  <c r="H195" i="29"/>
  <c r="H194" i="29"/>
  <c r="H193" i="29"/>
  <c r="H192" i="29"/>
  <c r="H191" i="29"/>
  <c r="H190" i="29"/>
  <c r="H189" i="29"/>
  <c r="H188" i="29"/>
  <c r="H187" i="29"/>
  <c r="H186" i="29"/>
  <c r="H185" i="29"/>
  <c r="H184" i="29"/>
  <c r="H183" i="29"/>
  <c r="H182" i="29"/>
  <c r="H181" i="29"/>
  <c r="H180" i="29"/>
  <c r="H179" i="29"/>
  <c r="H178" i="29"/>
  <c r="H177" i="29"/>
  <c r="H176" i="29"/>
  <c r="H175" i="29"/>
  <c r="H174" i="29"/>
  <c r="H173" i="29"/>
  <c r="H172" i="29"/>
  <c r="H171" i="29"/>
  <c r="H170" i="29"/>
  <c r="H169" i="29"/>
  <c r="H168" i="29"/>
  <c r="H167" i="29"/>
  <c r="H166" i="29"/>
  <c r="H165" i="29"/>
  <c r="H164" i="29"/>
  <c r="H163" i="29"/>
  <c r="H162" i="29"/>
  <c r="H161" i="29"/>
  <c r="H160" i="29"/>
  <c r="H159" i="29"/>
  <c r="H158" i="29"/>
  <c r="H157" i="29"/>
  <c r="H156" i="29"/>
  <c r="H155" i="29"/>
  <c r="H154" i="29"/>
  <c r="H153" i="29"/>
  <c r="H152" i="29"/>
  <c r="H151" i="29"/>
  <c r="H150" i="29"/>
  <c r="H149" i="29"/>
  <c r="H148" i="29"/>
  <c r="H147" i="29"/>
  <c r="H146" i="29"/>
  <c r="H145" i="29"/>
  <c r="H144" i="29"/>
  <c r="H143" i="29"/>
  <c r="H142" i="29"/>
  <c r="H141" i="29"/>
  <c r="H140" i="29"/>
  <c r="H139" i="29"/>
  <c r="H138" i="29"/>
  <c r="H137" i="29"/>
  <c r="H136" i="29"/>
  <c r="H135" i="29"/>
  <c r="H134" i="29"/>
  <c r="H133" i="29"/>
  <c r="H132" i="29"/>
  <c r="H131" i="29"/>
  <c r="H130" i="29"/>
  <c r="H129" i="29"/>
  <c r="H128" i="29"/>
  <c r="H127" i="29"/>
  <c r="H126" i="29"/>
  <c r="H125" i="29"/>
  <c r="H124" i="29"/>
  <c r="H123" i="29"/>
  <c r="H122" i="29"/>
  <c r="H121" i="29"/>
  <c r="H120" i="29"/>
  <c r="H119" i="29"/>
  <c r="H118" i="29"/>
  <c r="H117" i="29"/>
  <c r="H116" i="29"/>
  <c r="H115" i="29"/>
  <c r="H114" i="29"/>
  <c r="H113" i="29"/>
  <c r="H112" i="29"/>
  <c r="H111" i="29"/>
  <c r="H110" i="29"/>
  <c r="H109" i="29"/>
  <c r="H108" i="29"/>
  <c r="H107" i="29"/>
  <c r="H106" i="29"/>
  <c r="H105" i="29"/>
  <c r="H104" i="29"/>
  <c r="H103" i="29"/>
  <c r="H102" i="29"/>
  <c r="H101" i="29"/>
  <c r="H100" i="29"/>
  <c r="H99" i="29"/>
  <c r="H98" i="29"/>
  <c r="H97" i="29"/>
  <c r="H96" i="29"/>
  <c r="H95" i="29"/>
  <c r="H94" i="29"/>
  <c r="H93" i="29"/>
  <c r="H92" i="29"/>
  <c r="H91" i="29"/>
  <c r="H90" i="29"/>
  <c r="H89" i="29"/>
  <c r="H88" i="29"/>
  <c r="H87" i="29"/>
  <c r="H86" i="29"/>
  <c r="H85" i="29"/>
  <c r="H84" i="29"/>
  <c r="H83" i="29"/>
  <c r="H82" i="29"/>
  <c r="H81" i="29"/>
  <c r="H80" i="29"/>
  <c r="H79" i="29"/>
  <c r="H78" i="29"/>
  <c r="H77" i="29"/>
  <c r="H76" i="29"/>
  <c r="H75" i="29"/>
  <c r="H74" i="29"/>
  <c r="H73" i="29"/>
  <c r="H72" i="29"/>
  <c r="H71" i="29"/>
  <c r="H70" i="29"/>
  <c r="H69" i="29"/>
  <c r="H68" i="29"/>
  <c r="H67" i="29"/>
  <c r="H66" i="29"/>
  <c r="H65" i="29"/>
  <c r="H64" i="29"/>
  <c r="H63" i="29"/>
  <c r="H62" i="29"/>
  <c r="H61" i="29"/>
  <c r="H60" i="29"/>
  <c r="H59" i="29"/>
  <c r="H58" i="29"/>
  <c r="H57" i="29"/>
  <c r="H56" i="29"/>
  <c r="H55" i="29"/>
  <c r="H54" i="29"/>
  <c r="H53" i="29"/>
  <c r="H52" i="29"/>
  <c r="H51" i="29"/>
  <c r="H50" i="29"/>
  <c r="H49" i="29"/>
  <c r="H48" i="29"/>
  <c r="H47" i="29"/>
  <c r="H46" i="29"/>
  <c r="H45" i="29"/>
  <c r="H44" i="29"/>
  <c r="H43" i="29"/>
  <c r="H42" i="29"/>
  <c r="H41" i="29"/>
  <c r="H40" i="29"/>
  <c r="H39" i="29"/>
  <c r="H38" i="29"/>
  <c r="H37" i="29"/>
  <c r="H36" i="29"/>
  <c r="H35" i="29"/>
  <c r="H34" i="29"/>
  <c r="H33" i="29"/>
  <c r="H32" i="29"/>
  <c r="H31" i="29"/>
  <c r="H30" i="29"/>
  <c r="H29" i="29"/>
  <c r="H28" i="29"/>
  <c r="H27" i="29"/>
  <c r="H26" i="29"/>
  <c r="H25" i="29"/>
  <c r="H24" i="29"/>
  <c r="H23" i="29"/>
  <c r="H22" i="29"/>
  <c r="H21" i="29"/>
  <c r="H20" i="29"/>
  <c r="H19" i="29"/>
  <c r="H18" i="29"/>
  <c r="H17" i="29"/>
  <c r="H16" i="29"/>
  <c r="H15" i="29"/>
  <c r="H14" i="29"/>
  <c r="H13" i="29"/>
  <c r="H12" i="29"/>
  <c r="H11" i="29"/>
  <c r="H10" i="29"/>
  <c r="H9" i="29"/>
  <c r="H8" i="29"/>
  <c r="H7" i="29"/>
  <c r="H6" i="29"/>
  <c r="H5" i="29"/>
  <c r="H4" i="29"/>
  <c r="H3" i="29"/>
  <c r="H2" i="29"/>
  <c r="H2" i="28"/>
  <c r="H3" i="28"/>
  <c r="H4" i="28"/>
  <c r="H5" i="28"/>
  <c r="H6" i="28"/>
  <c r="J3" i="22"/>
  <c r="J4" i="22"/>
  <c r="J5" i="22"/>
  <c r="J6" i="22"/>
  <c r="J7" i="22"/>
  <c r="J8" i="22"/>
  <c r="J9" i="22"/>
  <c r="J10" i="22"/>
  <c r="J11" i="22"/>
  <c r="J12" i="22"/>
  <c r="J13" i="22"/>
  <c r="J14" i="22"/>
  <c r="J15" i="22"/>
  <c r="J16" i="22"/>
  <c r="J17" i="22"/>
  <c r="J18" i="22"/>
  <c r="J19" i="22"/>
  <c r="J20" i="22"/>
  <c r="J21" i="22"/>
  <c r="J22" i="22"/>
  <c r="J23" i="22"/>
  <c r="J24" i="22"/>
  <c r="J25" i="22"/>
  <c r="J26" i="22"/>
  <c r="J27" i="22"/>
  <c r="J28" i="22"/>
  <c r="J29" i="22"/>
  <c r="J30" i="22"/>
  <c r="J31" i="22"/>
  <c r="J32" i="22"/>
  <c r="J33" i="22"/>
  <c r="J34" i="22"/>
  <c r="J35" i="22"/>
  <c r="J36" i="22"/>
  <c r="J37" i="22"/>
  <c r="J38" i="22"/>
  <c r="J39" i="22"/>
  <c r="J40" i="22"/>
  <c r="J41" i="22"/>
  <c r="J42" i="22"/>
  <c r="J43" i="22"/>
  <c r="J44" i="22"/>
  <c r="J45" i="22"/>
  <c r="J46" i="22"/>
  <c r="J47" i="22"/>
  <c r="J48" i="22"/>
  <c r="J49" i="22"/>
  <c r="J50" i="22"/>
  <c r="J51" i="22"/>
  <c r="J52" i="22"/>
  <c r="J53" i="22"/>
  <c r="J54" i="22"/>
  <c r="J55" i="22"/>
  <c r="J56" i="22"/>
  <c r="J57" i="22"/>
  <c r="J58" i="22"/>
  <c r="J59" i="22"/>
  <c r="J60" i="22"/>
  <c r="J61" i="22"/>
  <c r="J62" i="22"/>
  <c r="J63" i="22"/>
  <c r="J64" i="22"/>
  <c r="J65" i="22"/>
  <c r="J66" i="22"/>
  <c r="J67" i="22"/>
  <c r="J68" i="22"/>
  <c r="J69" i="22"/>
  <c r="J70" i="22"/>
  <c r="J71" i="22"/>
  <c r="J72" i="22"/>
  <c r="J73" i="22"/>
  <c r="J74" i="22"/>
  <c r="J75" i="22"/>
  <c r="J76" i="22"/>
  <c r="J77" i="22"/>
  <c r="J78" i="22"/>
  <c r="J79" i="22"/>
  <c r="J80" i="22"/>
  <c r="J81" i="22"/>
  <c r="J82" i="22"/>
  <c r="J83" i="22"/>
  <c r="J84" i="22"/>
  <c r="J85" i="22"/>
  <c r="J86" i="22"/>
  <c r="J87" i="22"/>
  <c r="J88" i="22"/>
  <c r="J89" i="22"/>
  <c r="J90" i="22"/>
  <c r="J91" i="22"/>
  <c r="J92" i="22"/>
  <c r="J93" i="22"/>
  <c r="J94" i="22"/>
  <c r="J95" i="22"/>
  <c r="J96" i="22"/>
  <c r="J97" i="22"/>
  <c r="J98" i="22"/>
  <c r="J99" i="22"/>
  <c r="J100" i="22"/>
  <c r="J101" i="22"/>
  <c r="J102" i="22"/>
  <c r="J103" i="22"/>
  <c r="J104" i="22"/>
  <c r="J105" i="22"/>
  <c r="J106" i="22"/>
  <c r="J107" i="22"/>
  <c r="J108" i="22"/>
  <c r="J109" i="22"/>
  <c r="J110" i="22"/>
  <c r="J111" i="22"/>
  <c r="J112" i="22"/>
  <c r="J113" i="22"/>
  <c r="J114" i="22"/>
  <c r="J115" i="22"/>
  <c r="J116" i="22"/>
  <c r="J117" i="22"/>
  <c r="J118" i="22"/>
  <c r="J119" i="22"/>
  <c r="J120" i="22"/>
  <c r="J121" i="22"/>
  <c r="J122" i="22"/>
  <c r="J123" i="22"/>
  <c r="J124" i="22"/>
  <c r="J125" i="22"/>
  <c r="J126" i="22"/>
  <c r="J127" i="22"/>
  <c r="J128" i="22"/>
  <c r="J129" i="22"/>
  <c r="J130" i="22"/>
  <c r="J131" i="22"/>
  <c r="J132" i="22"/>
  <c r="J133" i="22"/>
  <c r="J134" i="22"/>
  <c r="J135" i="22"/>
  <c r="J136" i="22"/>
  <c r="J137" i="22"/>
  <c r="J138" i="22"/>
  <c r="J139" i="22"/>
  <c r="J140" i="22"/>
  <c r="J141" i="22"/>
  <c r="J142" i="22"/>
  <c r="J143" i="22"/>
  <c r="J144" i="22"/>
  <c r="J145" i="22"/>
  <c r="J146" i="22"/>
  <c r="J147" i="22"/>
  <c r="J148" i="22"/>
  <c r="J149" i="22"/>
  <c r="J150" i="22"/>
  <c r="J151" i="22"/>
  <c r="J152" i="22"/>
  <c r="J153" i="22"/>
  <c r="J154" i="22"/>
  <c r="J155" i="22"/>
  <c r="J156" i="22"/>
  <c r="J157" i="22"/>
  <c r="J158" i="22"/>
  <c r="J159" i="22"/>
  <c r="J160" i="22"/>
  <c r="J161" i="22"/>
  <c r="J162" i="22"/>
  <c r="J163" i="22"/>
  <c r="J164" i="22"/>
  <c r="J165" i="22"/>
  <c r="J166" i="22"/>
  <c r="J167" i="22"/>
  <c r="J168" i="22"/>
  <c r="J169" i="22"/>
  <c r="J170" i="22"/>
  <c r="J171" i="22"/>
  <c r="J172" i="22"/>
  <c r="J173" i="22"/>
  <c r="J174" i="22"/>
  <c r="J175" i="22"/>
  <c r="J176" i="22"/>
  <c r="J177" i="22"/>
  <c r="J178" i="22"/>
  <c r="J179" i="22"/>
  <c r="J180" i="22"/>
  <c r="J181" i="22"/>
  <c r="J182" i="22"/>
  <c r="J183" i="22"/>
  <c r="J184" i="22"/>
  <c r="J185" i="22"/>
  <c r="J186" i="22"/>
  <c r="J187" i="22"/>
  <c r="J188" i="22"/>
  <c r="J189" i="22"/>
  <c r="J190" i="22"/>
  <c r="J191" i="22"/>
  <c r="J192" i="22"/>
  <c r="J193" i="22"/>
  <c r="J194" i="22"/>
  <c r="J195" i="22"/>
  <c r="J196" i="22"/>
  <c r="J197" i="22"/>
  <c r="J198" i="22"/>
  <c r="J199" i="22"/>
  <c r="J200" i="22"/>
  <c r="J201" i="22"/>
  <c r="J2" i="22"/>
  <c r="N2" i="17"/>
  <c r="I84" i="19"/>
  <c r="I92" i="19"/>
  <c r="I100" i="19"/>
  <c r="I108" i="19"/>
  <c r="I112" i="19"/>
  <c r="I132" i="19"/>
  <c r="I136" i="19"/>
  <c r="I140" i="19"/>
  <c r="I144" i="19"/>
  <c r="I164" i="19"/>
  <c r="I168" i="19"/>
  <c r="I172" i="19"/>
  <c r="I176" i="19"/>
  <c r="I196" i="19"/>
  <c r="I200" i="19"/>
  <c r="H2" i="19"/>
  <c r="I2" i="19" s="1"/>
  <c r="H3" i="19"/>
  <c r="I3" i="19" s="1"/>
  <c r="H4" i="19"/>
  <c r="I4" i="19" s="1"/>
  <c r="H5" i="19"/>
  <c r="I5" i="19" s="1"/>
  <c r="H6" i="19"/>
  <c r="I6" i="19" s="1"/>
  <c r="H7" i="19"/>
  <c r="I7" i="19" s="1"/>
  <c r="H8" i="19"/>
  <c r="I8" i="19" s="1"/>
  <c r="H9" i="19"/>
  <c r="I9" i="19" s="1"/>
  <c r="H10" i="19"/>
  <c r="I10" i="19" s="1"/>
  <c r="H11" i="19"/>
  <c r="I11" i="19" s="1"/>
  <c r="H12" i="19"/>
  <c r="I12" i="19" s="1"/>
  <c r="H13" i="19"/>
  <c r="I13" i="19" s="1"/>
  <c r="H14" i="19"/>
  <c r="I14" i="19" s="1"/>
  <c r="H15" i="19"/>
  <c r="I15" i="19" s="1"/>
  <c r="H16" i="19"/>
  <c r="I16" i="19" s="1"/>
  <c r="H17" i="19"/>
  <c r="I17" i="19" s="1"/>
  <c r="H18" i="19"/>
  <c r="I18" i="19" s="1"/>
  <c r="H19" i="19"/>
  <c r="I19" i="19" s="1"/>
  <c r="H20" i="19"/>
  <c r="I20" i="19" s="1"/>
  <c r="H21" i="19"/>
  <c r="I21" i="19" s="1"/>
  <c r="H22" i="19"/>
  <c r="I22" i="19" s="1"/>
  <c r="H23" i="19"/>
  <c r="I23" i="19" s="1"/>
  <c r="H24" i="19"/>
  <c r="I24" i="19" s="1"/>
  <c r="H25" i="19"/>
  <c r="I25" i="19" s="1"/>
  <c r="H26" i="19"/>
  <c r="I26" i="19" s="1"/>
  <c r="H27" i="19"/>
  <c r="I27" i="19" s="1"/>
  <c r="H28" i="19"/>
  <c r="I28" i="19" s="1"/>
  <c r="H29" i="19"/>
  <c r="I29" i="19" s="1"/>
  <c r="H30" i="19"/>
  <c r="I30" i="19" s="1"/>
  <c r="H31" i="19"/>
  <c r="I31" i="19" s="1"/>
  <c r="H32" i="19"/>
  <c r="I32" i="19" s="1"/>
  <c r="H33" i="19"/>
  <c r="I33" i="19" s="1"/>
  <c r="H34" i="19"/>
  <c r="I34" i="19" s="1"/>
  <c r="H35" i="19"/>
  <c r="I35" i="19" s="1"/>
  <c r="H36" i="19"/>
  <c r="I36" i="19" s="1"/>
  <c r="H37" i="19"/>
  <c r="I37" i="19" s="1"/>
  <c r="H38" i="19"/>
  <c r="I38" i="19" s="1"/>
  <c r="H39" i="19"/>
  <c r="I39" i="19" s="1"/>
  <c r="H40" i="19"/>
  <c r="I40" i="19" s="1"/>
  <c r="H41" i="19"/>
  <c r="I41" i="19" s="1"/>
  <c r="H42" i="19"/>
  <c r="I42" i="19" s="1"/>
  <c r="H43" i="19"/>
  <c r="I43" i="19" s="1"/>
  <c r="H44" i="19"/>
  <c r="I44" i="19" s="1"/>
  <c r="H45" i="19"/>
  <c r="I45" i="19" s="1"/>
  <c r="H46" i="19"/>
  <c r="I46" i="19" s="1"/>
  <c r="H47" i="19"/>
  <c r="I47" i="19" s="1"/>
  <c r="H48" i="19"/>
  <c r="I48" i="19" s="1"/>
  <c r="H49" i="19"/>
  <c r="I49" i="19" s="1"/>
  <c r="H50" i="19"/>
  <c r="I50" i="19" s="1"/>
  <c r="H51" i="19"/>
  <c r="I51" i="19" s="1"/>
  <c r="H52" i="19"/>
  <c r="I52" i="19" s="1"/>
  <c r="H53" i="19"/>
  <c r="I53" i="19" s="1"/>
  <c r="H54" i="19"/>
  <c r="I54" i="19" s="1"/>
  <c r="H55" i="19"/>
  <c r="I55" i="19" s="1"/>
  <c r="H56" i="19"/>
  <c r="I56" i="19" s="1"/>
  <c r="H57" i="19"/>
  <c r="I57" i="19" s="1"/>
  <c r="H58" i="19"/>
  <c r="I58" i="19" s="1"/>
  <c r="H59" i="19"/>
  <c r="I59" i="19" s="1"/>
  <c r="H60" i="19"/>
  <c r="I60" i="19" s="1"/>
  <c r="H61" i="19"/>
  <c r="I61" i="19" s="1"/>
  <c r="H62" i="19"/>
  <c r="I62" i="19" s="1"/>
  <c r="H63" i="19"/>
  <c r="I63" i="19" s="1"/>
  <c r="H64" i="19"/>
  <c r="I64" i="19" s="1"/>
  <c r="H65" i="19"/>
  <c r="I65" i="19" s="1"/>
  <c r="H66" i="19"/>
  <c r="I66" i="19" s="1"/>
  <c r="H67" i="19"/>
  <c r="I67" i="19" s="1"/>
  <c r="H68" i="19"/>
  <c r="I68" i="19" s="1"/>
  <c r="H69" i="19"/>
  <c r="I69" i="19" s="1"/>
  <c r="H70" i="19"/>
  <c r="I70" i="19" s="1"/>
  <c r="H71" i="19"/>
  <c r="I71" i="19" s="1"/>
  <c r="H72" i="19"/>
  <c r="I72" i="19" s="1"/>
  <c r="H73" i="19"/>
  <c r="I73" i="19" s="1"/>
  <c r="H74" i="19"/>
  <c r="I74" i="19" s="1"/>
  <c r="H75" i="19"/>
  <c r="I75" i="19" s="1"/>
  <c r="H76" i="19"/>
  <c r="I76" i="19" s="1"/>
  <c r="H77" i="19"/>
  <c r="I77" i="19" s="1"/>
  <c r="H78" i="19"/>
  <c r="I78" i="19" s="1"/>
  <c r="H79" i="19"/>
  <c r="I79" i="19" s="1"/>
  <c r="H80" i="19"/>
  <c r="I80" i="19" s="1"/>
  <c r="H81" i="19"/>
  <c r="I81" i="19" s="1"/>
  <c r="H82" i="19"/>
  <c r="I82" i="19" s="1"/>
  <c r="H83" i="19"/>
  <c r="I83" i="19" s="1"/>
  <c r="H84" i="19"/>
  <c r="H85" i="19"/>
  <c r="I85" i="19" s="1"/>
  <c r="H86" i="19"/>
  <c r="I86" i="19" s="1"/>
  <c r="H87" i="19"/>
  <c r="I87" i="19" s="1"/>
  <c r="H88" i="19"/>
  <c r="I88" i="19" s="1"/>
  <c r="H89" i="19"/>
  <c r="I89" i="19" s="1"/>
  <c r="H90" i="19"/>
  <c r="I90" i="19" s="1"/>
  <c r="H91" i="19"/>
  <c r="I91" i="19" s="1"/>
  <c r="H92" i="19"/>
  <c r="H93" i="19"/>
  <c r="I93" i="19" s="1"/>
  <c r="H94" i="19"/>
  <c r="I94" i="19" s="1"/>
  <c r="H95" i="19"/>
  <c r="I95" i="19" s="1"/>
  <c r="H96" i="19"/>
  <c r="I96" i="19" s="1"/>
  <c r="H97" i="19"/>
  <c r="I97" i="19" s="1"/>
  <c r="H98" i="19"/>
  <c r="I98" i="19" s="1"/>
  <c r="H99" i="19"/>
  <c r="I99" i="19" s="1"/>
  <c r="H100" i="19"/>
  <c r="H101" i="19"/>
  <c r="I101" i="19" s="1"/>
  <c r="H102" i="19"/>
  <c r="I102" i="19" s="1"/>
  <c r="H103" i="19"/>
  <c r="I103" i="19" s="1"/>
  <c r="H104" i="19"/>
  <c r="I104" i="19" s="1"/>
  <c r="H105" i="19"/>
  <c r="I105" i="19" s="1"/>
  <c r="H106" i="19"/>
  <c r="I106" i="19" s="1"/>
  <c r="H107" i="19"/>
  <c r="I107" i="19" s="1"/>
  <c r="H108" i="19"/>
  <c r="H109" i="19"/>
  <c r="I109" i="19" s="1"/>
  <c r="H110" i="19"/>
  <c r="I110" i="19" s="1"/>
  <c r="H111" i="19"/>
  <c r="I111" i="19" s="1"/>
  <c r="H112" i="19"/>
  <c r="H113" i="19"/>
  <c r="I113" i="19" s="1"/>
  <c r="H114" i="19"/>
  <c r="I114" i="19" s="1"/>
  <c r="H115" i="19"/>
  <c r="I115" i="19" s="1"/>
  <c r="H116" i="19"/>
  <c r="I116" i="19" s="1"/>
  <c r="H117" i="19"/>
  <c r="I117" i="19" s="1"/>
  <c r="H118" i="19"/>
  <c r="I118" i="19" s="1"/>
  <c r="H119" i="19"/>
  <c r="I119" i="19" s="1"/>
  <c r="H120" i="19"/>
  <c r="I120" i="19" s="1"/>
  <c r="H121" i="19"/>
  <c r="I121" i="19" s="1"/>
  <c r="H122" i="19"/>
  <c r="I122" i="19" s="1"/>
  <c r="H123" i="19"/>
  <c r="I123" i="19" s="1"/>
  <c r="H124" i="19"/>
  <c r="I124" i="19" s="1"/>
  <c r="H125" i="19"/>
  <c r="I125" i="19" s="1"/>
  <c r="H126" i="19"/>
  <c r="I126" i="19" s="1"/>
  <c r="H127" i="19"/>
  <c r="I127" i="19" s="1"/>
  <c r="H128" i="19"/>
  <c r="I128" i="19" s="1"/>
  <c r="H129" i="19"/>
  <c r="I129" i="19" s="1"/>
  <c r="H130" i="19"/>
  <c r="I130" i="19" s="1"/>
  <c r="H131" i="19"/>
  <c r="I131" i="19" s="1"/>
  <c r="H132" i="19"/>
  <c r="H133" i="19"/>
  <c r="I133" i="19" s="1"/>
  <c r="H134" i="19"/>
  <c r="I134" i="19" s="1"/>
  <c r="H135" i="19"/>
  <c r="I135" i="19" s="1"/>
  <c r="H136" i="19"/>
  <c r="H137" i="19"/>
  <c r="I137" i="19" s="1"/>
  <c r="H138" i="19"/>
  <c r="I138" i="19" s="1"/>
  <c r="H139" i="19"/>
  <c r="I139" i="19" s="1"/>
  <c r="H140" i="19"/>
  <c r="H141" i="19"/>
  <c r="I141" i="19" s="1"/>
  <c r="H142" i="19"/>
  <c r="I142" i="19" s="1"/>
  <c r="H143" i="19"/>
  <c r="I143" i="19" s="1"/>
  <c r="H144" i="19"/>
  <c r="H145" i="19"/>
  <c r="I145" i="19" s="1"/>
  <c r="H146" i="19"/>
  <c r="I146" i="19" s="1"/>
  <c r="H147" i="19"/>
  <c r="I147" i="19" s="1"/>
  <c r="H148" i="19"/>
  <c r="I148" i="19" s="1"/>
  <c r="H149" i="19"/>
  <c r="I149" i="19" s="1"/>
  <c r="H150" i="19"/>
  <c r="I150" i="19" s="1"/>
  <c r="H151" i="19"/>
  <c r="I151" i="19" s="1"/>
  <c r="H152" i="19"/>
  <c r="I152" i="19" s="1"/>
  <c r="H153" i="19"/>
  <c r="I153" i="19" s="1"/>
  <c r="H154" i="19"/>
  <c r="I154" i="19" s="1"/>
  <c r="H155" i="19"/>
  <c r="I155" i="19" s="1"/>
  <c r="H156" i="19"/>
  <c r="I156" i="19" s="1"/>
  <c r="H157" i="19"/>
  <c r="I157" i="19" s="1"/>
  <c r="H158" i="19"/>
  <c r="I158" i="19" s="1"/>
  <c r="H159" i="19"/>
  <c r="I159" i="19" s="1"/>
  <c r="H160" i="19"/>
  <c r="I160" i="19" s="1"/>
  <c r="H161" i="19"/>
  <c r="I161" i="19" s="1"/>
  <c r="H162" i="19"/>
  <c r="I162" i="19" s="1"/>
  <c r="H163" i="19"/>
  <c r="I163" i="19" s="1"/>
  <c r="H164" i="19"/>
  <c r="H165" i="19"/>
  <c r="I165" i="19" s="1"/>
  <c r="H166" i="19"/>
  <c r="I166" i="19" s="1"/>
  <c r="H167" i="19"/>
  <c r="I167" i="19" s="1"/>
  <c r="H168" i="19"/>
  <c r="H169" i="19"/>
  <c r="I169" i="19" s="1"/>
  <c r="H170" i="19"/>
  <c r="I170" i="19" s="1"/>
  <c r="H171" i="19"/>
  <c r="I171" i="19" s="1"/>
  <c r="H172" i="19"/>
  <c r="H173" i="19"/>
  <c r="I173" i="19" s="1"/>
  <c r="H174" i="19"/>
  <c r="I174" i="19" s="1"/>
  <c r="H175" i="19"/>
  <c r="I175" i="19" s="1"/>
  <c r="H176" i="19"/>
  <c r="H177" i="19"/>
  <c r="I177" i="19" s="1"/>
  <c r="H178" i="19"/>
  <c r="I178" i="19" s="1"/>
  <c r="H179" i="19"/>
  <c r="I179" i="19" s="1"/>
  <c r="H180" i="19"/>
  <c r="I180" i="19" s="1"/>
  <c r="H181" i="19"/>
  <c r="I181" i="19" s="1"/>
  <c r="H182" i="19"/>
  <c r="I182" i="19" s="1"/>
  <c r="H183" i="19"/>
  <c r="I183" i="19" s="1"/>
  <c r="H184" i="19"/>
  <c r="I184" i="19" s="1"/>
  <c r="H185" i="19"/>
  <c r="I185" i="19" s="1"/>
  <c r="H186" i="19"/>
  <c r="I186" i="19" s="1"/>
  <c r="H187" i="19"/>
  <c r="I187" i="19" s="1"/>
  <c r="H188" i="19"/>
  <c r="I188" i="19" s="1"/>
  <c r="H189" i="19"/>
  <c r="I189" i="19" s="1"/>
  <c r="H190" i="19"/>
  <c r="I190" i="19" s="1"/>
  <c r="H191" i="19"/>
  <c r="I191" i="19" s="1"/>
  <c r="H192" i="19"/>
  <c r="I192" i="19" s="1"/>
  <c r="H193" i="19"/>
  <c r="I193" i="19" s="1"/>
  <c r="H194" i="19"/>
  <c r="I194" i="19" s="1"/>
  <c r="H195" i="19"/>
  <c r="I195" i="19" s="1"/>
  <c r="H196" i="19"/>
  <c r="H197" i="19"/>
  <c r="I197" i="19" s="1"/>
  <c r="H198" i="19"/>
  <c r="I198" i="19" s="1"/>
  <c r="H199" i="19"/>
  <c r="I199" i="19" s="1"/>
  <c r="H200" i="19"/>
  <c r="H201" i="19"/>
  <c r="I201" i="19" s="1"/>
  <c r="N3" i="17"/>
  <c r="N4" i="17"/>
  <c r="N5" i="17"/>
  <c r="N6" i="17"/>
  <c r="N7" i="17"/>
  <c r="N8" i="17"/>
  <c r="N9" i="17"/>
  <c r="N10" i="17"/>
  <c r="N11" i="17"/>
  <c r="N12" i="17"/>
  <c r="N13" i="17"/>
  <c r="N14" i="17"/>
  <c r="N15" i="17"/>
  <c r="N16" i="17"/>
  <c r="N17" i="17"/>
  <c r="N18" i="17"/>
  <c r="N19" i="17"/>
  <c r="N20" i="17"/>
  <c r="N21" i="17"/>
  <c r="N22" i="17"/>
  <c r="N23" i="17"/>
  <c r="N24" i="17"/>
  <c r="N25" i="17"/>
  <c r="H2" i="5" s="1"/>
  <c r="N26" i="17"/>
  <c r="H3" i="5" s="1"/>
  <c r="N27" i="17"/>
  <c r="H4" i="5" s="1"/>
  <c r="N28" i="17"/>
  <c r="H5" i="5" s="1"/>
  <c r="N29" i="17"/>
  <c r="I6" i="22" s="1"/>
  <c r="N30" i="17"/>
  <c r="I7" i="22" s="1"/>
  <c r="N31" i="17"/>
  <c r="I8" i="22" s="1"/>
  <c r="N32" i="17"/>
  <c r="I9" i="22" s="1"/>
  <c r="N33" i="17"/>
  <c r="H10" i="5" s="1"/>
  <c r="N34" i="17"/>
  <c r="H11" i="5" s="1"/>
  <c r="N35" i="17"/>
  <c r="H12" i="5" s="1"/>
  <c r="N36" i="17"/>
  <c r="H13" i="5" s="1"/>
  <c r="N37" i="17"/>
  <c r="I14" i="22" s="1"/>
  <c r="N38" i="17"/>
  <c r="I15" i="22" s="1"/>
  <c r="N39" i="17"/>
  <c r="I16" i="22" s="1"/>
  <c r="N40" i="17"/>
  <c r="I17" i="22" s="1"/>
  <c r="N41" i="17"/>
  <c r="H18" i="5" s="1"/>
  <c r="N42" i="17"/>
  <c r="H19" i="5" s="1"/>
  <c r="N43" i="17"/>
  <c r="H20" i="5" s="1"/>
  <c r="N44" i="17"/>
  <c r="H21" i="5" s="1"/>
  <c r="N45" i="17"/>
  <c r="I22" i="22" s="1"/>
  <c r="N46" i="17"/>
  <c r="I23" i="22" s="1"/>
  <c r="N47" i="17"/>
  <c r="I24" i="22" s="1"/>
  <c r="N48" i="17"/>
  <c r="I25" i="22" s="1"/>
  <c r="N49" i="17"/>
  <c r="H26" i="5" s="1"/>
  <c r="N50" i="17"/>
  <c r="H27" i="5" s="1"/>
  <c r="N51" i="17"/>
  <c r="H28" i="5" s="1"/>
  <c r="N52" i="17"/>
  <c r="H29" i="5" s="1"/>
  <c r="N53" i="17"/>
  <c r="I30" i="22" s="1"/>
  <c r="N54" i="17"/>
  <c r="I31" i="22" s="1"/>
  <c r="N55" i="17"/>
  <c r="I32" i="22" s="1"/>
  <c r="N56" i="17"/>
  <c r="I33" i="22" s="1"/>
  <c r="N57" i="17"/>
  <c r="H34" i="5" s="1"/>
  <c r="N58" i="17"/>
  <c r="H35" i="5" s="1"/>
  <c r="N59" i="17"/>
  <c r="H36" i="5" s="1"/>
  <c r="N60" i="17"/>
  <c r="H37" i="5" s="1"/>
  <c r="N61" i="17"/>
  <c r="I38" i="22" s="1"/>
  <c r="N62" i="17"/>
  <c r="I39" i="22" s="1"/>
  <c r="N63" i="17"/>
  <c r="I40" i="22" s="1"/>
  <c r="N64" i="17"/>
  <c r="I41" i="22" s="1"/>
  <c r="N65" i="17"/>
  <c r="H42" i="5" s="1"/>
  <c r="N66" i="17"/>
  <c r="H43" i="5" s="1"/>
  <c r="N67" i="17"/>
  <c r="H44" i="5" s="1"/>
  <c r="N68" i="17"/>
  <c r="H45" i="5" s="1"/>
  <c r="N69" i="17"/>
  <c r="I46" i="22" s="1"/>
  <c r="N70" i="17"/>
  <c r="I47" i="22" s="1"/>
  <c r="N71" i="17"/>
  <c r="I48" i="22" s="1"/>
  <c r="N72" i="17"/>
  <c r="I49" i="22" s="1"/>
  <c r="N73" i="17"/>
  <c r="H50" i="5" s="1"/>
  <c r="N74" i="17"/>
  <c r="H51" i="5" s="1"/>
  <c r="N75" i="17"/>
  <c r="H52" i="5" s="1"/>
  <c r="N76" i="17"/>
  <c r="H53" i="5" s="1"/>
  <c r="N77" i="17"/>
  <c r="I54" i="22" s="1"/>
  <c r="N78" i="17"/>
  <c r="I55" i="22" s="1"/>
  <c r="N79" i="17"/>
  <c r="I56" i="22" s="1"/>
  <c r="N80" i="17"/>
  <c r="I57" i="22" s="1"/>
  <c r="N81" i="17"/>
  <c r="H58" i="5" s="1"/>
  <c r="N82" i="17"/>
  <c r="H59" i="5" s="1"/>
  <c r="N83" i="17"/>
  <c r="H60" i="5" s="1"/>
  <c r="N84" i="17"/>
  <c r="H61" i="5" s="1"/>
  <c r="N85" i="17"/>
  <c r="I62" i="22" s="1"/>
  <c r="N86" i="17"/>
  <c r="I63" i="22" s="1"/>
  <c r="N87" i="17"/>
  <c r="I64" i="22" s="1"/>
  <c r="N88" i="17"/>
  <c r="I65" i="22" s="1"/>
  <c r="N89" i="17"/>
  <c r="H66" i="5" s="1"/>
  <c r="N90" i="17"/>
  <c r="H67" i="5" s="1"/>
  <c r="N91" i="17"/>
  <c r="H68" i="5" s="1"/>
  <c r="N92" i="17"/>
  <c r="H69" i="5" s="1"/>
  <c r="N93" i="17"/>
  <c r="I70" i="22" s="1"/>
  <c r="N94" i="17"/>
  <c r="I71" i="22" s="1"/>
  <c r="N95" i="17"/>
  <c r="I72" i="22" s="1"/>
  <c r="N96" i="17"/>
  <c r="I73" i="22" s="1"/>
  <c r="N97" i="17"/>
  <c r="H74" i="5" s="1"/>
  <c r="N98" i="17"/>
  <c r="H75" i="5" s="1"/>
  <c r="N99" i="17"/>
  <c r="H76" i="5" s="1"/>
  <c r="N100" i="17"/>
  <c r="H77" i="5" s="1"/>
  <c r="N101" i="17"/>
  <c r="I78" i="22" s="1"/>
  <c r="N102" i="17"/>
  <c r="I79" i="22" s="1"/>
  <c r="N103" i="17"/>
  <c r="I80" i="22" s="1"/>
  <c r="N104" i="17"/>
  <c r="I81" i="22" s="1"/>
  <c r="N105" i="17"/>
  <c r="H82" i="5" s="1"/>
  <c r="N106" i="17"/>
  <c r="H83" i="5" s="1"/>
  <c r="N107" i="17"/>
  <c r="H84" i="5" s="1"/>
  <c r="N108" i="17"/>
  <c r="H85" i="5" s="1"/>
  <c r="N109" i="17"/>
  <c r="I86" i="22" s="1"/>
  <c r="N110" i="17"/>
  <c r="I87" i="22" s="1"/>
  <c r="N111" i="17"/>
  <c r="I88" i="22" s="1"/>
  <c r="N112" i="17"/>
  <c r="I89" i="22" s="1"/>
  <c r="N113" i="17"/>
  <c r="H90" i="5" s="1"/>
  <c r="N114" i="17"/>
  <c r="H91" i="5" s="1"/>
  <c r="N115" i="17"/>
  <c r="H92" i="5" s="1"/>
  <c r="N116" i="17"/>
  <c r="H93" i="5" s="1"/>
  <c r="N117" i="17"/>
  <c r="I94" i="22" s="1"/>
  <c r="N118" i="17"/>
  <c r="I95" i="22" s="1"/>
  <c r="N119" i="17"/>
  <c r="I96" i="22" s="1"/>
  <c r="N120" i="17"/>
  <c r="I97" i="22" s="1"/>
  <c r="N121" i="17"/>
  <c r="H98" i="5" s="1"/>
  <c r="N122" i="17"/>
  <c r="H99" i="5" s="1"/>
  <c r="N123" i="17"/>
  <c r="H100" i="5" s="1"/>
  <c r="N124" i="17"/>
  <c r="H101" i="5" s="1"/>
  <c r="N125" i="17"/>
  <c r="I102" i="22" s="1"/>
  <c r="N126" i="17"/>
  <c r="I103" i="22" s="1"/>
  <c r="N127" i="17"/>
  <c r="I104" i="22" s="1"/>
  <c r="N128" i="17"/>
  <c r="I105" i="22" s="1"/>
  <c r="N129" i="17"/>
  <c r="H106" i="5" s="1"/>
  <c r="N130" i="17"/>
  <c r="H107" i="5" s="1"/>
  <c r="N131" i="17"/>
  <c r="H108" i="5" s="1"/>
  <c r="N132" i="17"/>
  <c r="H109" i="5" s="1"/>
  <c r="N133" i="17"/>
  <c r="I110" i="22" s="1"/>
  <c r="N134" i="17"/>
  <c r="I111" i="22" s="1"/>
  <c r="N135" i="17"/>
  <c r="I112" i="22" s="1"/>
  <c r="N136" i="17"/>
  <c r="I113" i="22" s="1"/>
  <c r="N137" i="17"/>
  <c r="H114" i="5" s="1"/>
  <c r="N138" i="17"/>
  <c r="H115" i="5" s="1"/>
  <c r="N139" i="17"/>
  <c r="H116" i="5" s="1"/>
  <c r="N140" i="17"/>
  <c r="H117" i="5" s="1"/>
  <c r="N141" i="17"/>
  <c r="I118" i="22" s="1"/>
  <c r="N142" i="17"/>
  <c r="I119" i="22" s="1"/>
  <c r="N143" i="17"/>
  <c r="I120" i="22" s="1"/>
  <c r="N144" i="17"/>
  <c r="I121" i="22" s="1"/>
  <c r="N145" i="17"/>
  <c r="H122" i="5" s="1"/>
  <c r="N146" i="17"/>
  <c r="H123" i="5" s="1"/>
  <c r="N147" i="17"/>
  <c r="H124" i="5" s="1"/>
  <c r="N148" i="17"/>
  <c r="H125" i="5" s="1"/>
  <c r="N149" i="17"/>
  <c r="I126" i="22" s="1"/>
  <c r="N150" i="17"/>
  <c r="I127" i="22" s="1"/>
  <c r="N151" i="17"/>
  <c r="I128" i="22" s="1"/>
  <c r="N152" i="17"/>
  <c r="I129" i="22" s="1"/>
  <c r="N153" i="17"/>
  <c r="H130" i="5" s="1"/>
  <c r="N154" i="17"/>
  <c r="H131" i="5" s="1"/>
  <c r="N155" i="17"/>
  <c r="H132" i="5" s="1"/>
  <c r="N156" i="17"/>
  <c r="H133" i="5" s="1"/>
  <c r="N157" i="17"/>
  <c r="I134" i="22" s="1"/>
  <c r="N158" i="17"/>
  <c r="I135" i="22" s="1"/>
  <c r="N159" i="17"/>
  <c r="I136" i="22" s="1"/>
  <c r="N160" i="17"/>
  <c r="I137" i="22" s="1"/>
  <c r="N161" i="17"/>
  <c r="H138" i="5" s="1"/>
  <c r="N162" i="17"/>
  <c r="H139" i="5" s="1"/>
  <c r="N163" i="17"/>
  <c r="H140" i="5" s="1"/>
  <c r="N164" i="17"/>
  <c r="H141" i="5" s="1"/>
  <c r="N165" i="17"/>
  <c r="I142" i="22" s="1"/>
  <c r="N166" i="17"/>
  <c r="I143" i="22" s="1"/>
  <c r="N167" i="17"/>
  <c r="I144" i="22" s="1"/>
  <c r="N168" i="17"/>
  <c r="I145" i="22" s="1"/>
  <c r="N169" i="17"/>
  <c r="H146" i="5" s="1"/>
  <c r="N170" i="17"/>
  <c r="H147" i="5" s="1"/>
  <c r="N171" i="17"/>
  <c r="H148" i="5" s="1"/>
  <c r="N172" i="17"/>
  <c r="H149" i="5" s="1"/>
  <c r="N173" i="17"/>
  <c r="I150" i="22" s="1"/>
  <c r="N174" i="17"/>
  <c r="I151" i="22" s="1"/>
  <c r="N175" i="17"/>
  <c r="I152" i="22" s="1"/>
  <c r="N176" i="17"/>
  <c r="I153" i="22" s="1"/>
  <c r="N177" i="17"/>
  <c r="H154" i="5" s="1"/>
  <c r="N178" i="17"/>
  <c r="H155" i="5" s="1"/>
  <c r="N179" i="17"/>
  <c r="H156" i="5" s="1"/>
  <c r="N180" i="17"/>
  <c r="H157" i="5" s="1"/>
  <c r="N181" i="17"/>
  <c r="I158" i="22" s="1"/>
  <c r="N182" i="17"/>
  <c r="I159" i="22" s="1"/>
  <c r="N183" i="17"/>
  <c r="I160" i="22" s="1"/>
  <c r="N184" i="17"/>
  <c r="I161" i="22" s="1"/>
  <c r="N185" i="17"/>
  <c r="H162" i="5" s="1"/>
  <c r="N186" i="17"/>
  <c r="H163" i="5" s="1"/>
  <c r="N187" i="17"/>
  <c r="H164" i="5" s="1"/>
  <c r="N188" i="17"/>
  <c r="H165" i="5" s="1"/>
  <c r="N189" i="17"/>
  <c r="I166" i="22" s="1"/>
  <c r="N190" i="17"/>
  <c r="I167" i="22" s="1"/>
  <c r="N191" i="17"/>
  <c r="I168" i="22" s="1"/>
  <c r="N192" i="17"/>
  <c r="I169" i="22" s="1"/>
  <c r="N193" i="17"/>
  <c r="H170" i="5" s="1"/>
  <c r="N194" i="17"/>
  <c r="H171" i="5" s="1"/>
  <c r="N195" i="17"/>
  <c r="H172" i="5" s="1"/>
  <c r="N196" i="17"/>
  <c r="H173" i="5" s="1"/>
  <c r="N197" i="17"/>
  <c r="I174" i="22" s="1"/>
  <c r="N198" i="17"/>
  <c r="I175" i="22" s="1"/>
  <c r="N199" i="17"/>
  <c r="I176" i="22" s="1"/>
  <c r="N200" i="17"/>
  <c r="I177" i="22" s="1"/>
  <c r="N201" i="17"/>
  <c r="H178" i="5" s="1"/>
  <c r="N202" i="17"/>
  <c r="H179" i="5" s="1"/>
  <c r="N203" i="17"/>
  <c r="H180" i="5" s="1"/>
  <c r="N204" i="17"/>
  <c r="H181" i="5" s="1"/>
  <c r="N205" i="17"/>
  <c r="I182" i="22" s="1"/>
  <c r="N206" i="17"/>
  <c r="I183" i="22" s="1"/>
  <c r="N207" i="17"/>
  <c r="I184" i="22" s="1"/>
  <c r="N208" i="17"/>
  <c r="I185" i="22" s="1"/>
  <c r="N209" i="17"/>
  <c r="H186" i="5" s="1"/>
  <c r="N210" i="17"/>
  <c r="H187" i="5" s="1"/>
  <c r="N211" i="17"/>
  <c r="H188" i="5" s="1"/>
  <c r="N212" i="17"/>
  <c r="H189" i="5" s="1"/>
  <c r="N213" i="17"/>
  <c r="I190" i="22" s="1"/>
  <c r="N214" i="17"/>
  <c r="I191" i="22" s="1"/>
  <c r="N215" i="17"/>
  <c r="I192" i="22" s="1"/>
  <c r="N216" i="17"/>
  <c r="I193" i="22" s="1"/>
  <c r="N217" i="17"/>
  <c r="H194" i="5" s="1"/>
  <c r="N218" i="17"/>
  <c r="H195" i="5" s="1"/>
  <c r="N219" i="17"/>
  <c r="H196" i="5" s="1"/>
  <c r="N220" i="17"/>
  <c r="H197" i="5" s="1"/>
  <c r="N221" i="17"/>
  <c r="I198" i="22" s="1"/>
  <c r="N222" i="17"/>
  <c r="I199" i="22" s="1"/>
  <c r="N223" i="17"/>
  <c r="I200" i="22" s="1"/>
  <c r="N224" i="17"/>
  <c r="I201" i="22" s="1"/>
  <c r="N225" i="17"/>
  <c r="N226" i="17"/>
  <c r="N227" i="17"/>
  <c r="N228" i="17"/>
  <c r="N229" i="17"/>
  <c r="N230" i="17"/>
  <c r="N231" i="17"/>
  <c r="N232" i="17"/>
  <c r="N233" i="17"/>
  <c r="N234" i="17"/>
  <c r="N235" i="17"/>
  <c r="N236" i="17"/>
  <c r="N237" i="17"/>
  <c r="N238" i="17"/>
  <c r="N239" i="17"/>
  <c r="N240" i="17"/>
  <c r="N241" i="17"/>
  <c r="N242" i="17"/>
  <c r="N243" i="17"/>
  <c r="N244" i="17"/>
  <c r="N245" i="17"/>
  <c r="N246" i="17"/>
  <c r="N247" i="17"/>
  <c r="N248" i="17"/>
  <c r="N249" i="17"/>
  <c r="N250" i="17"/>
  <c r="N251" i="17"/>
  <c r="N252" i="17"/>
  <c r="N253" i="17"/>
  <c r="N254" i="17"/>
  <c r="N255" i="17"/>
  <c r="N256" i="17"/>
  <c r="N257" i="17"/>
  <c r="N258" i="17"/>
  <c r="N259" i="17"/>
  <c r="N260" i="17"/>
  <c r="N261" i="17"/>
  <c r="N262" i="17"/>
  <c r="N263" i="17"/>
  <c r="N264" i="17"/>
  <c r="N265" i="17"/>
  <c r="N266" i="17"/>
  <c r="N267" i="17"/>
  <c r="N268" i="17"/>
  <c r="N269" i="17"/>
  <c r="N270" i="17"/>
  <c r="N271" i="17"/>
  <c r="N272" i="17"/>
  <c r="N273" i="17"/>
  <c r="N274" i="17"/>
  <c r="N275" i="17"/>
  <c r="N276" i="17"/>
  <c r="N277" i="17"/>
  <c r="N278" i="17"/>
  <c r="N279" i="17"/>
  <c r="N280" i="17"/>
  <c r="N281" i="17"/>
  <c r="N282" i="17"/>
  <c r="N283" i="17"/>
  <c r="N284" i="17"/>
  <c r="N285" i="17"/>
  <c r="N286" i="17"/>
  <c r="N287" i="17"/>
  <c r="N288" i="17"/>
  <c r="N289" i="17"/>
  <c r="N290" i="17"/>
  <c r="N291" i="17"/>
  <c r="N292" i="17"/>
  <c r="N293" i="17"/>
  <c r="N294" i="17"/>
  <c r="N295" i="17"/>
  <c r="N296" i="17"/>
  <c r="N297" i="17"/>
  <c r="N298" i="17"/>
  <c r="N299" i="17"/>
  <c r="N300" i="17"/>
  <c r="N301" i="17"/>
  <c r="N302" i="17"/>
  <c r="N303" i="17"/>
  <c r="N304" i="17"/>
  <c r="N305" i="17"/>
  <c r="N306" i="17"/>
  <c r="N307" i="17"/>
  <c r="N308" i="17"/>
  <c r="N309" i="17"/>
  <c r="N310" i="17"/>
  <c r="N311" i="17"/>
  <c r="N312" i="17"/>
  <c r="N313" i="17"/>
  <c r="N314" i="17"/>
  <c r="N315" i="17"/>
  <c r="N316" i="17"/>
  <c r="N317" i="17"/>
  <c r="N318" i="17"/>
  <c r="N319" i="17"/>
  <c r="N320" i="17"/>
  <c r="N321" i="17"/>
  <c r="N322" i="17"/>
  <c r="N323" i="17"/>
  <c r="N324" i="17"/>
  <c r="N325" i="17"/>
  <c r="N326" i="17"/>
  <c r="N327" i="17"/>
  <c r="N328" i="17"/>
  <c r="N329" i="17"/>
  <c r="N330" i="17"/>
  <c r="N331" i="17"/>
  <c r="N332" i="17"/>
  <c r="N333" i="17"/>
  <c r="N334" i="17"/>
  <c r="N335" i="17"/>
  <c r="N336" i="17"/>
  <c r="N337" i="17"/>
  <c r="N338" i="17"/>
  <c r="N339" i="17"/>
  <c r="N340" i="17"/>
  <c r="N341" i="17"/>
  <c r="N342" i="17"/>
  <c r="N343" i="17"/>
  <c r="N344" i="17"/>
  <c r="N345" i="17"/>
  <c r="N346" i="17"/>
  <c r="N347" i="17"/>
  <c r="N348" i="17"/>
  <c r="N349" i="17"/>
  <c r="N350" i="17"/>
  <c r="N351" i="17"/>
  <c r="N352" i="17"/>
  <c r="N353" i="17"/>
  <c r="N354" i="17"/>
  <c r="N355" i="17"/>
  <c r="N356" i="17"/>
  <c r="N357" i="17"/>
  <c r="N358" i="17"/>
  <c r="N359" i="17"/>
  <c r="N360" i="17"/>
  <c r="N361" i="17"/>
  <c r="N362" i="17"/>
  <c r="N363" i="17"/>
  <c r="N364" i="17"/>
  <c r="N365" i="17"/>
  <c r="N366" i="17"/>
  <c r="N367" i="17"/>
  <c r="N368" i="17"/>
  <c r="N369" i="17"/>
  <c r="N370" i="17"/>
  <c r="N371" i="17"/>
  <c r="N372" i="17"/>
  <c r="N373" i="17"/>
  <c r="N374" i="17"/>
  <c r="N375" i="17"/>
  <c r="N376" i="17"/>
  <c r="N377" i="17"/>
  <c r="N378" i="17"/>
  <c r="N379" i="17"/>
  <c r="N380" i="17"/>
  <c r="N381" i="17"/>
  <c r="N382" i="17"/>
  <c r="N383" i="17"/>
  <c r="N384" i="17"/>
  <c r="N385" i="17"/>
  <c r="N386" i="17"/>
  <c r="N387" i="17"/>
  <c r="N388" i="17"/>
  <c r="N389" i="17"/>
  <c r="N390" i="17"/>
  <c r="N391" i="17"/>
  <c r="N392" i="17"/>
  <c r="N393" i="17"/>
  <c r="N394" i="17"/>
  <c r="N395" i="17"/>
  <c r="N396" i="17"/>
  <c r="N397" i="17"/>
  <c r="N398" i="17"/>
  <c r="N399" i="17"/>
  <c r="N400" i="17"/>
  <c r="N401" i="17"/>
  <c r="N402" i="17"/>
  <c r="N403" i="17"/>
  <c r="N404" i="17"/>
  <c r="N405" i="17"/>
  <c r="N406" i="17"/>
  <c r="N407" i="17"/>
  <c r="N408" i="17"/>
  <c r="N409" i="17"/>
  <c r="N410" i="17"/>
  <c r="N411" i="17"/>
  <c r="N412" i="17"/>
  <c r="N413" i="17"/>
  <c r="N414" i="17"/>
  <c r="N415" i="17"/>
  <c r="N416" i="17"/>
  <c r="N417" i="17"/>
  <c r="N418" i="17"/>
  <c r="N419" i="17"/>
  <c r="N420" i="17"/>
  <c r="N421" i="17"/>
  <c r="N422" i="17"/>
  <c r="N423" i="17"/>
  <c r="N424" i="17"/>
  <c r="N425" i="17"/>
  <c r="N426" i="17"/>
  <c r="N427" i="17"/>
  <c r="N428" i="17"/>
  <c r="N429" i="17"/>
  <c r="N430" i="17"/>
  <c r="N431" i="17"/>
  <c r="N432" i="17"/>
  <c r="N433" i="17"/>
  <c r="N434" i="17"/>
  <c r="N435" i="17"/>
  <c r="N436" i="17"/>
  <c r="N437" i="17"/>
  <c r="N438" i="17"/>
  <c r="N439" i="17"/>
  <c r="N440" i="17"/>
  <c r="N441" i="17"/>
  <c r="N442" i="17"/>
  <c r="N443" i="17"/>
  <c r="N444" i="17"/>
  <c r="N445" i="17"/>
  <c r="N446" i="17"/>
  <c r="N447" i="17"/>
  <c r="N448" i="17"/>
  <c r="N449" i="17"/>
  <c r="N450" i="17"/>
  <c r="N451" i="17"/>
  <c r="N452" i="17"/>
  <c r="N453" i="17"/>
  <c r="N454" i="17"/>
  <c r="N455" i="17"/>
  <c r="N456" i="17"/>
  <c r="N457" i="17"/>
  <c r="N458" i="17"/>
  <c r="N459" i="17"/>
  <c r="N460" i="17"/>
  <c r="N461" i="17"/>
  <c r="N462" i="17"/>
  <c r="N463" i="17"/>
  <c r="N464" i="17"/>
  <c r="N465" i="17"/>
  <c r="N466" i="17"/>
  <c r="N467" i="17"/>
  <c r="N468" i="17"/>
  <c r="N469" i="17"/>
  <c r="N470" i="17"/>
  <c r="N471" i="17"/>
  <c r="N472" i="17"/>
  <c r="N473" i="17"/>
  <c r="N474" i="17"/>
  <c r="N475" i="17"/>
  <c r="N476" i="17"/>
  <c r="N477" i="17"/>
  <c r="N478" i="17"/>
  <c r="N479" i="17"/>
  <c r="N480" i="17"/>
  <c r="N481" i="17"/>
  <c r="N482" i="17"/>
  <c r="N483" i="17"/>
  <c r="N484" i="17"/>
  <c r="N485" i="17"/>
  <c r="N486" i="17"/>
  <c r="N487" i="17"/>
  <c r="N488" i="17"/>
  <c r="N489" i="17"/>
  <c r="N490" i="17"/>
  <c r="N491" i="17"/>
  <c r="N492" i="17"/>
  <c r="N493" i="17"/>
  <c r="N494" i="17"/>
  <c r="N495" i="17"/>
  <c r="N496" i="17"/>
  <c r="N497" i="17"/>
  <c r="N498" i="17"/>
  <c r="N499" i="17"/>
  <c r="N500" i="17"/>
  <c r="N501" i="17"/>
  <c r="N502" i="17"/>
  <c r="N503" i="17"/>
  <c r="N504" i="17"/>
  <c r="N505" i="17"/>
  <c r="N506" i="17"/>
  <c r="N507" i="17"/>
  <c r="N508" i="17"/>
  <c r="N509" i="17"/>
  <c r="N510" i="17"/>
  <c r="N511" i="17"/>
  <c r="N512" i="17"/>
  <c r="N513" i="17"/>
  <c r="N514" i="17"/>
  <c r="N515" i="17"/>
  <c r="N516" i="17"/>
  <c r="N517" i="17"/>
  <c r="N518" i="17"/>
  <c r="N519" i="17"/>
  <c r="N520" i="17"/>
  <c r="N521" i="17"/>
  <c r="N522" i="17"/>
  <c r="N523" i="17"/>
  <c r="N524" i="17"/>
  <c r="N525" i="17"/>
  <c r="N526" i="17"/>
  <c r="N527" i="17"/>
  <c r="N528" i="17"/>
  <c r="N529" i="17"/>
  <c r="N530" i="17"/>
  <c r="N531" i="17"/>
  <c r="N532" i="17"/>
  <c r="N533" i="17"/>
  <c r="N534" i="17"/>
  <c r="N535" i="17"/>
  <c r="N536" i="17"/>
  <c r="N537" i="17"/>
  <c r="N538" i="17"/>
  <c r="N539" i="17"/>
  <c r="N540" i="17"/>
  <c r="N541" i="17"/>
  <c r="N542" i="17"/>
  <c r="N543" i="17"/>
  <c r="N544" i="17"/>
  <c r="N545" i="17"/>
  <c r="N546" i="17"/>
  <c r="N547" i="17"/>
  <c r="N548" i="17"/>
  <c r="N549" i="17"/>
  <c r="N550" i="17"/>
  <c r="N551" i="17"/>
  <c r="N552" i="17"/>
  <c r="N553" i="17"/>
  <c r="N554" i="17"/>
  <c r="N555" i="17"/>
  <c r="N556" i="17"/>
  <c r="N557" i="17"/>
  <c r="N558" i="17"/>
  <c r="N559" i="17"/>
  <c r="N560" i="17"/>
  <c r="N561" i="17"/>
  <c r="N562" i="17"/>
  <c r="N563" i="17"/>
  <c r="N564" i="17"/>
  <c r="N565" i="17"/>
  <c r="N566" i="17"/>
  <c r="N567" i="17"/>
  <c r="N568" i="17"/>
  <c r="M3" i="10"/>
  <c r="M4" i="10"/>
  <c r="M5" i="10"/>
  <c r="S5" i="10" s="1"/>
  <c r="M6" i="10"/>
  <c r="S6" i="10" s="1"/>
  <c r="M7" i="10"/>
  <c r="M8" i="10"/>
  <c r="S3" i="10" s="1"/>
  <c r="M9" i="10"/>
  <c r="M10" i="10"/>
  <c r="M11" i="10"/>
  <c r="M12" i="10"/>
  <c r="M13" i="10"/>
  <c r="M14" i="10"/>
  <c r="M15" i="10"/>
  <c r="M16" i="10"/>
  <c r="M17" i="10"/>
  <c r="M18" i="10"/>
  <c r="M19" i="10"/>
  <c r="M20" i="10"/>
  <c r="M21" i="10"/>
  <c r="M22" i="10"/>
  <c r="M23" i="10"/>
  <c r="M24" i="10"/>
  <c r="M25" i="10"/>
  <c r="M26" i="10"/>
  <c r="M27" i="10"/>
  <c r="M28" i="10"/>
  <c r="M29" i="10"/>
  <c r="M30" i="10"/>
  <c r="M31" i="10"/>
  <c r="M32" i="10"/>
  <c r="M33" i="10"/>
  <c r="M34" i="10"/>
  <c r="M35" i="10"/>
  <c r="M36" i="10"/>
  <c r="M37" i="10"/>
  <c r="M38" i="10"/>
  <c r="M39" i="10"/>
  <c r="M40" i="10"/>
  <c r="M41" i="10"/>
  <c r="M42" i="10"/>
  <c r="M43" i="10"/>
  <c r="M44" i="10"/>
  <c r="M45" i="10"/>
  <c r="M46" i="10"/>
  <c r="M47" i="10"/>
  <c r="M48" i="10"/>
  <c r="M49" i="10"/>
  <c r="M50" i="10"/>
  <c r="M51" i="10"/>
  <c r="M52" i="10"/>
  <c r="M53" i="10"/>
  <c r="M54" i="10"/>
  <c r="M55" i="10"/>
  <c r="M56" i="10"/>
  <c r="M57" i="10"/>
  <c r="M58" i="10"/>
  <c r="M59" i="10"/>
  <c r="M60" i="10"/>
  <c r="M61" i="10"/>
  <c r="M62" i="10"/>
  <c r="M63" i="10"/>
  <c r="M64" i="10"/>
  <c r="M65" i="10"/>
  <c r="M66" i="10"/>
  <c r="M67" i="10"/>
  <c r="M68" i="10"/>
  <c r="M69" i="10"/>
  <c r="M70" i="10"/>
  <c r="M71" i="10"/>
  <c r="M72" i="10"/>
  <c r="M73" i="10"/>
  <c r="M74" i="10"/>
  <c r="M75" i="10"/>
  <c r="M76" i="10"/>
  <c r="M77" i="10"/>
  <c r="M78" i="10"/>
  <c r="M79" i="10"/>
  <c r="M80" i="10"/>
  <c r="M81" i="10"/>
  <c r="M82" i="10"/>
  <c r="M83" i="10"/>
  <c r="M84" i="10"/>
  <c r="M85" i="10"/>
  <c r="M86" i="10"/>
  <c r="M87" i="10"/>
  <c r="M88" i="10"/>
  <c r="M89" i="10"/>
  <c r="M90" i="10"/>
  <c r="M91" i="10"/>
  <c r="M92" i="10"/>
  <c r="M93" i="10"/>
  <c r="M94" i="10"/>
  <c r="M95" i="10"/>
  <c r="M96" i="10"/>
  <c r="M97" i="10"/>
  <c r="M98" i="10"/>
  <c r="M99" i="10"/>
  <c r="M100" i="10"/>
  <c r="M101" i="10"/>
  <c r="M102" i="10"/>
  <c r="M103" i="10"/>
  <c r="M104" i="10"/>
  <c r="M105" i="10"/>
  <c r="M106" i="10"/>
  <c r="M107" i="10"/>
  <c r="M108" i="10"/>
  <c r="M109" i="10"/>
  <c r="M110" i="10"/>
  <c r="M111" i="10"/>
  <c r="M112" i="10"/>
  <c r="M113" i="10"/>
  <c r="M114" i="10"/>
  <c r="M115" i="10"/>
  <c r="M116" i="10"/>
  <c r="M117" i="10"/>
  <c r="M118" i="10"/>
  <c r="M119" i="10"/>
  <c r="M120" i="10"/>
  <c r="M121" i="10"/>
  <c r="M122" i="10"/>
  <c r="M123" i="10"/>
  <c r="M124" i="10"/>
  <c r="M125" i="10"/>
  <c r="M126" i="10"/>
  <c r="M127" i="10"/>
  <c r="M128" i="10"/>
  <c r="M129" i="10"/>
  <c r="M130" i="10"/>
  <c r="M131" i="10"/>
  <c r="M132" i="10"/>
  <c r="M133" i="10"/>
  <c r="M134" i="10"/>
  <c r="M135" i="10"/>
  <c r="M136" i="10"/>
  <c r="M137" i="10"/>
  <c r="M138" i="10"/>
  <c r="M139" i="10"/>
  <c r="M140" i="10"/>
  <c r="M141" i="10"/>
  <c r="M142" i="10"/>
  <c r="M143" i="10"/>
  <c r="M144" i="10"/>
  <c r="M145" i="10"/>
  <c r="M146" i="10"/>
  <c r="M147" i="10"/>
  <c r="M148" i="10"/>
  <c r="M149" i="10"/>
  <c r="M150" i="10"/>
  <c r="M151" i="10"/>
  <c r="M152" i="10"/>
  <c r="M153" i="10"/>
  <c r="M154" i="10"/>
  <c r="M155" i="10"/>
  <c r="M156" i="10"/>
  <c r="M157" i="10"/>
  <c r="M158" i="10"/>
  <c r="M159" i="10"/>
  <c r="M160" i="10"/>
  <c r="M161" i="10"/>
  <c r="M162" i="10"/>
  <c r="M163" i="10"/>
  <c r="M164" i="10"/>
  <c r="M165" i="10"/>
  <c r="M166" i="10"/>
  <c r="M167" i="10"/>
  <c r="M168" i="10"/>
  <c r="M169" i="10"/>
  <c r="M170" i="10"/>
  <c r="M171" i="10"/>
  <c r="M172" i="10"/>
  <c r="M173" i="10"/>
  <c r="M174" i="10"/>
  <c r="M175" i="10"/>
  <c r="M176" i="10"/>
  <c r="M177" i="10"/>
  <c r="M178" i="10"/>
  <c r="M179" i="10"/>
  <c r="M180" i="10"/>
  <c r="M181" i="10"/>
  <c r="M182" i="10"/>
  <c r="M183" i="10"/>
  <c r="M184" i="10"/>
  <c r="M185" i="10"/>
  <c r="M186" i="10"/>
  <c r="M187" i="10"/>
  <c r="M188" i="10"/>
  <c r="M189" i="10"/>
  <c r="M190" i="10"/>
  <c r="M191" i="10"/>
  <c r="M192" i="10"/>
  <c r="M193" i="10"/>
  <c r="M194" i="10"/>
  <c r="M195" i="10"/>
  <c r="M196" i="10"/>
  <c r="M197" i="10"/>
  <c r="M198" i="10"/>
  <c r="M199" i="10"/>
  <c r="M200" i="10"/>
  <c r="M201" i="10"/>
  <c r="M202" i="10"/>
  <c r="M203" i="10"/>
  <c r="M204" i="10"/>
  <c r="M205" i="10"/>
  <c r="M206" i="10"/>
  <c r="M207" i="10"/>
  <c r="M208" i="10"/>
  <c r="M209" i="10"/>
  <c r="M210" i="10"/>
  <c r="M211" i="10"/>
  <c r="M212" i="10"/>
  <c r="M213" i="10"/>
  <c r="M214" i="10"/>
  <c r="M215" i="10"/>
  <c r="M216" i="10"/>
  <c r="M217" i="10"/>
  <c r="M218" i="10"/>
  <c r="M219" i="10"/>
  <c r="M220" i="10"/>
  <c r="M221" i="10"/>
  <c r="M222" i="10"/>
  <c r="M223" i="10"/>
  <c r="M224" i="10"/>
  <c r="M225" i="10"/>
  <c r="M226" i="10"/>
  <c r="M227" i="10"/>
  <c r="M228" i="10"/>
  <c r="M229" i="10"/>
  <c r="M230" i="10"/>
  <c r="M231" i="10"/>
  <c r="M232" i="10"/>
  <c r="M233" i="10"/>
  <c r="M234" i="10"/>
  <c r="M235" i="10"/>
  <c r="M236" i="10"/>
  <c r="M237" i="10"/>
  <c r="M238" i="10"/>
  <c r="M239" i="10"/>
  <c r="M240" i="10"/>
  <c r="M241" i="10"/>
  <c r="M242" i="10"/>
  <c r="M243" i="10"/>
  <c r="M244" i="10"/>
  <c r="M245" i="10"/>
  <c r="M246" i="10"/>
  <c r="M247" i="10"/>
  <c r="M248" i="10"/>
  <c r="M249" i="10"/>
  <c r="M250" i="10"/>
  <c r="M251" i="10"/>
  <c r="M252" i="10"/>
  <c r="M253" i="10"/>
  <c r="M254" i="10"/>
  <c r="M255" i="10"/>
  <c r="M256" i="10"/>
  <c r="M257" i="10"/>
  <c r="M258" i="10"/>
  <c r="M259" i="10"/>
  <c r="M260" i="10"/>
  <c r="M261" i="10"/>
  <c r="M262" i="10"/>
  <c r="M263" i="10"/>
  <c r="M264" i="10"/>
  <c r="M265" i="10"/>
  <c r="M266" i="10"/>
  <c r="M267" i="10"/>
  <c r="M268" i="10"/>
  <c r="M269" i="10"/>
  <c r="M270" i="10"/>
  <c r="M271" i="10"/>
  <c r="M272" i="10"/>
  <c r="M273" i="10"/>
  <c r="M274" i="10"/>
  <c r="M275" i="10"/>
  <c r="M276" i="10"/>
  <c r="M277" i="10"/>
  <c r="M278" i="10"/>
  <c r="M279" i="10"/>
  <c r="M280" i="10"/>
  <c r="M281" i="10"/>
  <c r="M282" i="10"/>
  <c r="M283" i="10"/>
  <c r="M284" i="10"/>
  <c r="M285" i="10"/>
  <c r="M286" i="10"/>
  <c r="M287" i="10"/>
  <c r="M288" i="10"/>
  <c r="M289" i="10"/>
  <c r="M290" i="10"/>
  <c r="M291" i="10"/>
  <c r="M292" i="10"/>
  <c r="M293" i="10"/>
  <c r="M294" i="10"/>
  <c r="M295" i="10"/>
  <c r="M296" i="10"/>
  <c r="M297" i="10"/>
  <c r="M298" i="10"/>
  <c r="M299" i="10"/>
  <c r="M300" i="10"/>
  <c r="M301" i="10"/>
  <c r="S4" i="10"/>
  <c r="B4" i="22"/>
  <c r="B5" i="22" s="1"/>
  <c r="B6" i="22" s="1"/>
  <c r="B7" i="22" s="1"/>
  <c r="B8" i="22" s="1"/>
  <c r="B9" i="22" s="1"/>
  <c r="B10" i="22" s="1"/>
  <c r="B11" i="22" s="1"/>
  <c r="B12" i="22" s="1"/>
  <c r="B13" i="22" s="1"/>
  <c r="B14" i="22" s="1"/>
  <c r="B15" i="22" s="1"/>
  <c r="B16" i="22" s="1"/>
  <c r="B17" i="22" s="1"/>
  <c r="B18" i="22" s="1"/>
  <c r="B19" i="22" s="1"/>
  <c r="B20" i="22" s="1"/>
  <c r="B21" i="22" s="1"/>
  <c r="B22" i="22" s="1"/>
  <c r="B23" i="22" s="1"/>
  <c r="B24" i="22" s="1"/>
  <c r="B25" i="22" s="1"/>
  <c r="B26" i="22" s="1"/>
  <c r="B27" i="22" s="1"/>
  <c r="B28" i="22" s="1"/>
  <c r="B29" i="22" s="1"/>
  <c r="B30" i="22" s="1"/>
  <c r="B31" i="22" s="1"/>
  <c r="B32" i="22" s="1"/>
  <c r="B33" i="22" s="1"/>
  <c r="B34" i="22" s="1"/>
  <c r="B35" i="22" s="1"/>
  <c r="B36" i="22" s="1"/>
  <c r="B37" i="22" s="1"/>
  <c r="B38" i="22" s="1"/>
  <c r="B39" i="22" s="1"/>
  <c r="B40" i="22" s="1"/>
  <c r="B41" i="22" s="1"/>
  <c r="B42" i="22" s="1"/>
  <c r="B43" i="22" s="1"/>
  <c r="B44" i="22" s="1"/>
  <c r="B45" i="22" s="1"/>
  <c r="B46" i="22" s="1"/>
  <c r="B47" i="22" s="1"/>
  <c r="B48" i="22" s="1"/>
  <c r="B49" i="22" s="1"/>
  <c r="B50" i="22" s="1"/>
  <c r="B51" i="22" s="1"/>
  <c r="B52" i="22" s="1"/>
  <c r="B53" i="22" s="1"/>
  <c r="B54" i="22" s="1"/>
  <c r="B55" i="22" s="1"/>
  <c r="B56" i="22" s="1"/>
  <c r="B57" i="22" s="1"/>
  <c r="B58" i="22" s="1"/>
  <c r="B59" i="22" s="1"/>
  <c r="B60" i="22" s="1"/>
  <c r="B61" i="22" s="1"/>
  <c r="B62" i="22" s="1"/>
  <c r="B63" i="22" s="1"/>
  <c r="B64" i="22" s="1"/>
  <c r="B65" i="22" s="1"/>
  <c r="B66" i="22" s="1"/>
  <c r="B67" i="22" s="1"/>
  <c r="B68" i="22" s="1"/>
  <c r="B69" i="22" s="1"/>
  <c r="B70" i="22" s="1"/>
  <c r="B71" i="22" s="1"/>
  <c r="B72" i="22" s="1"/>
  <c r="B73" i="22" s="1"/>
  <c r="B74" i="22" s="1"/>
  <c r="B75" i="22" s="1"/>
  <c r="B76" i="22" s="1"/>
  <c r="B77" i="22" s="1"/>
  <c r="B78" i="22" s="1"/>
  <c r="B79" i="22" s="1"/>
  <c r="B80" i="22" s="1"/>
  <c r="B81" i="22" s="1"/>
  <c r="B82" i="22" s="1"/>
  <c r="B83" i="22" s="1"/>
  <c r="B84" i="22" s="1"/>
  <c r="B85" i="22" s="1"/>
  <c r="B86" i="22" s="1"/>
  <c r="B87" i="22" s="1"/>
  <c r="B88" i="22" s="1"/>
  <c r="B89" i="22" s="1"/>
  <c r="B90" i="22" s="1"/>
  <c r="B91" i="22" s="1"/>
  <c r="B92" i="22" s="1"/>
  <c r="B93" i="22" s="1"/>
  <c r="B94" i="22" s="1"/>
  <c r="B95" i="22" s="1"/>
  <c r="B96" i="22" s="1"/>
  <c r="B97" i="22" s="1"/>
  <c r="B98" i="22" s="1"/>
  <c r="B99" i="22" s="1"/>
  <c r="B100" i="22" s="1"/>
  <c r="B101" i="22" s="1"/>
  <c r="B102" i="22" s="1"/>
  <c r="B103" i="22" s="1"/>
  <c r="B104" i="22" s="1"/>
  <c r="B105" i="22" s="1"/>
  <c r="B106" i="22" s="1"/>
  <c r="B107" i="22" s="1"/>
  <c r="B108" i="22" s="1"/>
  <c r="B109" i="22" s="1"/>
  <c r="B110" i="22" s="1"/>
  <c r="B111" i="22" s="1"/>
  <c r="B112" i="22" s="1"/>
  <c r="B113" i="22" s="1"/>
  <c r="B114" i="22" s="1"/>
  <c r="B115" i="22" s="1"/>
  <c r="B116" i="22" s="1"/>
  <c r="B117" i="22" s="1"/>
  <c r="B118" i="22" s="1"/>
  <c r="B119" i="22" s="1"/>
  <c r="B120" i="22" s="1"/>
  <c r="B121" i="22" s="1"/>
  <c r="B122" i="22" s="1"/>
  <c r="B123" i="22" s="1"/>
  <c r="B124" i="22" s="1"/>
  <c r="B125" i="22" s="1"/>
  <c r="B126" i="22" s="1"/>
  <c r="B127" i="22" s="1"/>
  <c r="B128" i="22" s="1"/>
  <c r="B129" i="22" s="1"/>
  <c r="B130" i="22" s="1"/>
  <c r="B131" i="22" s="1"/>
  <c r="B132" i="22" s="1"/>
  <c r="B133" i="22" s="1"/>
  <c r="B134" i="22" s="1"/>
  <c r="B135" i="22" s="1"/>
  <c r="B136" i="22" s="1"/>
  <c r="B137" i="22" s="1"/>
  <c r="B138" i="22" s="1"/>
  <c r="B139" i="22" s="1"/>
  <c r="B140" i="22" s="1"/>
  <c r="B141" i="22" s="1"/>
  <c r="B142" i="22" s="1"/>
  <c r="B143" i="22" s="1"/>
  <c r="B144" i="22" s="1"/>
  <c r="B145" i="22" s="1"/>
  <c r="B146" i="22" s="1"/>
  <c r="B147" i="22" s="1"/>
  <c r="B148" i="22" s="1"/>
  <c r="B149" i="22" s="1"/>
  <c r="B150" i="22" s="1"/>
  <c r="B151" i="22" s="1"/>
  <c r="B152" i="22" s="1"/>
  <c r="B153" i="22" s="1"/>
  <c r="B154" i="22" s="1"/>
  <c r="B155" i="22" s="1"/>
  <c r="B156" i="22" s="1"/>
  <c r="B157" i="22" s="1"/>
  <c r="B158" i="22" s="1"/>
  <c r="B159" i="22" s="1"/>
  <c r="B160" i="22" s="1"/>
  <c r="B161" i="22" s="1"/>
  <c r="B162" i="22" s="1"/>
  <c r="B163" i="22" s="1"/>
  <c r="B164" i="22" s="1"/>
  <c r="B165" i="22" s="1"/>
  <c r="B166" i="22" s="1"/>
  <c r="B167" i="22" s="1"/>
  <c r="B168" i="22" s="1"/>
  <c r="B169" i="22" s="1"/>
  <c r="B170" i="22" s="1"/>
  <c r="B171" i="22" s="1"/>
  <c r="B172" i="22" s="1"/>
  <c r="B173" i="22" s="1"/>
  <c r="B174" i="22" s="1"/>
  <c r="B175" i="22" s="1"/>
  <c r="B176" i="22" s="1"/>
  <c r="B177" i="22" s="1"/>
  <c r="B178" i="22" s="1"/>
  <c r="B179" i="22" s="1"/>
  <c r="B180" i="22" s="1"/>
  <c r="B181" i="22" s="1"/>
  <c r="B182" i="22" s="1"/>
  <c r="B183" i="22" s="1"/>
  <c r="B184" i="22" s="1"/>
  <c r="B185" i="22" s="1"/>
  <c r="B186" i="22" s="1"/>
  <c r="B187" i="22" s="1"/>
  <c r="B188" i="22" s="1"/>
  <c r="B189" i="22" s="1"/>
  <c r="B190" i="22" s="1"/>
  <c r="B191" i="22" s="1"/>
  <c r="B192" i="22" s="1"/>
  <c r="B193" i="22" s="1"/>
  <c r="B194" i="22" s="1"/>
  <c r="B195" i="22" s="1"/>
  <c r="B196" i="22" s="1"/>
  <c r="B197" i="22" s="1"/>
  <c r="B198" i="22" s="1"/>
  <c r="B199" i="22" s="1"/>
  <c r="B200" i="22" s="1"/>
  <c r="B201" i="22" s="1"/>
  <c r="B3" i="22"/>
  <c r="H201" i="5" l="1"/>
  <c r="H193" i="5"/>
  <c r="H185" i="5"/>
  <c r="H177" i="5"/>
  <c r="H169" i="5"/>
  <c r="H161" i="5"/>
  <c r="H153" i="5"/>
  <c r="H145" i="5"/>
  <c r="H137" i="5"/>
  <c r="H129" i="5"/>
  <c r="H121" i="5"/>
  <c r="H113" i="5"/>
  <c r="H105" i="5"/>
  <c r="H97" i="5"/>
  <c r="H89" i="5"/>
  <c r="H81" i="5"/>
  <c r="H73" i="5"/>
  <c r="H65" i="5"/>
  <c r="H57" i="5"/>
  <c r="H49" i="5"/>
  <c r="H41" i="5"/>
  <c r="H33" i="5"/>
  <c r="H25" i="5"/>
  <c r="H17" i="5"/>
  <c r="H9" i="5"/>
  <c r="I2" i="22"/>
  <c r="I10" i="22"/>
  <c r="I18" i="22"/>
  <c r="I26" i="22"/>
  <c r="I34" i="22"/>
  <c r="I42" i="22"/>
  <c r="I50" i="22"/>
  <c r="I58" i="22"/>
  <c r="I66" i="22"/>
  <c r="I74" i="22"/>
  <c r="I82" i="22"/>
  <c r="I90" i="22"/>
  <c r="I98" i="22"/>
  <c r="I106" i="22"/>
  <c r="I114" i="22"/>
  <c r="I122" i="22"/>
  <c r="I130" i="22"/>
  <c r="I138" i="22"/>
  <c r="I146" i="22"/>
  <c r="I154" i="22"/>
  <c r="I162" i="22"/>
  <c r="I170" i="22"/>
  <c r="I178" i="22"/>
  <c r="I186" i="22"/>
  <c r="I194" i="22"/>
  <c r="H200" i="5"/>
  <c r="H192" i="5"/>
  <c r="H184" i="5"/>
  <c r="H176" i="5"/>
  <c r="H168" i="5"/>
  <c r="H160" i="5"/>
  <c r="H152" i="5"/>
  <c r="H144" i="5"/>
  <c r="H136" i="5"/>
  <c r="H128" i="5"/>
  <c r="H120" i="5"/>
  <c r="H112" i="5"/>
  <c r="H104" i="5"/>
  <c r="H96" i="5"/>
  <c r="H88" i="5"/>
  <c r="H80" i="5"/>
  <c r="H72" i="5"/>
  <c r="H64" i="5"/>
  <c r="H56" i="5"/>
  <c r="H48" i="5"/>
  <c r="H40" i="5"/>
  <c r="H32" i="5"/>
  <c r="H24" i="5"/>
  <c r="H16" i="5"/>
  <c r="H8" i="5"/>
  <c r="I3" i="22"/>
  <c r="I11" i="22"/>
  <c r="I19" i="22"/>
  <c r="I27" i="22"/>
  <c r="I35" i="22"/>
  <c r="I43" i="22"/>
  <c r="I51" i="22"/>
  <c r="I59" i="22"/>
  <c r="I67" i="22"/>
  <c r="I75" i="22"/>
  <c r="I83" i="22"/>
  <c r="I91" i="22"/>
  <c r="I99" i="22"/>
  <c r="I107" i="22"/>
  <c r="I115" i="22"/>
  <c r="I123" i="22"/>
  <c r="I131" i="22"/>
  <c r="I139" i="22"/>
  <c r="I147" i="22"/>
  <c r="I155" i="22"/>
  <c r="I163" i="22"/>
  <c r="I171" i="22"/>
  <c r="I179" i="22"/>
  <c r="I187" i="22"/>
  <c r="I195" i="22"/>
  <c r="H199" i="5"/>
  <c r="H191" i="5"/>
  <c r="H183" i="5"/>
  <c r="H175" i="5"/>
  <c r="H167" i="5"/>
  <c r="H159" i="5"/>
  <c r="H151" i="5"/>
  <c r="H143" i="5"/>
  <c r="H135" i="5"/>
  <c r="H127" i="5"/>
  <c r="H119" i="5"/>
  <c r="H111" i="5"/>
  <c r="H103" i="5"/>
  <c r="H95" i="5"/>
  <c r="H87" i="5"/>
  <c r="H79" i="5"/>
  <c r="H71" i="5"/>
  <c r="H63" i="5"/>
  <c r="H55" i="5"/>
  <c r="H47" i="5"/>
  <c r="H39" i="5"/>
  <c r="H31" i="5"/>
  <c r="H23" i="5"/>
  <c r="H15" i="5"/>
  <c r="H7" i="5"/>
  <c r="I4" i="22"/>
  <c r="I12" i="22"/>
  <c r="I20" i="22"/>
  <c r="I28" i="22"/>
  <c r="I36" i="22"/>
  <c r="I44" i="22"/>
  <c r="I52" i="22"/>
  <c r="I60" i="22"/>
  <c r="I68" i="22"/>
  <c r="I76" i="22"/>
  <c r="I84" i="22"/>
  <c r="I92" i="22"/>
  <c r="I100" i="22"/>
  <c r="I108" i="22"/>
  <c r="I116" i="22"/>
  <c r="I124" i="22"/>
  <c r="I132" i="22"/>
  <c r="I140" i="22"/>
  <c r="I148" i="22"/>
  <c r="I156" i="22"/>
  <c r="I164" i="22"/>
  <c r="I172" i="22"/>
  <c r="I180" i="22"/>
  <c r="I188" i="22"/>
  <c r="I196" i="22"/>
  <c r="H198" i="5"/>
  <c r="H190" i="5"/>
  <c r="H182" i="5"/>
  <c r="H174" i="5"/>
  <c r="H166" i="5"/>
  <c r="H158" i="5"/>
  <c r="H150" i="5"/>
  <c r="H142" i="5"/>
  <c r="H134" i="5"/>
  <c r="H126" i="5"/>
  <c r="H118" i="5"/>
  <c r="H110" i="5"/>
  <c r="H102" i="5"/>
  <c r="H94" i="5"/>
  <c r="H86" i="5"/>
  <c r="H78" i="5"/>
  <c r="H70" i="5"/>
  <c r="H62" i="5"/>
  <c r="H54" i="5"/>
  <c r="H46" i="5"/>
  <c r="H38" i="5"/>
  <c r="H30" i="5"/>
  <c r="H22" i="5"/>
  <c r="H14" i="5"/>
  <c r="H6" i="5"/>
  <c r="I5" i="22"/>
  <c r="I13" i="22"/>
  <c r="I21" i="22"/>
  <c r="I29" i="22"/>
  <c r="I37" i="22"/>
  <c r="I45" i="22"/>
  <c r="I53" i="22"/>
  <c r="I61" i="22"/>
  <c r="I69" i="22"/>
  <c r="I77" i="22"/>
  <c r="I85" i="22"/>
  <c r="I93" i="22"/>
  <c r="I101" i="22"/>
  <c r="I109" i="22"/>
  <c r="I117" i="22"/>
  <c r="I125" i="22"/>
  <c r="I133" i="22"/>
  <c r="I141" i="22"/>
  <c r="I149" i="22"/>
  <c r="I157" i="22"/>
  <c r="I165" i="22"/>
  <c r="I173" i="22"/>
  <c r="I181" i="22"/>
  <c r="I189" i="22"/>
  <c r="I197" i="2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AD1127F-702B-4D49-A5A8-E2CA5CB54345}" keepAlive="1" name="Query - Table1" description="Connection to the 'Table1' query in the workbook." type="5" refreshedVersion="6" background="1" saveData="1">
    <dbPr connection="Provider=Microsoft.Mashup.OleDb.1;Data Source=$Workbook$;Location=Table1;Extended Properties=&quot;&quot;" command="SELECT * FROM [Table1]"/>
  </connection>
  <connection id="2" xr16:uid="{BE7EDB29-788A-4D0C-99F0-AA5268866553}" keepAlive="1" name="Query - Table1 (2)" description="Connection to the 'Table1 (2)' query in the workbook." type="5" refreshedVersion="6" background="1" saveData="1">
    <dbPr connection="Provider=Microsoft.Mashup.OleDb.1;Data Source=$Workbook$;Location=&quot;Table1 (2)&quot;;Extended Properties=&quot;&quot;" command="SELECT * FROM [Table1 (2)]"/>
  </connection>
  <connection id="3" xr16:uid="{3BF230FF-B4F0-4CC7-B8CB-3161CAB8E695}" keepAlive="1" name="Query - Table1_2" description="Connection to the 'Table1_2' query in the workbook." type="5" refreshedVersion="6" background="1" saveData="1">
    <dbPr connection="Provider=Microsoft.Mashup.OleDb.1;Data Source=$Workbook$;Location=Table1_2;Extended Properties=&quot;&quot;" command="SELECT * FROM [Table1_2]"/>
  </connection>
  <connection id="4" xr16:uid="{38C616D6-3693-4B21-AE0E-24A3AE243C7D}" keepAlive="1" name="Query - Table1_29" description="Connection to the 'Table1_29' query in the workbook." type="5" refreshedVersion="8" background="1" saveData="1">
    <dbPr connection="Provider=Microsoft.Mashup.OleDb.1;Data Source=$Workbook$;Location=Table1_29;Extended Properties=&quot;&quot;" command="SELECT * FROM [Table1_29]"/>
  </connection>
  <connection id="5" xr16:uid="{E8C55D59-2D79-4171-BEAB-2939D010B465}" keepAlive="1" name="Query - Table1_30" description="Connection to the 'Table1_30' query in the workbook." type="5" refreshedVersion="0" background="1">
    <dbPr connection="Provider=Microsoft.Mashup.OleDb.1;Data Source=$Workbook$;Location=Table1_30;Extended Properties=&quot;&quot;" command="SELECT * FROM [Table1_30]"/>
  </connection>
  <connection id="6" xr16:uid="{DBBE3AF4-CA6C-48E7-8F2F-D218F02B78BA}" keepAlive="1" name="Query - Table1_30 (2)" description="Connection to the 'Table1_30 (2)' query in the workbook." type="5" refreshedVersion="8" background="1" saveData="1">
    <dbPr connection="Provider=Microsoft.Mashup.OleDb.1;Data Source=$Workbook$;Location=&quot;Table1_30 (2)&quot;;Extended Properties=&quot;&quot;" command="SELECT * FROM [Table1_30 (2)]"/>
  </connection>
  <connection id="7" xr16:uid="{B821C826-2336-44BB-8F50-CDCFC6D7D623}" keepAlive="1" name="Query - Table3" description="Connection to the 'Table3' query in the workbook." type="5" refreshedVersion="6" background="1" saveData="1">
    <dbPr connection="Provider=Microsoft.Mashup.OleDb.1;Data Source=$Workbook$;Location=Table3;Extended Properties=&quot;&quot;" command="SELECT * FROM [Table3]"/>
  </connection>
  <connection id="8" xr16:uid="{3D2E1262-1255-43C6-910F-9AC89C31B46C}" keepAlive="1" name="Query - Table3 (2)" description="Connection to the 'Table3 (2)' query in the workbook." type="5" refreshedVersion="8" background="1" saveData="1">
    <dbPr connection="Provider=Microsoft.Mashup.OleDb.1;Data Source=$Workbook$;Location=&quot;Table3 (2)&quot;;Extended Properties=&quot;&quot;" command="SELECT * FROM [Table3 (2)]"/>
  </connection>
  <connection id="9" xr16:uid="{2F676006-8956-421D-9C80-B81D1CF61BF9}" keepAlive="1" name="Query - Table3 (3)" description="Connection to the 'Table3 (3)' query in the workbook." type="5" refreshedVersion="8" background="1" saveData="1">
    <dbPr connection="Provider=Microsoft.Mashup.OleDb.1;Data Source=$Workbook$;Location=&quot;Table3 (3)&quot;;Extended Properties=&quot;&quot;" command="SELECT * FROM [Table3 (3)]"/>
  </connection>
  <connection id="10" xr16:uid="{368461C1-9090-427A-80F9-DA3BDC06A45A}" keepAlive="1" name="Query - Table3 (4)" description="Connection to the 'Table3 (4)' query in the workbook." type="5" refreshedVersion="6" background="1" saveData="1">
    <dbPr connection="Provider=Microsoft.Mashup.OleDb.1;Data Source=$Workbook$;Location=&quot;Table3 (4)&quot;;Extended Properties=&quot;&quot;" command="SELECT * FROM [Table3 (4)]"/>
  </connection>
  <connection id="11" xr16:uid="{58B2D58E-5A5E-4EC8-B277-33819F5A8B61}" keepAlive="1" name="Query - Table3 (5)" description="Connection to the 'Table3 (5)' query in the workbook." type="5" refreshedVersion="8" background="1" saveData="1">
    <dbPr connection="Provider=Microsoft.Mashup.OleDb.1;Data Source=$Workbook$;Location=&quot;Table3 (5)&quot;;Extended Properties=&quot;&quot;" command="SELECT * FROM [Table3 (5)]"/>
  </connection>
  <connection id="12" xr16:uid="{EBB21F48-27BB-45C4-BEE6-CB830E5E523B}" keepAlive="1" name="Query - Table3 (6)" description="Connection to the 'Table3 (6)' query in the workbook." type="5" refreshedVersion="8" background="1" saveData="1">
    <dbPr connection="Provider=Microsoft.Mashup.OleDb.1;Data Source=$Workbook$;Location=&quot;Table3 (6)&quot;;Extended Properties=&quot;&quot;" command="SELECT * FROM [Table3 (6)]"/>
  </connection>
  <connection id="13" xr16:uid="{F931630B-853D-45BA-8266-8E71EF8DBFEA}" keepAlive="1" name="Query - Table3 (7)" description="Connection to the 'Table3 (7)' query in the workbook." type="5" refreshedVersion="6" background="1" saveData="1">
    <dbPr connection="Provider=Microsoft.Mashup.OleDb.1;Data Source=$Workbook$;Location=&quot;Table3 (7)&quot;;Extended Properties=&quot;&quot;" command="SELECT * FROM [Table3 (7)]"/>
  </connection>
  <connection id="14" xr16:uid="{1B262EA3-5501-494A-B4C2-735BC5BE7105}" keepAlive="1" name="Query - Table3 (8)" description="Connection to the 'Table3 (8)' query in the workbook." type="5" refreshedVersion="6" background="1" saveData="1">
    <dbPr connection="Provider=Microsoft.Mashup.OleDb.1;Data Source=$Workbook$;Location=&quot;Table3 (8)&quot;;Extended Properties=&quot;&quot;" command="SELECT * FROM [Table3 (8)]"/>
  </connection>
  <connection id="15" xr16:uid="{49FE93D6-075F-4E3A-A0BC-7BFE14826A34}" keepAlive="1" name="Query - Table5" description="Connection to the 'Table5' query in the workbook." type="5" refreshedVersion="6" background="1" saveData="1">
    <dbPr connection="Provider=Microsoft.Mashup.OleDb.1;Data Source=$Workbook$;Location=Table5;Extended Properties=&quot;&quot;" command="SELECT * FROM [Table5]"/>
  </connection>
  <connection id="16" xr16:uid="{B5C2ADE7-0C23-4BB2-8ADC-720F3D2E39DB}" keepAlive="1" name="Query - Table5 (2)" description="Connection to the 'Table5 (2)' query in the workbook." type="5" refreshedVersion="6" background="1" saveData="1">
    <dbPr connection="Provider=Microsoft.Mashup.OleDb.1;Data Source=$Workbook$;Location=&quot;Table5 (2)&quot;;Extended Properties=&quot;&quot;" command="SELECT * FROM [Table5 (2)]"/>
  </connection>
</connections>
</file>

<file path=xl/sharedStrings.xml><?xml version="1.0" encoding="utf-8"?>
<sst xmlns="http://schemas.openxmlformats.org/spreadsheetml/2006/main" count="19306" uniqueCount="486">
  <si>
    <t>PostID</t>
  </si>
  <si>
    <t>Platform</t>
  </si>
  <si>
    <t>Date</t>
  </si>
  <si>
    <t>ContentType</t>
  </si>
  <si>
    <t>Hashtags</t>
  </si>
  <si>
    <t>Likes</t>
  </si>
  <si>
    <t>Shares</t>
  </si>
  <si>
    <t>Comments</t>
  </si>
  <si>
    <t>Clicks</t>
  </si>
  <si>
    <t>Reach</t>
  </si>
  <si>
    <t>Impressions</t>
  </si>
  <si>
    <t>Campaign</t>
  </si>
  <si>
    <t>A1</t>
  </si>
  <si>
    <t>YouTube</t>
  </si>
  <si>
    <t>Image</t>
  </si>
  <si>
    <t>#AppleWatchUltra2 #HealthTech</t>
  </si>
  <si>
    <t>Apple Watch Ultra 2 Launch</t>
  </si>
  <si>
    <t>A2</t>
  </si>
  <si>
    <t>LinkedIn</t>
  </si>
  <si>
    <t>#MacBookAirM3 #AppleInnovation</t>
  </si>
  <si>
    <t>Apple Event September 2025</t>
  </si>
  <si>
    <t>A3</t>
  </si>
  <si>
    <t>Instagram</t>
  </si>
  <si>
    <t>Tweet</t>
  </si>
  <si>
    <t>#AppleDesign #Innovation</t>
  </si>
  <si>
    <t>Sustainability Awareness Drive</t>
  </si>
  <si>
    <t>A4</t>
  </si>
  <si>
    <t>Video</t>
  </si>
  <si>
    <t>#AppleEvent #iPadPro</t>
  </si>
  <si>
    <t>iPhone 16 Launch</t>
  </si>
  <si>
    <t>A5</t>
  </si>
  <si>
    <t>A6</t>
  </si>
  <si>
    <t>#ShotOniPhone</t>
  </si>
  <si>
    <t>A7</t>
  </si>
  <si>
    <t>Carousel</t>
  </si>
  <si>
    <t>#AppleMusic #AppleLifestyle</t>
  </si>
  <si>
    <t>A8</t>
  </si>
  <si>
    <t>#AppleWatch #Health</t>
  </si>
  <si>
    <t>A9</t>
  </si>
  <si>
    <t>A10</t>
  </si>
  <si>
    <t>Twitter</t>
  </si>
  <si>
    <t>#iPhone16Launch #AppleEvent</t>
  </si>
  <si>
    <t>A11</t>
  </si>
  <si>
    <t>A12</t>
  </si>
  <si>
    <t>A13</t>
  </si>
  <si>
    <t>MacBook Air M3 Campaign</t>
  </si>
  <si>
    <t>A14</t>
  </si>
  <si>
    <t>A15</t>
  </si>
  <si>
    <t>A16</t>
  </si>
  <si>
    <t>A17</t>
  </si>
  <si>
    <t>#AppleEvent #iPhone16</t>
  </si>
  <si>
    <t>A18</t>
  </si>
  <si>
    <t>A19</t>
  </si>
  <si>
    <t>A20</t>
  </si>
  <si>
    <t>A21</t>
  </si>
  <si>
    <t>#iPhonePhotography #ShotOniPhone</t>
  </si>
  <si>
    <t>A22</t>
  </si>
  <si>
    <t>A23</t>
  </si>
  <si>
    <t>A24</t>
  </si>
  <si>
    <t>A25</t>
  </si>
  <si>
    <t>A26</t>
  </si>
  <si>
    <t>A27</t>
  </si>
  <si>
    <t>A28</t>
  </si>
  <si>
    <t>A29</t>
  </si>
  <si>
    <t>#MacBookProM3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</si>
  <si>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</si>
  <si>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</si>
  <si>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</si>
  <si>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</si>
  <si>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</si>
  <si>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</si>
  <si>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</si>
  <si>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</si>
  <si>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</si>
  <si>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</si>
  <si>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</si>
  <si>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</si>
  <si>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</si>
  <si>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</si>
  <si>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</si>
  <si>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</si>
  <si>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</si>
  <si>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</si>
  <si>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</si>
  <si>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</si>
  <si>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</si>
  <si>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</si>
  <si>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</si>
  <si>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</si>
  <si>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</si>
  <si>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</si>
  <si>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</si>
  <si>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</si>
  <si>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</si>
  <si>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</si>
  <si>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</si>
  <si>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A61</t>
  </si>
  <si>
    <t>A62</t>
  </si>
  <si>
    <t>A63</t>
  </si>
  <si>
    <t>A64</t>
  </si>
  <si>
    <t>A65</t>
  </si>
  <si>
    <t>A66</t>
  </si>
  <si>
    <t>A67</t>
  </si>
  <si>
    <t>A68</t>
  </si>
  <si>
    <t>A69</t>
  </si>
  <si>
    <t>A70</t>
  </si>
  <si>
    <t>A71</t>
  </si>
  <si>
    <t>A72</t>
  </si>
  <si>
    <t>A73</t>
  </si>
  <si>
    <t>A74</t>
  </si>
  <si>
    <t>A75</t>
  </si>
  <si>
    <t>A76</t>
  </si>
  <si>
    <t>A77</t>
  </si>
  <si>
    <t>A78</t>
  </si>
  <si>
    <t>A79</t>
  </si>
  <si>
    <t>#Sustainability #AppleEarth</t>
  </si>
  <si>
    <t>A80</t>
  </si>
  <si>
    <t>A81</t>
  </si>
  <si>
    <t>A82</t>
  </si>
  <si>
    <t>A83</t>
  </si>
  <si>
    <t>A84</t>
  </si>
  <si>
    <t>A85</t>
  </si>
  <si>
    <t>A86</t>
  </si>
  <si>
    <t>A87</t>
  </si>
  <si>
    <t>A88</t>
  </si>
  <si>
    <t>A89</t>
  </si>
  <si>
    <t>A90</t>
  </si>
  <si>
    <t>A91</t>
  </si>
  <si>
    <t>A92</t>
  </si>
  <si>
    <t>A93</t>
  </si>
  <si>
    <t>A94</t>
  </si>
  <si>
    <t>A95</t>
  </si>
  <si>
    <t>A96</t>
  </si>
  <si>
    <t>A97</t>
  </si>
  <si>
    <t>A98</t>
  </si>
  <si>
    <t>A99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</si>
  <si>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</si>
  <si>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</si>
  <si>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</si>
  <si>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</si>
  <si>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</si>
  <si>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</si>
  <si>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</si>
  <si>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</si>
  <si>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</si>
  <si>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</si>
  <si>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</si>
  <si>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</si>
  <si>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</si>
  <si>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</si>
  <si>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</si>
  <si>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</si>
  <si>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</si>
  <si>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</si>
  <si>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</si>
  <si>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</si>
  <si>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</si>
  <si>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</si>
  <si>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</si>
  <si>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</si>
  <si>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</si>
  <si>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</si>
  <si>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</si>
  <si>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</si>
  <si>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</si>
  <si>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</si>
  <si>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</si>
  <si>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</si>
  <si>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</si>
  <si>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</si>
  <si>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</si>
  <si>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</si>
  <si>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</si>
  <si>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</si>
  <si>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</si>
  <si>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</si>
  <si>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</si>
  <si>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</si>
  <si>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</si>
  <si>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</si>
  <si>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</si>
  <si>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</si>
  <si>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</si>
  <si>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</si>
  <si>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</si>
  <si>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</si>
  <si>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</si>
  <si>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</si>
  <si>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</si>
  <si>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</si>
  <si>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</si>
  <si>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</si>
  <si>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</si>
  <si>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</si>
  <si>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</si>
  <si>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</si>
  <si>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</si>
  <si>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</si>
  <si>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</si>
  <si>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A163</t>
  </si>
  <si>
    <t>A164</t>
  </si>
  <si>
    <t>A165</t>
  </si>
  <si>
    <t>A166</t>
  </si>
  <si>
    <t>A167</t>
  </si>
  <si>
    <t>A168</t>
  </si>
  <si>
    <t>A169</t>
  </si>
  <si>
    <t>A170</t>
  </si>
  <si>
    <t>A171</t>
  </si>
  <si>
    <t>A172</t>
  </si>
  <si>
    <t>A173</t>
  </si>
  <si>
    <t>A174</t>
  </si>
  <si>
    <t>A175</t>
  </si>
  <si>
    <t>A176</t>
  </si>
  <si>
    <t>A177</t>
  </si>
  <si>
    <t>A178</t>
  </si>
  <si>
    <t>A179</t>
  </si>
  <si>
    <t>A180</t>
  </si>
  <si>
    <t>A181</t>
  </si>
  <si>
    <t>A182</t>
  </si>
  <si>
    <t>A183</t>
  </si>
  <si>
    <t>A184</t>
  </si>
  <si>
    <t>A185</t>
  </si>
  <si>
    <t>A186</t>
  </si>
  <si>
    <t>A187</t>
  </si>
  <si>
    <t>A188</t>
  </si>
  <si>
    <t>A189</t>
  </si>
  <si>
    <t>A190</t>
  </si>
  <si>
    <t>A191</t>
  </si>
  <si>
    <t>A192</t>
  </si>
  <si>
    <t>A193</t>
  </si>
  <si>
    <t>A194</t>
  </si>
  <si>
    <t>A195</t>
  </si>
  <si>
    <t>A196</t>
  </si>
  <si>
    <t>A197</t>
  </si>
  <si>
    <t>A198</t>
  </si>
  <si>
    <t>A199</t>
  </si>
  <si>
    <t>A200</t>
  </si>
  <si>
    <t>A201</t>
  </si>
  <si>
    <t>A202</t>
  </si>
  <si>
    <t>A203</t>
  </si>
  <si>
    <t>A204</t>
  </si>
  <si>
    <t>A205</t>
  </si>
  <si>
    <t>A206</t>
  </si>
  <si>
    <t>A207</t>
  </si>
  <si>
    <t>A208</t>
  </si>
  <si>
    <t>A209</t>
  </si>
  <si>
    <t>A210</t>
  </si>
  <si>
    <t>A211</t>
  </si>
  <si>
    <t>A212</t>
  </si>
  <si>
    <t>A213</t>
  </si>
  <si>
    <t>A214</t>
  </si>
  <si>
    <t>A215</t>
  </si>
  <si>
    <t>A216</t>
  </si>
  <si>
    <t>A217</t>
  </si>
  <si>
    <t>A218</t>
  </si>
  <si>
    <t>A219</t>
  </si>
  <si>
    <t>A220</t>
  </si>
  <si>
    <t>A221</t>
  </si>
  <si>
    <t>A222</t>
  </si>
  <si>
    <t>A223</t>
  </si>
  <si>
    <t>A224</t>
  </si>
  <si>
    <t>A225</t>
  </si>
  <si>
    <t>A226</t>
  </si>
  <si>
    <t>A227</t>
  </si>
  <si>
    <t>A228</t>
  </si>
  <si>
    <t>A229</t>
  </si>
  <si>
    <t>A230</t>
  </si>
  <si>
    <t>A231</t>
  </si>
  <si>
    <t>A232</t>
  </si>
  <si>
    <t>A233</t>
  </si>
  <si>
    <t>A234</t>
  </si>
  <si>
    <t>A235</t>
  </si>
  <si>
    <t>A236</t>
  </si>
  <si>
    <t>A237</t>
  </si>
  <si>
    <t>A238</t>
  </si>
  <si>
    <t>A239</t>
  </si>
  <si>
    <t>A240</t>
  </si>
  <si>
    <t>A241</t>
  </si>
  <si>
    <t>A242</t>
  </si>
  <si>
    <t>A243</t>
  </si>
  <si>
    <t>A244</t>
  </si>
  <si>
    <t>A245</t>
  </si>
  <si>
    <t>A246</t>
  </si>
  <si>
    <t>A247</t>
  </si>
  <si>
    <t>A248</t>
  </si>
  <si>
    <t>A249</t>
  </si>
  <si>
    <t>A250</t>
  </si>
  <si>
    <t>A251</t>
  </si>
  <si>
    <t>A252</t>
  </si>
  <si>
    <t>A253</t>
  </si>
  <si>
    <t>A254</t>
  </si>
  <si>
    <t>A255</t>
  </si>
  <si>
    <t>A256</t>
  </si>
  <si>
    <t>A257</t>
  </si>
  <si>
    <t>A258</t>
  </si>
  <si>
    <t>A259</t>
  </si>
  <si>
    <t>A260</t>
  </si>
  <si>
    <t>A261</t>
  </si>
  <si>
    <t>A262</t>
  </si>
  <si>
    <t>A263</t>
  </si>
  <si>
    <t>A264</t>
  </si>
  <si>
    <t>A265</t>
  </si>
  <si>
    <t>A266</t>
  </si>
  <si>
    <t>A267</t>
  </si>
  <si>
    <t>A268</t>
  </si>
  <si>
    <t>A269</t>
  </si>
  <si>
    <t>A270</t>
  </si>
  <si>
    <t>A271</t>
  </si>
  <si>
    <t>A272</t>
  </si>
  <si>
    <t>A273</t>
  </si>
  <si>
    <t>A274</t>
  </si>
  <si>
    <t>A275</t>
  </si>
  <si>
    <t>A276</t>
  </si>
  <si>
    <t>A277</t>
  </si>
  <si>
    <t>A278</t>
  </si>
  <si>
    <t>A279</t>
  </si>
  <si>
    <t>A280</t>
  </si>
  <si>
    <t>A281</t>
  </si>
  <si>
    <t>A282</t>
  </si>
  <si>
    <t>A283</t>
  </si>
  <si>
    <t>A284</t>
  </si>
  <si>
    <t>A285</t>
  </si>
  <si>
    <t>A286</t>
  </si>
  <si>
    <t>A287</t>
  </si>
  <si>
    <t>A288</t>
  </si>
  <si>
    <t>A289</t>
  </si>
  <si>
    <t>A290</t>
  </si>
  <si>
    <t>A291</t>
  </si>
  <si>
    <t>A292</t>
  </si>
  <si>
    <t>A293</t>
  </si>
  <si>
    <t>A294</t>
  </si>
  <si>
    <t>A295</t>
  </si>
  <si>
    <t>A296</t>
  </si>
  <si>
    <t>A297</t>
  </si>
  <si>
    <t>A298</t>
  </si>
  <si>
    <t>A299</t>
  </si>
  <si>
    <t>A300</t>
  </si>
  <si>
    <t>Week_Start_Date</t>
  </si>
  <si>
    <t>New_Followers</t>
  </si>
  <si>
    <t>Unfollows</t>
  </si>
  <si>
    <t>Total_Followers</t>
  </si>
  <si>
    <t>Engagement_Rate</t>
  </si>
  <si>
    <t>Ad_Spend</t>
  </si>
  <si>
    <t>Campaign_Name</t>
  </si>
  <si>
    <t>Start_Date</t>
  </si>
  <si>
    <t>End_Date</t>
  </si>
  <si>
    <t>Objective</t>
  </si>
  <si>
    <t>Engagement_Uplift</t>
  </si>
  <si>
    <t>Product Launch</t>
  </si>
  <si>
    <t>Product Promotion</t>
  </si>
  <si>
    <t>Health &amp; Fitness Awareness</t>
  </si>
  <si>
    <t>Sustainability Branding</t>
  </si>
  <si>
    <t>Brand Engagement</t>
  </si>
  <si>
    <t>#AppleWatchUltra2</t>
  </si>
  <si>
    <t>#HealthTech</t>
  </si>
  <si>
    <t>#MacBookAirM3</t>
  </si>
  <si>
    <t>#AppleInnovation</t>
  </si>
  <si>
    <t>#AppleDesign</t>
  </si>
  <si>
    <t>#Innovation</t>
  </si>
  <si>
    <t>#AppleEvent</t>
  </si>
  <si>
    <t>#iPadPro</t>
  </si>
  <si>
    <t>#AppleMusic</t>
  </si>
  <si>
    <t>#AppleLifestyle</t>
  </si>
  <si>
    <t>#AppleWatch</t>
  </si>
  <si>
    <t>#Health</t>
  </si>
  <si>
    <t>#iPhone16Launch</t>
  </si>
  <si>
    <t>#iPhone16</t>
  </si>
  <si>
    <t>#iPhonePhotography</t>
  </si>
  <si>
    <t>#Sustainability</t>
  </si>
  <si>
    <t>#AppleEarth</t>
  </si>
  <si>
    <t>Approach to Task 1</t>
  </si>
  <si>
    <t>Removing duplicate posts using Power Query in the 'Posts' dataset, there were no duplicates in the data.</t>
  </si>
  <si>
    <t>Standardized dates and platform names using Power Query, set it to 'Date' format for the entire workbook.</t>
  </si>
  <si>
    <t>Formatted all the numeric columns using Power Query and set them to whole numbers or decimals as needed.</t>
  </si>
  <si>
    <t>Split hashtags using space as delimiter using advanced split to rows in Power Query, split them in rows to make futher processing easier.</t>
  </si>
  <si>
    <t>Engagement Rate</t>
  </si>
  <si>
    <t>Youtube</t>
  </si>
  <si>
    <t>Average Engagement Rate per Platform</t>
  </si>
  <si>
    <t>Top 10 apple post IDs with highest engagement</t>
  </si>
  <si>
    <t>Approach for Task 2.1</t>
  </si>
  <si>
    <t>Calculated the engagement rates without spliting the hashtag in this one, it’s the same value both ways.</t>
  </si>
  <si>
    <t>Approach for task 2.2</t>
  </si>
  <si>
    <t>Due to calculating the engagement rates with the hashtags not split, I simply had to sort the cells from largest to smallest on the basis of their engagement rates.</t>
  </si>
  <si>
    <t>Row Labels</t>
  </si>
  <si>
    <t>Grand Total</t>
  </si>
  <si>
    <t>Sum of Likes</t>
  </si>
  <si>
    <t>Sum of Shares</t>
  </si>
  <si>
    <t>Sum of Comments</t>
  </si>
  <si>
    <t>Average of Clicks</t>
  </si>
  <si>
    <t>Pivot Table for comments, likes and shares by Content type and platform</t>
  </si>
  <si>
    <t>Pivot Table for Average clicks per post by hashtag</t>
  </si>
  <si>
    <t>Approach for Task 2.3.1</t>
  </si>
  <si>
    <t>Created a Pivot Table on the basis of our original table(preprocessed and cleaned)</t>
  </si>
  <si>
    <t>Dragged and selected the columns Content type an Platform in rows.</t>
  </si>
  <si>
    <t>Columns Likes, Shares and Comments in Values with the summation</t>
  </si>
  <si>
    <t>Approach for Task 2.3.2</t>
  </si>
  <si>
    <t>Created a Pivot table with separated 'Hashtag' rows and clicks in values with Average</t>
  </si>
  <si>
    <t>Average of Engagement Rate</t>
  </si>
  <si>
    <t>Top performing hashtags based on their engagement rates</t>
  </si>
  <si>
    <t>Approach to task 2.4</t>
  </si>
  <si>
    <t>Created a Pivot table using Hashtags and the average of their engagement rates.</t>
  </si>
  <si>
    <t xml:space="preserve">Chose Engagement rates as a 'Top Performing' Factor due to Apple's business needs that stated the importance of customer loyalty and engagement with their posts. </t>
  </si>
  <si>
    <t xml:space="preserve">The average of engagement rates gives us more insight into what type of contents and campaigns the customers find 'relatable' - another important value for Apple, to engage with. </t>
  </si>
  <si>
    <t>Campaigns</t>
  </si>
  <si>
    <t>Objectives</t>
  </si>
  <si>
    <t>Platforms with Highest Engagement Rates</t>
  </si>
  <si>
    <t>LinkedIn for Health and Fitness Campaigns</t>
  </si>
  <si>
    <t>Twitter for Brand Engagement, Sustainability, Product Launch and Product Promotions</t>
  </si>
  <si>
    <t>Approach for Task 3.1</t>
  </si>
  <si>
    <t>Merged 'Posts' and 'Campaign Management' to get a clear picture of the Campaigns and their objectives.</t>
  </si>
  <si>
    <t>Created a Pivot table to get average engagement rates per platform, per campaign.</t>
  </si>
  <si>
    <t>Created a Pivot Chart to simplify the calculations and to visualize the findings so they are easy to understand.</t>
  </si>
  <si>
    <t>Most of the campaigns work well on Twitter and have high averages, showing consistent performance overall in relation to the other platforms.</t>
  </si>
  <si>
    <t>New followers - unfollows</t>
  </si>
  <si>
    <t>Growth rate</t>
  </si>
  <si>
    <t>Average of Growth rate</t>
  </si>
  <si>
    <t>Average of Engagement_Rate</t>
  </si>
  <si>
    <t>Task 3.2</t>
  </si>
  <si>
    <t>Task 3.4</t>
  </si>
  <si>
    <t xml:space="preserve">Advice for Apple considering the growth rates and engagement rates - continue a multiplatform </t>
  </si>
  <si>
    <t>strategy, focusing more on Youtube and Twitter as they bring in high number of audience</t>
  </si>
  <si>
    <t>along with the reach and engagement.</t>
  </si>
  <si>
    <t>Count of Hashtags</t>
  </si>
  <si>
    <t>Task 4.1</t>
  </si>
  <si>
    <t>Task 4.2</t>
  </si>
  <si>
    <t>Column Labels</t>
  </si>
  <si>
    <t>Task 4.3</t>
  </si>
  <si>
    <t xml:space="preserve">Video </t>
  </si>
  <si>
    <t>Health and Fitness comparisons and Product Launch highlights</t>
  </si>
  <si>
    <t>Health and Fitness videos and Sustainability Branding ads</t>
  </si>
  <si>
    <t>Brand Engagement lifestyle shots and Product Promotion close-ups</t>
  </si>
  <si>
    <t>Health and Fitness Challenges/Hashtags and Product Promotion ads</t>
  </si>
  <si>
    <t>Average of Reach</t>
  </si>
  <si>
    <t>Task 4.4</t>
  </si>
  <si>
    <t>Videos - Health and Fitness and sustainability Branding ads</t>
  </si>
  <si>
    <t>Videos for Reach(need to work on making the content relatable for the audience to engage w it more)</t>
  </si>
  <si>
    <t>and images for engagement - need to work on increasing their reach</t>
  </si>
  <si>
    <t>Videos(Reels) - Health and Fitness and sustainability, increase engagement on Images</t>
  </si>
  <si>
    <t>Sum of Impressions</t>
  </si>
  <si>
    <t>Sum of Clicks</t>
  </si>
  <si>
    <t>Average of Impressions</t>
  </si>
  <si>
    <t>Average of Likes</t>
  </si>
  <si>
    <t>Task 5.1.1</t>
  </si>
  <si>
    <t>Week number</t>
  </si>
  <si>
    <t>Sum of Growth rate</t>
  </si>
  <si>
    <t>Task 6.1</t>
  </si>
  <si>
    <t>Task 6.2</t>
  </si>
  <si>
    <t>The peak week of follower growth, that is, the week with the highest growth rate is week 32.</t>
  </si>
  <si>
    <t>Task 6.1 and 6.3</t>
  </si>
  <si>
    <t>Task 6.4</t>
  </si>
  <si>
    <t>There is little to no correlation between ad spend and follower growth as the followers grow even if the ad spend is limited</t>
  </si>
  <si>
    <t>ROI per 10k</t>
  </si>
  <si>
    <t>Follower growth</t>
  </si>
  <si>
    <t>Average of Follower growth</t>
  </si>
  <si>
    <t>ROI should be the impact that the campaign had, so calculating it on the basis of engagement uplift and not the engagement rates</t>
  </si>
  <si>
    <t>Approach for Task 2.4</t>
  </si>
  <si>
    <t>On the basis of clicks on posts with related hashtags the top performing hashtags are the above hashtags.</t>
  </si>
  <si>
    <t xml:space="preserve">Clicks is taken as a factor so that we can understand Apple's audience and engagement trends better. </t>
  </si>
  <si>
    <t>Approach for Task 3.2</t>
  </si>
  <si>
    <t>Calculated the Growth rate using the formula = New_followers - unfollows.</t>
  </si>
  <si>
    <t>Converted the Growth rate into percentage to make it understandable and standardized.</t>
  </si>
  <si>
    <t>Plotted a pivot table to display Average Growth rate across all platforms</t>
  </si>
  <si>
    <t>Approach for Task 3.4</t>
  </si>
  <si>
    <t>Inserted a Pivot table to compare average of engagement rates across platforms.</t>
  </si>
  <si>
    <t>Engagement rate as a defining factor as one of Apple's main objective is increasing Customer Engagement.</t>
  </si>
  <si>
    <t>Along with Engagement the Growth factor across all platforms has also helped in suggesting a solution for 3.4</t>
  </si>
  <si>
    <t>Approach for Task 4.1</t>
  </si>
  <si>
    <t>A pivot table to find the count of hashtags each.</t>
  </si>
  <si>
    <t>Approach for Task 4.2</t>
  </si>
  <si>
    <t>Average performance defined by engagement rates of all hashtags</t>
  </si>
  <si>
    <t>Approach for Task 4.3</t>
  </si>
  <si>
    <t>A Pivot table containing the average of engagement rates for different Content types per Campaign.</t>
  </si>
  <si>
    <t xml:space="preserve">Videos for Positive Health Benefits posts. </t>
  </si>
  <si>
    <t>Approach for Task 4.4</t>
  </si>
  <si>
    <t>Analyzed both Reach and Engagement rates to get an accurate performance of content types across platforms.</t>
  </si>
  <si>
    <t>Approach for Task 5.1.1</t>
  </si>
  <si>
    <t>Inserted a Pivot Table to analyze sum and averages both</t>
  </si>
  <si>
    <t>Approach fo Task 5.2.1</t>
  </si>
  <si>
    <t>Calculated ROI using the standard formula engagement uplift/ad spend</t>
  </si>
  <si>
    <t>Standardized it so we get the ROI values for per 10k spent</t>
  </si>
  <si>
    <t>The Sustainability Awareness Drive had the highest Return on Investment as it has the highesht ROI of 0.08</t>
  </si>
  <si>
    <t>Approach for Task 5.2.2</t>
  </si>
  <si>
    <t>Created a pivot table with average of follower growth to assess follower growth over time</t>
  </si>
  <si>
    <t>The Apple Event September 2025 drove the strongest follower growth</t>
  </si>
  <si>
    <t>https://drive.google.com/drive/folders/1ErqGqqP4qf2EoU69O5RykIUk3QLB1M-r?usp=sharing</t>
  </si>
  <si>
    <t>Video Link: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</si>
</sst>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Arial Black"/>
      <family val="2"/>
    </font>
    <font>
      <sz val="12"/>
      <color theme="1"/>
      <name val="Bahnschrift SemiBold SemiConden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92D05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4">
    <xf numFmtId="0" fontId="0" fillId="0" borderId="0" xfId="0"/>
    <xf numFmtId="0" fontId="1" fillId="2" borderId="0" xfId="0" applyFont="1" applyFill="1"/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7" xfId="0" applyBorder="1" applyAlignment="1">
      <alignment horizontal="center"/>
    </xf>
    <xf numFmtId="14" fontId="0" fillId="0" borderId="8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3" borderId="0" xfId="0" applyFont="1" applyFill="1"/>
    <xf numFmtId="0" fontId="0" fillId="0" borderId="0" xfId="0" applyAlignment="1">
      <alignment horizontal="center"/>
    </xf>
    <xf numFmtId="14" fontId="1" fillId="2" borderId="0" xfId="0" applyNumberFormat="1" applyFont="1" applyFill="1" applyAlignment="1">
      <alignment horizontal="center"/>
    </xf>
    <xf numFmtId="14" fontId="0" fillId="0" borderId="0" xfId="0" applyNumberFormat="1" applyAlignment="1">
      <alignment horizontal="center"/>
    </xf>
    <xf numFmtId="0" fontId="0" fillId="4" borderId="0" xfId="0" applyFill="1" applyAlignment="1">
      <alignment horizontal="center"/>
    </xf>
    <xf numFmtId="2" fontId="0" fillId="0" borderId="0" xfId="0" applyNumberFormat="1"/>
    <xf numFmtId="0" fontId="0" fillId="6" borderId="0" xfId="0" applyFill="1"/>
    <xf numFmtId="0" fontId="0" fillId="5" borderId="1" xfId="0" applyFill="1" applyBorder="1" applyAlignment="1">
      <alignment horizontal="center"/>
    </xf>
    <xf numFmtId="2" fontId="0" fillId="5" borderId="1" xfId="0" applyNumberFormat="1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1" xfId="0" applyBorder="1" applyAlignment="1">
      <alignment horizontal="left" indent="1"/>
    </xf>
    <xf numFmtId="14" fontId="0" fillId="0" borderId="1" xfId="0" applyNumberFormat="1" applyBorder="1"/>
    <xf numFmtId="0" fontId="0" fillId="8" borderId="0" xfId="0" applyFill="1" applyAlignment="1">
      <alignment horizontal="center"/>
    </xf>
    <xf numFmtId="0" fontId="0" fillId="0" borderId="0" xfId="0" applyAlignment="1">
      <alignment horizontal="center" wrapText="1"/>
    </xf>
    <xf numFmtId="0" fontId="0" fillId="8" borderId="0" xfId="0" applyFill="1" applyAlignment="1">
      <alignment horizontal="center" wrapText="1"/>
    </xf>
    <xf numFmtId="0" fontId="0" fillId="4" borderId="1" xfId="0" applyFill="1" applyBorder="1" applyAlignment="1">
      <alignment horizontal="center"/>
    </xf>
    <xf numFmtId="0" fontId="0" fillId="8" borderId="0" xfId="0" applyFill="1"/>
    <xf numFmtId="0" fontId="0" fillId="0" borderId="1" xfId="0" pivotButton="1" applyBorder="1"/>
    <xf numFmtId="0" fontId="0" fillId="0" borderId="1" xfId="0" applyBorder="1" applyAlignment="1">
      <alignment horizontal="left"/>
    </xf>
    <xf numFmtId="0" fontId="0" fillId="10" borderId="0" xfId="0" applyFill="1"/>
    <xf numFmtId="0" fontId="0" fillId="3" borderId="0" xfId="0" applyFill="1"/>
    <xf numFmtId="0" fontId="0" fillId="3" borderId="0" xfId="0" applyFill="1" applyAlignment="1">
      <alignment horizontal="center"/>
    </xf>
    <xf numFmtId="0" fontId="0" fillId="11" borderId="0" xfId="0" applyFill="1"/>
    <xf numFmtId="0" fontId="0" fillId="11" borderId="0" xfId="0" applyFill="1" applyAlignment="1">
      <alignment horizontal="center"/>
    </xf>
    <xf numFmtId="0" fontId="0" fillId="0" borderId="10" xfId="0" applyBorder="1" applyAlignment="1">
      <alignment horizontal="center"/>
    </xf>
    <xf numFmtId="164" fontId="0" fillId="0" borderId="1" xfId="0" applyNumberFormat="1" applyBorder="1"/>
    <xf numFmtId="2" fontId="0" fillId="0" borderId="1" xfId="0" applyNumberFormat="1" applyBorder="1"/>
    <xf numFmtId="0" fontId="3" fillId="9" borderId="1" xfId="0" applyFont="1" applyFill="1" applyBorder="1"/>
    <xf numFmtId="0" fontId="0" fillId="12" borderId="0" xfId="0" applyFill="1"/>
    <xf numFmtId="0" fontId="0" fillId="1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0" borderId="5" xfId="0" applyBorder="1" applyAlignment="1">
      <alignment horizontal="center"/>
    </xf>
    <xf numFmtId="0" fontId="0" fillId="10" borderId="1" xfId="0" applyFill="1" applyBorder="1" applyAlignment="1">
      <alignment horizontal="left"/>
    </xf>
    <xf numFmtId="0" fontId="0" fillId="10" borderId="1" xfId="0" applyFill="1" applyBorder="1"/>
    <xf numFmtId="0" fontId="0" fillId="12" borderId="11" xfId="0" applyFill="1" applyBorder="1"/>
    <xf numFmtId="0" fontId="0" fillId="12" borderId="12" xfId="0" applyFill="1" applyBorder="1"/>
    <xf numFmtId="0" fontId="0" fillId="12" borderId="13" xfId="0" applyFill="1" applyBorder="1"/>
    <xf numFmtId="0" fontId="0" fillId="12" borderId="14" xfId="0" applyFill="1" applyBorder="1"/>
    <xf numFmtId="0" fontId="0" fillId="12" borderId="15" xfId="0" applyFill="1" applyBorder="1"/>
    <xf numFmtId="0" fontId="0" fillId="12" borderId="16" xfId="0" applyFill="1" applyBorder="1"/>
    <xf numFmtId="0" fontId="0" fillId="12" borderId="17" xfId="0" applyFill="1" applyBorder="1"/>
    <xf numFmtId="0" fontId="0" fillId="12" borderId="18" xfId="0" applyFill="1" applyBorder="1"/>
    <xf numFmtId="10" fontId="0" fillId="0" borderId="5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0" fontId="0" fillId="0" borderId="8" xfId="0" applyNumberFormat="1" applyBorder="1" applyAlignment="1">
      <alignment horizontal="center"/>
    </xf>
    <xf numFmtId="10" fontId="0" fillId="0" borderId="0" xfId="0" applyNumberFormat="1"/>
    <xf numFmtId="0" fontId="0" fillId="13" borderId="0" xfId="0" applyFill="1"/>
    <xf numFmtId="0" fontId="0" fillId="0" borderId="0" xfId="0" applyAlignment="1">
      <alignment horizontal="left" indent="1"/>
    </xf>
    <xf numFmtId="2" fontId="0" fillId="0" borderId="3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0" fillId="0" borderId="0" xfId="0" applyNumberFormat="1" applyAlignment="1">
      <alignment horizontal="left"/>
    </xf>
    <xf numFmtId="14" fontId="0" fillId="8" borderId="0" xfId="0" applyNumberFormat="1" applyFill="1"/>
    <xf numFmtId="14" fontId="0" fillId="0" borderId="0" xfId="0" applyNumberFormat="1"/>
    <xf numFmtId="0" fontId="0" fillId="14" borderId="0" xfId="0" applyFill="1" applyAlignment="1">
      <alignment horizontal="center"/>
    </xf>
    <xf numFmtId="0" fontId="0" fillId="7" borderId="0" xfId="0" applyFill="1"/>
    <xf numFmtId="0" fontId="0" fillId="14" borderId="0" xfId="0" applyFill="1"/>
    <xf numFmtId="0" fontId="0" fillId="12" borderId="11" xfId="0" applyFill="1" applyBorder="1" applyAlignment="1">
      <alignment horizontal="left"/>
    </xf>
    <xf numFmtId="0" fontId="0" fillId="12" borderId="17" xfId="0" applyFill="1" applyBorder="1" applyAlignment="1">
      <alignment horizontal="left"/>
    </xf>
    <xf numFmtId="0" fontId="0" fillId="12" borderId="14" xfId="0" applyFill="1" applyBorder="1" applyAlignment="1">
      <alignment horizontal="left"/>
    </xf>
    <xf numFmtId="0" fontId="0" fillId="14" borderId="0" xfId="0" applyFill="1" applyAlignment="1">
      <alignment horizontal="left"/>
    </xf>
    <xf numFmtId="165" fontId="0" fillId="0" borderId="3" xfId="0" applyNumberFormat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165" fontId="0" fillId="0" borderId="9" xfId="0" applyNumberFormat="1" applyBorder="1" applyAlignment="1">
      <alignment horizontal="center"/>
    </xf>
    <xf numFmtId="0" fontId="5" fillId="0" borderId="0" xfId="1"/>
    <xf numFmtId="0" fontId="0" fillId="8" borderId="0" xfId="0" applyFill="1" applyAlignment="1">
      <alignment horizontal="center"/>
    </xf>
  </cellXfs>
  <cellStyles count="2">
    <cellStyle name="Hyperlink" xfId="1" builtinId="8"/>
    <cellStyle name="Normal" xfId="0" builtinId="0"/>
  </cellStyles>
  <dxfs count="240"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 Black"/>
        <family val="2"/>
        <scheme val="none"/>
      </font>
      <fill>
        <patternFill patternType="solid">
          <fgColor indexed="64"/>
          <bgColor theme="4" tint="0.79998168889431442"/>
        </patternFill>
      </fill>
    </dxf>
    <dxf>
      <numFmt numFmtId="2" formatCode="0.00"/>
    </dxf>
    <dxf>
      <numFmt numFmtId="165" formatCode="0.0000"/>
    </dxf>
    <dxf>
      <numFmt numFmtId="165" formatCode="0.00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rial Black"/>
        <family val="2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 Black"/>
        <family val="2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 Black"/>
        <family val="2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numFmt numFmtId="2" formatCode="0.00"/>
    </dxf>
    <dxf>
      <numFmt numFmtId="165" formatCode="0.0000"/>
    </dxf>
    <dxf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 Black"/>
        <family val="2"/>
        <scheme val="none"/>
      </font>
      <fill>
        <patternFill patternType="solid">
          <fgColor indexed="64"/>
          <bgColor theme="4" tint="0.79998168889431442"/>
        </patternFill>
      </fill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 Black"/>
        <family val="2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ill>
        <patternFill patternType="none">
          <bgColor auto="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border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</dxf>
    <dxf>
      <numFmt numFmtId="2" formatCode="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 Black"/>
        <family val="2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numFmt numFmtId="164" formatCode="0.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 Black"/>
        <family val="2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rial Black"/>
        <family val="2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rial Black"/>
        <family val="2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 Black"/>
        <family val="2"/>
        <scheme val="none"/>
      </font>
      <fill>
        <patternFill patternType="solid">
          <fgColor indexed="64"/>
          <bgColor theme="4" tint="0.79998168889431442"/>
        </patternFill>
      </fill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 Black"/>
        <family val="2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pivotCacheDefinition" Target="pivotCache/pivotCacheDefinition7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6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1.xml"/><Relationship Id="rId29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5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4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3.xml"/><Relationship Id="rId27" Type="http://schemas.openxmlformats.org/officeDocument/2006/relationships/pivotCacheDefinition" Target="pivotCache/pivotCacheDefinition8.xml"/><Relationship Id="rId30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[Apple Marketing Analysis.xlsx]Task 3.1!PivotTable5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'Task 3.1'!$S$9:$S$10</c:f>
              <c:strCache>
                <c:ptCount val="1"/>
                <c:pt idx="0">
                  <c:v>Apple Event September 2025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'Task 3.1'!$R$11:$R$35</c:f>
              <c:multiLvlStrCache>
                <c:ptCount val="20"/>
                <c:lvl>
                  <c:pt idx="0">
                    <c:v>Health &amp; Fitness Awareness</c:v>
                  </c:pt>
                  <c:pt idx="1">
                    <c:v>Brand Engagement</c:v>
                  </c:pt>
                  <c:pt idx="2">
                    <c:v>Sustainability Branding</c:v>
                  </c:pt>
                  <c:pt idx="3">
                    <c:v>Product Promotion</c:v>
                  </c:pt>
                  <c:pt idx="4">
                    <c:v>Product Launch</c:v>
                  </c:pt>
                  <c:pt idx="5">
                    <c:v>Health &amp; Fitness Awareness</c:v>
                  </c:pt>
                  <c:pt idx="6">
                    <c:v>Product Launch</c:v>
                  </c:pt>
                  <c:pt idx="7">
                    <c:v>Product Promotion</c:v>
                  </c:pt>
                  <c:pt idx="8">
                    <c:v>Brand Engagement</c:v>
                  </c:pt>
                  <c:pt idx="9">
                    <c:v>Sustainability Branding</c:v>
                  </c:pt>
                  <c:pt idx="10">
                    <c:v>Brand Engagement</c:v>
                  </c:pt>
                  <c:pt idx="11">
                    <c:v>Health &amp; Fitness Awareness</c:v>
                  </c:pt>
                  <c:pt idx="12">
                    <c:v>Product Launch</c:v>
                  </c:pt>
                  <c:pt idx="13">
                    <c:v>Product Promotion</c:v>
                  </c:pt>
                  <c:pt idx="14">
                    <c:v>Sustainability Branding</c:v>
                  </c:pt>
                  <c:pt idx="15">
                    <c:v>Health &amp; Fitness Awareness</c:v>
                  </c:pt>
                  <c:pt idx="16">
                    <c:v>Product Promotion</c:v>
                  </c:pt>
                  <c:pt idx="17">
                    <c:v>Sustainability Branding</c:v>
                  </c:pt>
                  <c:pt idx="18">
                    <c:v>Brand Engagement</c:v>
                  </c:pt>
                  <c:pt idx="19">
                    <c:v>Product Launch</c:v>
                  </c:pt>
                </c:lvl>
                <c:lvl>
                  <c:pt idx="0">
                    <c:v>Instagram</c:v>
                  </c:pt>
                  <c:pt idx="5">
                    <c:v>LinkedIn</c:v>
                  </c:pt>
                  <c:pt idx="10">
                    <c:v>Twitter</c:v>
                  </c:pt>
                  <c:pt idx="15">
                    <c:v>YouTube</c:v>
                  </c:pt>
                </c:lvl>
              </c:multiLvlStrCache>
            </c:multiLvlStrRef>
          </c:cat>
          <c:val>
            <c:numRef>
              <c:f>'Task 3.1'!$S$11:$S$35</c:f>
              <c:numCache>
                <c:formatCode>General</c:formatCode>
                <c:ptCount val="20"/>
                <c:pt idx="1">
                  <c:v>0.13695514416161753</c:v>
                </c:pt>
                <c:pt idx="8">
                  <c:v>0.11016638080314176</c:v>
                </c:pt>
                <c:pt idx="10">
                  <c:v>0.1516135959543613</c:v>
                </c:pt>
                <c:pt idx="18">
                  <c:v>0.10449413166152569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E3-48D8-B2ED-8796C7D6A04D}"/>
            </c:ext>
          </c:extLst>
        </c:ser>
        <c:ser>
          <c:idx val="1"/>
          <c:order val="1"/>
          <c:tx>
            <c:strRef>
              <c:f>'Task 3.1'!$T$9:$T$10</c:f>
              <c:strCache>
                <c:ptCount val="1"/>
                <c:pt idx="0">
                  <c:v>Apple Watch Ultra 2 Launch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'Task 3.1'!$R$11:$R$35</c:f>
              <c:multiLvlStrCache>
                <c:ptCount val="20"/>
                <c:lvl>
                  <c:pt idx="0">
                    <c:v>Health &amp; Fitness Awareness</c:v>
                  </c:pt>
                  <c:pt idx="1">
                    <c:v>Brand Engagement</c:v>
                  </c:pt>
                  <c:pt idx="2">
                    <c:v>Sustainability Branding</c:v>
                  </c:pt>
                  <c:pt idx="3">
                    <c:v>Product Promotion</c:v>
                  </c:pt>
                  <c:pt idx="4">
                    <c:v>Product Launch</c:v>
                  </c:pt>
                  <c:pt idx="5">
                    <c:v>Health &amp; Fitness Awareness</c:v>
                  </c:pt>
                  <c:pt idx="6">
                    <c:v>Product Launch</c:v>
                  </c:pt>
                  <c:pt idx="7">
                    <c:v>Product Promotion</c:v>
                  </c:pt>
                  <c:pt idx="8">
                    <c:v>Brand Engagement</c:v>
                  </c:pt>
                  <c:pt idx="9">
                    <c:v>Sustainability Branding</c:v>
                  </c:pt>
                  <c:pt idx="10">
                    <c:v>Brand Engagement</c:v>
                  </c:pt>
                  <c:pt idx="11">
                    <c:v>Health &amp; Fitness Awareness</c:v>
                  </c:pt>
                  <c:pt idx="12">
                    <c:v>Product Launch</c:v>
                  </c:pt>
                  <c:pt idx="13">
                    <c:v>Product Promotion</c:v>
                  </c:pt>
                  <c:pt idx="14">
                    <c:v>Sustainability Branding</c:v>
                  </c:pt>
                  <c:pt idx="15">
                    <c:v>Health &amp; Fitness Awareness</c:v>
                  </c:pt>
                  <c:pt idx="16">
                    <c:v>Product Promotion</c:v>
                  </c:pt>
                  <c:pt idx="17">
                    <c:v>Sustainability Branding</c:v>
                  </c:pt>
                  <c:pt idx="18">
                    <c:v>Brand Engagement</c:v>
                  </c:pt>
                  <c:pt idx="19">
                    <c:v>Product Launch</c:v>
                  </c:pt>
                </c:lvl>
                <c:lvl>
                  <c:pt idx="0">
                    <c:v>Instagram</c:v>
                  </c:pt>
                  <c:pt idx="5">
                    <c:v>LinkedIn</c:v>
                  </c:pt>
                  <c:pt idx="10">
                    <c:v>Twitter</c:v>
                  </c:pt>
                  <c:pt idx="15">
                    <c:v>YouTube</c:v>
                  </c:pt>
                </c:lvl>
              </c:multiLvlStrCache>
            </c:multiLvlStrRef>
          </c:cat>
          <c:val>
            <c:numRef>
              <c:f>'Task 3.1'!$T$11:$T$35</c:f>
              <c:numCache>
                <c:formatCode>General</c:formatCode>
                <c:ptCount val="20"/>
                <c:pt idx="0">
                  <c:v>0.13955402719675852</c:v>
                </c:pt>
                <c:pt idx="5">
                  <c:v>0.14660403120022936</c:v>
                </c:pt>
                <c:pt idx="11">
                  <c:v>0.14513292715021131</c:v>
                </c:pt>
                <c:pt idx="15">
                  <c:v>0.11973747697801139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E3-48D8-B2ED-8796C7D6A04D}"/>
            </c:ext>
          </c:extLst>
        </c:ser>
        <c:ser>
          <c:idx val="2"/>
          <c:order val="2"/>
          <c:tx>
            <c:strRef>
              <c:f>'Task 3.1'!$U$9:$U$10</c:f>
              <c:strCache>
                <c:ptCount val="1"/>
                <c:pt idx="0">
                  <c:v>iPhone 16 Launch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'Task 3.1'!$R$11:$R$35</c:f>
              <c:multiLvlStrCache>
                <c:ptCount val="20"/>
                <c:lvl>
                  <c:pt idx="0">
                    <c:v>Health &amp; Fitness Awareness</c:v>
                  </c:pt>
                  <c:pt idx="1">
                    <c:v>Brand Engagement</c:v>
                  </c:pt>
                  <c:pt idx="2">
                    <c:v>Sustainability Branding</c:v>
                  </c:pt>
                  <c:pt idx="3">
                    <c:v>Product Promotion</c:v>
                  </c:pt>
                  <c:pt idx="4">
                    <c:v>Product Launch</c:v>
                  </c:pt>
                  <c:pt idx="5">
                    <c:v>Health &amp; Fitness Awareness</c:v>
                  </c:pt>
                  <c:pt idx="6">
                    <c:v>Product Launch</c:v>
                  </c:pt>
                  <c:pt idx="7">
                    <c:v>Product Promotion</c:v>
                  </c:pt>
                  <c:pt idx="8">
                    <c:v>Brand Engagement</c:v>
                  </c:pt>
                  <c:pt idx="9">
                    <c:v>Sustainability Branding</c:v>
                  </c:pt>
                  <c:pt idx="10">
                    <c:v>Brand Engagement</c:v>
                  </c:pt>
                  <c:pt idx="11">
                    <c:v>Health &amp; Fitness Awareness</c:v>
                  </c:pt>
                  <c:pt idx="12">
                    <c:v>Product Launch</c:v>
                  </c:pt>
                  <c:pt idx="13">
                    <c:v>Product Promotion</c:v>
                  </c:pt>
                  <c:pt idx="14">
                    <c:v>Sustainability Branding</c:v>
                  </c:pt>
                  <c:pt idx="15">
                    <c:v>Health &amp; Fitness Awareness</c:v>
                  </c:pt>
                  <c:pt idx="16">
                    <c:v>Product Promotion</c:v>
                  </c:pt>
                  <c:pt idx="17">
                    <c:v>Sustainability Branding</c:v>
                  </c:pt>
                  <c:pt idx="18">
                    <c:v>Brand Engagement</c:v>
                  </c:pt>
                  <c:pt idx="19">
                    <c:v>Product Launch</c:v>
                  </c:pt>
                </c:lvl>
                <c:lvl>
                  <c:pt idx="0">
                    <c:v>Instagram</c:v>
                  </c:pt>
                  <c:pt idx="5">
                    <c:v>LinkedIn</c:v>
                  </c:pt>
                  <c:pt idx="10">
                    <c:v>Twitter</c:v>
                  </c:pt>
                  <c:pt idx="15">
                    <c:v>YouTube</c:v>
                  </c:pt>
                </c:lvl>
              </c:multiLvlStrCache>
            </c:multiLvlStrRef>
          </c:cat>
          <c:val>
            <c:numRef>
              <c:f>'Task 3.1'!$U$11:$U$35</c:f>
              <c:numCache>
                <c:formatCode>General</c:formatCode>
                <c:ptCount val="20"/>
                <c:pt idx="4">
                  <c:v>8.7843466538674295E-2</c:v>
                </c:pt>
                <c:pt idx="6">
                  <c:v>0.12843164970490339</c:v>
                </c:pt>
                <c:pt idx="12">
                  <c:v>0.13738973576207317</c:v>
                </c:pt>
                <c:pt idx="19">
                  <c:v>9.9434454635716804E-2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9E3-48D8-B2ED-8796C7D6A04D}"/>
            </c:ext>
          </c:extLst>
        </c:ser>
        <c:ser>
          <c:idx val="3"/>
          <c:order val="3"/>
          <c:tx>
            <c:strRef>
              <c:f>'Task 3.1'!$V$9:$V$10</c:f>
              <c:strCache>
                <c:ptCount val="1"/>
                <c:pt idx="0">
                  <c:v>MacBook Air M3 Campaign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'Task 3.1'!$R$11:$R$35</c:f>
              <c:multiLvlStrCache>
                <c:ptCount val="20"/>
                <c:lvl>
                  <c:pt idx="0">
                    <c:v>Health &amp; Fitness Awareness</c:v>
                  </c:pt>
                  <c:pt idx="1">
                    <c:v>Brand Engagement</c:v>
                  </c:pt>
                  <c:pt idx="2">
                    <c:v>Sustainability Branding</c:v>
                  </c:pt>
                  <c:pt idx="3">
                    <c:v>Product Promotion</c:v>
                  </c:pt>
                  <c:pt idx="4">
                    <c:v>Product Launch</c:v>
                  </c:pt>
                  <c:pt idx="5">
                    <c:v>Health &amp; Fitness Awareness</c:v>
                  </c:pt>
                  <c:pt idx="6">
                    <c:v>Product Launch</c:v>
                  </c:pt>
                  <c:pt idx="7">
                    <c:v>Product Promotion</c:v>
                  </c:pt>
                  <c:pt idx="8">
                    <c:v>Brand Engagement</c:v>
                  </c:pt>
                  <c:pt idx="9">
                    <c:v>Sustainability Branding</c:v>
                  </c:pt>
                  <c:pt idx="10">
                    <c:v>Brand Engagement</c:v>
                  </c:pt>
                  <c:pt idx="11">
                    <c:v>Health &amp; Fitness Awareness</c:v>
                  </c:pt>
                  <c:pt idx="12">
                    <c:v>Product Launch</c:v>
                  </c:pt>
                  <c:pt idx="13">
                    <c:v>Product Promotion</c:v>
                  </c:pt>
                  <c:pt idx="14">
                    <c:v>Sustainability Branding</c:v>
                  </c:pt>
                  <c:pt idx="15">
                    <c:v>Health &amp; Fitness Awareness</c:v>
                  </c:pt>
                  <c:pt idx="16">
                    <c:v>Product Promotion</c:v>
                  </c:pt>
                  <c:pt idx="17">
                    <c:v>Sustainability Branding</c:v>
                  </c:pt>
                  <c:pt idx="18">
                    <c:v>Brand Engagement</c:v>
                  </c:pt>
                  <c:pt idx="19">
                    <c:v>Product Launch</c:v>
                  </c:pt>
                </c:lvl>
                <c:lvl>
                  <c:pt idx="0">
                    <c:v>Instagram</c:v>
                  </c:pt>
                  <c:pt idx="5">
                    <c:v>LinkedIn</c:v>
                  </c:pt>
                  <c:pt idx="10">
                    <c:v>Twitter</c:v>
                  </c:pt>
                  <c:pt idx="15">
                    <c:v>YouTube</c:v>
                  </c:pt>
                </c:lvl>
              </c:multiLvlStrCache>
            </c:multiLvlStrRef>
          </c:cat>
          <c:val>
            <c:numRef>
              <c:f>'Task 3.1'!$V$11:$V$35</c:f>
              <c:numCache>
                <c:formatCode>General</c:formatCode>
                <c:ptCount val="20"/>
                <c:pt idx="3">
                  <c:v>9.6406828609799558E-2</c:v>
                </c:pt>
                <c:pt idx="7">
                  <c:v>0.12478605127228283</c:v>
                </c:pt>
                <c:pt idx="13">
                  <c:v>0.13670376816710098</c:v>
                </c:pt>
                <c:pt idx="16">
                  <c:v>0.11345041471501002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9E3-48D8-B2ED-8796C7D6A04D}"/>
            </c:ext>
          </c:extLst>
        </c:ser>
        <c:ser>
          <c:idx val="4"/>
          <c:order val="4"/>
          <c:tx>
            <c:strRef>
              <c:f>'Task 3.1'!$W$9:$W$10</c:f>
              <c:strCache>
                <c:ptCount val="1"/>
                <c:pt idx="0">
                  <c:v>Sustainability Awareness Drive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'Task 3.1'!$R$11:$R$35</c:f>
              <c:multiLvlStrCache>
                <c:ptCount val="20"/>
                <c:lvl>
                  <c:pt idx="0">
                    <c:v>Health &amp; Fitness Awareness</c:v>
                  </c:pt>
                  <c:pt idx="1">
                    <c:v>Brand Engagement</c:v>
                  </c:pt>
                  <c:pt idx="2">
                    <c:v>Sustainability Branding</c:v>
                  </c:pt>
                  <c:pt idx="3">
                    <c:v>Product Promotion</c:v>
                  </c:pt>
                  <c:pt idx="4">
                    <c:v>Product Launch</c:v>
                  </c:pt>
                  <c:pt idx="5">
                    <c:v>Health &amp; Fitness Awareness</c:v>
                  </c:pt>
                  <c:pt idx="6">
                    <c:v>Product Launch</c:v>
                  </c:pt>
                  <c:pt idx="7">
                    <c:v>Product Promotion</c:v>
                  </c:pt>
                  <c:pt idx="8">
                    <c:v>Brand Engagement</c:v>
                  </c:pt>
                  <c:pt idx="9">
                    <c:v>Sustainability Branding</c:v>
                  </c:pt>
                  <c:pt idx="10">
                    <c:v>Brand Engagement</c:v>
                  </c:pt>
                  <c:pt idx="11">
                    <c:v>Health &amp; Fitness Awareness</c:v>
                  </c:pt>
                  <c:pt idx="12">
                    <c:v>Product Launch</c:v>
                  </c:pt>
                  <c:pt idx="13">
                    <c:v>Product Promotion</c:v>
                  </c:pt>
                  <c:pt idx="14">
                    <c:v>Sustainability Branding</c:v>
                  </c:pt>
                  <c:pt idx="15">
                    <c:v>Health &amp; Fitness Awareness</c:v>
                  </c:pt>
                  <c:pt idx="16">
                    <c:v>Product Promotion</c:v>
                  </c:pt>
                  <c:pt idx="17">
                    <c:v>Sustainability Branding</c:v>
                  </c:pt>
                  <c:pt idx="18">
                    <c:v>Brand Engagement</c:v>
                  </c:pt>
                  <c:pt idx="19">
                    <c:v>Product Launch</c:v>
                  </c:pt>
                </c:lvl>
                <c:lvl>
                  <c:pt idx="0">
                    <c:v>Instagram</c:v>
                  </c:pt>
                  <c:pt idx="5">
                    <c:v>LinkedIn</c:v>
                  </c:pt>
                  <c:pt idx="10">
                    <c:v>Twitter</c:v>
                  </c:pt>
                  <c:pt idx="15">
                    <c:v>YouTube</c:v>
                  </c:pt>
                </c:lvl>
              </c:multiLvlStrCache>
            </c:multiLvlStrRef>
          </c:cat>
          <c:val>
            <c:numRef>
              <c:f>'Task 3.1'!$W$11:$W$35</c:f>
              <c:numCache>
                <c:formatCode>General</c:formatCode>
                <c:ptCount val="20"/>
                <c:pt idx="2">
                  <c:v>0.1159995673305739</c:v>
                </c:pt>
                <c:pt idx="9">
                  <c:v>0.10377898071710299</c:v>
                </c:pt>
                <c:pt idx="14">
                  <c:v>0.12826769702191768</c:v>
                </c:pt>
                <c:pt idx="17">
                  <c:v>0.10497763485843795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9E3-48D8-B2ED-8796C7D6A0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32891136"/>
        <c:axId val="1432890656"/>
      </c:barChart>
      <c:catAx>
        <c:axId val="1432891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2890656"/>
        <c:crosses val="autoZero"/>
        <c:auto val="1"/>
        <c:lblAlgn val="ctr"/>
        <c:lblOffset val="100"/>
        <c:noMultiLvlLbl val="0"/>
      </c:catAx>
      <c:valAx>
        <c:axId val="1432890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2891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[Apple Marketing Analysis.xlsx]Task 6.1!PivotTable2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'Task 6.1'!$N$7:$N$8</c:f>
              <c:strCache>
                <c:ptCount val="1"/>
                <c:pt idx="0">
                  <c:v>Instagram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'Task 6.1'!$M$9:$M$59</c:f>
              <c:strCach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strCache>
            </c:strRef>
          </c:cat>
          <c:val>
            <c:numRef>
              <c:f>'Task 6.1'!$N$9:$N$59</c:f>
              <c:numCache>
                <c:formatCode>General</c:formatCode>
                <c:ptCount val="50"/>
                <c:pt idx="0">
                  <c:v>3777</c:v>
                </c:pt>
                <c:pt idx="1">
                  <c:v>7215</c:v>
                </c:pt>
                <c:pt idx="2">
                  <c:v>13130</c:v>
                </c:pt>
                <c:pt idx="3">
                  <c:v>4885</c:v>
                </c:pt>
                <c:pt idx="4">
                  <c:v>5928</c:v>
                </c:pt>
                <c:pt idx="6">
                  <c:v>4967</c:v>
                </c:pt>
                <c:pt idx="9">
                  <c:v>3213</c:v>
                </c:pt>
                <c:pt idx="10">
                  <c:v>6853</c:v>
                </c:pt>
                <c:pt idx="11">
                  <c:v>13835</c:v>
                </c:pt>
                <c:pt idx="12">
                  <c:v>8231</c:v>
                </c:pt>
                <c:pt idx="13">
                  <c:v>7396</c:v>
                </c:pt>
                <c:pt idx="14">
                  <c:v>7442</c:v>
                </c:pt>
                <c:pt idx="16">
                  <c:v>13040</c:v>
                </c:pt>
                <c:pt idx="17">
                  <c:v>9904</c:v>
                </c:pt>
                <c:pt idx="18">
                  <c:v>4808</c:v>
                </c:pt>
                <c:pt idx="20">
                  <c:v>23973</c:v>
                </c:pt>
                <c:pt idx="24">
                  <c:v>5206</c:v>
                </c:pt>
                <c:pt idx="25">
                  <c:v>14537</c:v>
                </c:pt>
                <c:pt idx="26">
                  <c:v>8999</c:v>
                </c:pt>
                <c:pt idx="27">
                  <c:v>3461</c:v>
                </c:pt>
                <c:pt idx="28">
                  <c:v>4802</c:v>
                </c:pt>
                <c:pt idx="29">
                  <c:v>4314</c:v>
                </c:pt>
                <c:pt idx="30">
                  <c:v>4214</c:v>
                </c:pt>
                <c:pt idx="32">
                  <c:v>2919</c:v>
                </c:pt>
                <c:pt idx="34">
                  <c:v>3643</c:v>
                </c:pt>
                <c:pt idx="37">
                  <c:v>11468</c:v>
                </c:pt>
                <c:pt idx="38">
                  <c:v>15087</c:v>
                </c:pt>
                <c:pt idx="40">
                  <c:v>2994</c:v>
                </c:pt>
                <c:pt idx="41">
                  <c:v>8292</c:v>
                </c:pt>
                <c:pt idx="43">
                  <c:v>6128</c:v>
                </c:pt>
                <c:pt idx="44">
                  <c:v>1425</c:v>
                </c:pt>
                <c:pt idx="46">
                  <c:v>15012</c:v>
                </c:pt>
                <c:pt idx="48">
                  <c:v>7959</c:v>
                </c:pt>
                <c:pt idx="49">
                  <c:v>2805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8E-4AB6-A26D-55047CBEBB51}"/>
            </c:ext>
          </c:extLst>
        </c:ser>
        <c:ser>
          <c:idx val="1"/>
          <c:order val="1"/>
          <c:tx>
            <c:strRef>
              <c:f>'Task 6.1'!$O$7:$O$8</c:f>
              <c:strCache>
                <c:ptCount val="1"/>
                <c:pt idx="0">
                  <c:v>LinkedIn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'Task 6.1'!$M$9:$M$59</c:f>
              <c:strCach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strCache>
            </c:strRef>
          </c:cat>
          <c:val>
            <c:numRef>
              <c:f>'Task 6.1'!$O$9:$O$59</c:f>
              <c:numCache>
                <c:formatCode>General</c:formatCode>
                <c:ptCount val="50"/>
                <c:pt idx="2">
                  <c:v>6728</c:v>
                </c:pt>
                <c:pt idx="4">
                  <c:v>5442</c:v>
                </c:pt>
                <c:pt idx="5">
                  <c:v>11378</c:v>
                </c:pt>
                <c:pt idx="7">
                  <c:v>15403</c:v>
                </c:pt>
                <c:pt idx="8">
                  <c:v>7537</c:v>
                </c:pt>
                <c:pt idx="9">
                  <c:v>4847</c:v>
                </c:pt>
                <c:pt idx="12">
                  <c:v>1513</c:v>
                </c:pt>
                <c:pt idx="13">
                  <c:v>8228</c:v>
                </c:pt>
                <c:pt idx="14">
                  <c:v>6121</c:v>
                </c:pt>
                <c:pt idx="15">
                  <c:v>2199</c:v>
                </c:pt>
                <c:pt idx="18">
                  <c:v>2421</c:v>
                </c:pt>
                <c:pt idx="21">
                  <c:v>14812</c:v>
                </c:pt>
                <c:pt idx="22">
                  <c:v>4942</c:v>
                </c:pt>
                <c:pt idx="23">
                  <c:v>4882</c:v>
                </c:pt>
                <c:pt idx="24">
                  <c:v>9648</c:v>
                </c:pt>
                <c:pt idx="25">
                  <c:v>8945</c:v>
                </c:pt>
                <c:pt idx="26">
                  <c:v>5402</c:v>
                </c:pt>
                <c:pt idx="27">
                  <c:v>949</c:v>
                </c:pt>
                <c:pt idx="28">
                  <c:v>8527</c:v>
                </c:pt>
                <c:pt idx="29">
                  <c:v>7541</c:v>
                </c:pt>
                <c:pt idx="30">
                  <c:v>16577</c:v>
                </c:pt>
                <c:pt idx="31">
                  <c:v>9254</c:v>
                </c:pt>
                <c:pt idx="32">
                  <c:v>7471</c:v>
                </c:pt>
                <c:pt idx="34">
                  <c:v>7260</c:v>
                </c:pt>
                <c:pt idx="36">
                  <c:v>12622</c:v>
                </c:pt>
                <c:pt idx="37">
                  <c:v>5101</c:v>
                </c:pt>
                <c:pt idx="39">
                  <c:v>7432</c:v>
                </c:pt>
                <c:pt idx="40">
                  <c:v>2535</c:v>
                </c:pt>
                <c:pt idx="41">
                  <c:v>19728</c:v>
                </c:pt>
                <c:pt idx="42">
                  <c:v>21227</c:v>
                </c:pt>
                <c:pt idx="43">
                  <c:v>1660</c:v>
                </c:pt>
                <c:pt idx="44">
                  <c:v>4542</c:v>
                </c:pt>
                <c:pt idx="45">
                  <c:v>24995</c:v>
                </c:pt>
                <c:pt idx="47">
                  <c:v>1512</c:v>
                </c:pt>
                <c:pt idx="48">
                  <c:v>2960</c:v>
                </c:pt>
                <c:pt idx="49">
                  <c:v>8146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A8E-4AB6-A26D-55047CBEBB51}"/>
            </c:ext>
          </c:extLst>
        </c:ser>
        <c:ser>
          <c:idx val="2"/>
          <c:order val="2"/>
          <c:tx>
            <c:strRef>
              <c:f>'Task 6.1'!$P$7:$P$8</c:f>
              <c:strCache>
                <c:ptCount val="1"/>
                <c:pt idx="0">
                  <c:v>Twitter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movingAvg"/>
            <c:period val="5"/>
            <c:dispRSqr val="0"/>
            <c:dispEq val="0"/>
          </c:trendline>
          <c:cat>
            <c:strRef>
              <c:f>'Task 6.1'!$M$9:$M$59</c:f>
              <c:strCach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strCache>
            </c:strRef>
          </c:cat>
          <c:val>
            <c:numRef>
              <c:f>'Task 6.1'!$P$9:$P$59</c:f>
              <c:numCache>
                <c:formatCode>General</c:formatCode>
                <c:ptCount val="50"/>
                <c:pt idx="0">
                  <c:v>7432</c:v>
                </c:pt>
                <c:pt idx="1">
                  <c:v>8369</c:v>
                </c:pt>
                <c:pt idx="2">
                  <c:v>6073</c:v>
                </c:pt>
                <c:pt idx="3">
                  <c:v>15084</c:v>
                </c:pt>
                <c:pt idx="4">
                  <c:v>8463</c:v>
                </c:pt>
                <c:pt idx="5">
                  <c:v>7151</c:v>
                </c:pt>
                <c:pt idx="6">
                  <c:v>7092</c:v>
                </c:pt>
                <c:pt idx="7">
                  <c:v>7733</c:v>
                </c:pt>
                <c:pt idx="8">
                  <c:v>6039</c:v>
                </c:pt>
                <c:pt idx="9">
                  <c:v>3497</c:v>
                </c:pt>
                <c:pt idx="10">
                  <c:v>12800</c:v>
                </c:pt>
                <c:pt idx="12">
                  <c:v>5753</c:v>
                </c:pt>
                <c:pt idx="13">
                  <c:v>6593</c:v>
                </c:pt>
                <c:pt idx="15">
                  <c:v>3925</c:v>
                </c:pt>
                <c:pt idx="16">
                  <c:v>4942</c:v>
                </c:pt>
                <c:pt idx="17">
                  <c:v>8530</c:v>
                </c:pt>
                <c:pt idx="19">
                  <c:v>16256</c:v>
                </c:pt>
                <c:pt idx="22">
                  <c:v>8687</c:v>
                </c:pt>
                <c:pt idx="23">
                  <c:v>9649</c:v>
                </c:pt>
                <c:pt idx="24">
                  <c:v>6384</c:v>
                </c:pt>
                <c:pt idx="27">
                  <c:v>6642</c:v>
                </c:pt>
                <c:pt idx="28">
                  <c:v>6275</c:v>
                </c:pt>
                <c:pt idx="30">
                  <c:v>3079</c:v>
                </c:pt>
                <c:pt idx="31">
                  <c:v>9202</c:v>
                </c:pt>
                <c:pt idx="32">
                  <c:v>7346</c:v>
                </c:pt>
                <c:pt idx="33">
                  <c:v>20155</c:v>
                </c:pt>
                <c:pt idx="34">
                  <c:v>11789</c:v>
                </c:pt>
                <c:pt idx="35">
                  <c:v>16086</c:v>
                </c:pt>
                <c:pt idx="36">
                  <c:v>1020</c:v>
                </c:pt>
                <c:pt idx="37">
                  <c:v>1290</c:v>
                </c:pt>
                <c:pt idx="39">
                  <c:v>6326</c:v>
                </c:pt>
                <c:pt idx="40">
                  <c:v>8723</c:v>
                </c:pt>
                <c:pt idx="43">
                  <c:v>6272</c:v>
                </c:pt>
                <c:pt idx="44">
                  <c:v>8319</c:v>
                </c:pt>
                <c:pt idx="46">
                  <c:v>7058</c:v>
                </c:pt>
                <c:pt idx="47">
                  <c:v>15937</c:v>
                </c:pt>
                <c:pt idx="49">
                  <c:v>7436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A8E-4AB6-A26D-55047CBEBB51}"/>
            </c:ext>
          </c:extLst>
        </c:ser>
        <c:ser>
          <c:idx val="3"/>
          <c:order val="3"/>
          <c:tx>
            <c:strRef>
              <c:f>'Task 6.1'!$Q$7:$Q$8</c:f>
              <c:strCache>
                <c:ptCount val="1"/>
                <c:pt idx="0">
                  <c:v>YouTube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'Task 6.1'!$M$9:$M$59</c:f>
              <c:strCach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strCache>
            </c:strRef>
          </c:cat>
          <c:val>
            <c:numRef>
              <c:f>'Task 6.1'!$Q$9:$Q$59</c:f>
              <c:numCache>
                <c:formatCode>General</c:formatCode>
                <c:ptCount val="50"/>
                <c:pt idx="0">
                  <c:v>15994</c:v>
                </c:pt>
                <c:pt idx="1">
                  <c:v>7478</c:v>
                </c:pt>
                <c:pt idx="3">
                  <c:v>8653</c:v>
                </c:pt>
                <c:pt idx="6">
                  <c:v>1826</c:v>
                </c:pt>
                <c:pt idx="7">
                  <c:v>9082</c:v>
                </c:pt>
                <c:pt idx="8">
                  <c:v>3445</c:v>
                </c:pt>
                <c:pt idx="9">
                  <c:v>2543</c:v>
                </c:pt>
                <c:pt idx="10">
                  <c:v>7033</c:v>
                </c:pt>
                <c:pt idx="11">
                  <c:v>9427</c:v>
                </c:pt>
                <c:pt idx="12">
                  <c:v>5303</c:v>
                </c:pt>
                <c:pt idx="14">
                  <c:v>11613</c:v>
                </c:pt>
                <c:pt idx="15">
                  <c:v>9308</c:v>
                </c:pt>
                <c:pt idx="18">
                  <c:v>10348</c:v>
                </c:pt>
                <c:pt idx="19">
                  <c:v>7115</c:v>
                </c:pt>
                <c:pt idx="20">
                  <c:v>6918</c:v>
                </c:pt>
                <c:pt idx="21">
                  <c:v>12442</c:v>
                </c:pt>
                <c:pt idx="22">
                  <c:v>3056</c:v>
                </c:pt>
                <c:pt idx="23">
                  <c:v>5220</c:v>
                </c:pt>
                <c:pt idx="25">
                  <c:v>5143</c:v>
                </c:pt>
                <c:pt idx="26">
                  <c:v>3929</c:v>
                </c:pt>
                <c:pt idx="27">
                  <c:v>4790</c:v>
                </c:pt>
                <c:pt idx="29">
                  <c:v>7328</c:v>
                </c:pt>
                <c:pt idx="31">
                  <c:v>8601</c:v>
                </c:pt>
                <c:pt idx="32">
                  <c:v>1001</c:v>
                </c:pt>
                <c:pt idx="33">
                  <c:v>7654</c:v>
                </c:pt>
                <c:pt idx="35">
                  <c:v>12447</c:v>
                </c:pt>
                <c:pt idx="38">
                  <c:v>15359</c:v>
                </c:pt>
                <c:pt idx="39">
                  <c:v>6631</c:v>
                </c:pt>
                <c:pt idx="40">
                  <c:v>3555</c:v>
                </c:pt>
                <c:pt idx="42">
                  <c:v>4189</c:v>
                </c:pt>
                <c:pt idx="43">
                  <c:v>1567</c:v>
                </c:pt>
                <c:pt idx="44">
                  <c:v>6434</c:v>
                </c:pt>
                <c:pt idx="48">
                  <c:v>5210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A8E-4AB6-A26D-55047CBEBB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1123904"/>
        <c:axId val="841127744"/>
      </c:lineChart>
      <c:catAx>
        <c:axId val="841123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1127744"/>
        <c:crosses val="autoZero"/>
        <c:auto val="1"/>
        <c:lblAlgn val="ctr"/>
        <c:lblOffset val="100"/>
        <c:noMultiLvlLbl val="0"/>
      </c:catAx>
      <c:valAx>
        <c:axId val="841127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1123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384105939950772"/>
          <c:y val="5.8085272724933933E-2"/>
          <c:w val="0.85379384968080474"/>
          <c:h val="0.87584901831029593"/>
        </c:manualLayout>
      </c:layout>
      <c:scatterChart>
        <c:scatterStyle val="lineMarker"/>
        <c:varyColors val="0"/>
        <c:ser>
          <c:idx val="0"/>
          <c:order val="0"/>
          <c:tx>
            <c:strRef>
              <c:f>'Task 6.4'!$J$1</c:f>
              <c:strCache>
                <c:ptCount val="1"/>
                <c:pt idx="0">
                  <c:v>Ad_Spend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'Task 6.4'!$J$2:$J$201</c:f>
              <c:numCache>
                <c:formatCode>General</c:formatCode>
                <c:ptCount val="200"/>
                <c:pt idx="0">
                  <c:v>23944</c:v>
                </c:pt>
                <c:pt idx="1">
                  <c:v>29873</c:v>
                </c:pt>
                <c:pt idx="2">
                  <c:v>50372</c:v>
                </c:pt>
                <c:pt idx="3">
                  <c:v>33928</c:v>
                </c:pt>
                <c:pt idx="4">
                  <c:v>25379</c:v>
                </c:pt>
                <c:pt idx="5">
                  <c:v>46751</c:v>
                </c:pt>
                <c:pt idx="6">
                  <c:v>44546</c:v>
                </c:pt>
                <c:pt idx="7">
                  <c:v>34286</c:v>
                </c:pt>
                <c:pt idx="8">
                  <c:v>15110</c:v>
                </c:pt>
                <c:pt idx="9">
                  <c:v>22087</c:v>
                </c:pt>
                <c:pt idx="10">
                  <c:v>33762</c:v>
                </c:pt>
                <c:pt idx="11">
                  <c:v>27081</c:v>
                </c:pt>
                <c:pt idx="12">
                  <c:v>44947</c:v>
                </c:pt>
                <c:pt idx="13">
                  <c:v>19596</c:v>
                </c:pt>
                <c:pt idx="14">
                  <c:v>48019</c:v>
                </c:pt>
                <c:pt idx="15">
                  <c:v>52003</c:v>
                </c:pt>
                <c:pt idx="16">
                  <c:v>28313</c:v>
                </c:pt>
                <c:pt idx="17">
                  <c:v>57639</c:v>
                </c:pt>
                <c:pt idx="18">
                  <c:v>11013</c:v>
                </c:pt>
                <c:pt idx="19">
                  <c:v>59378</c:v>
                </c:pt>
                <c:pt idx="20">
                  <c:v>33705</c:v>
                </c:pt>
                <c:pt idx="21">
                  <c:v>11828</c:v>
                </c:pt>
                <c:pt idx="22">
                  <c:v>17909</c:v>
                </c:pt>
                <c:pt idx="23">
                  <c:v>48356</c:v>
                </c:pt>
                <c:pt idx="24">
                  <c:v>23109</c:v>
                </c:pt>
                <c:pt idx="25">
                  <c:v>12023</c:v>
                </c:pt>
                <c:pt idx="26">
                  <c:v>24537</c:v>
                </c:pt>
                <c:pt idx="27">
                  <c:v>36661</c:v>
                </c:pt>
                <c:pt idx="28">
                  <c:v>48659</c:v>
                </c:pt>
                <c:pt idx="29">
                  <c:v>43848</c:v>
                </c:pt>
                <c:pt idx="30">
                  <c:v>47804</c:v>
                </c:pt>
                <c:pt idx="31">
                  <c:v>25379</c:v>
                </c:pt>
                <c:pt idx="32">
                  <c:v>37766</c:v>
                </c:pt>
                <c:pt idx="33">
                  <c:v>53590</c:v>
                </c:pt>
                <c:pt idx="34">
                  <c:v>12563</c:v>
                </c:pt>
                <c:pt idx="35">
                  <c:v>46060</c:v>
                </c:pt>
                <c:pt idx="36">
                  <c:v>39197</c:v>
                </c:pt>
                <c:pt idx="37">
                  <c:v>13586</c:v>
                </c:pt>
                <c:pt idx="38">
                  <c:v>26087</c:v>
                </c:pt>
                <c:pt idx="39">
                  <c:v>58868</c:v>
                </c:pt>
                <c:pt idx="40">
                  <c:v>33225</c:v>
                </c:pt>
                <c:pt idx="41">
                  <c:v>39750</c:v>
                </c:pt>
                <c:pt idx="42">
                  <c:v>16643</c:v>
                </c:pt>
                <c:pt idx="43">
                  <c:v>37523</c:v>
                </c:pt>
                <c:pt idx="44">
                  <c:v>46727</c:v>
                </c:pt>
                <c:pt idx="45">
                  <c:v>21005</c:v>
                </c:pt>
                <c:pt idx="46">
                  <c:v>53543</c:v>
                </c:pt>
                <c:pt idx="47">
                  <c:v>10161</c:v>
                </c:pt>
                <c:pt idx="48">
                  <c:v>26029</c:v>
                </c:pt>
                <c:pt idx="49">
                  <c:v>59745</c:v>
                </c:pt>
                <c:pt idx="50">
                  <c:v>24226</c:v>
                </c:pt>
                <c:pt idx="51">
                  <c:v>38731</c:v>
                </c:pt>
                <c:pt idx="52">
                  <c:v>53922</c:v>
                </c:pt>
                <c:pt idx="53">
                  <c:v>54848</c:v>
                </c:pt>
                <c:pt idx="54">
                  <c:v>13390</c:v>
                </c:pt>
                <c:pt idx="55">
                  <c:v>15997</c:v>
                </c:pt>
                <c:pt idx="56">
                  <c:v>22693</c:v>
                </c:pt>
                <c:pt idx="57">
                  <c:v>59815</c:v>
                </c:pt>
                <c:pt idx="58">
                  <c:v>52092</c:v>
                </c:pt>
                <c:pt idx="59">
                  <c:v>10541</c:v>
                </c:pt>
                <c:pt idx="60">
                  <c:v>31817</c:v>
                </c:pt>
                <c:pt idx="61">
                  <c:v>47861</c:v>
                </c:pt>
                <c:pt idx="62">
                  <c:v>23428</c:v>
                </c:pt>
                <c:pt idx="63">
                  <c:v>53934</c:v>
                </c:pt>
                <c:pt idx="64">
                  <c:v>58831</c:v>
                </c:pt>
                <c:pt idx="65">
                  <c:v>20258</c:v>
                </c:pt>
                <c:pt idx="66">
                  <c:v>26044</c:v>
                </c:pt>
                <c:pt idx="67">
                  <c:v>39411</c:v>
                </c:pt>
                <c:pt idx="68">
                  <c:v>15469</c:v>
                </c:pt>
                <c:pt idx="69">
                  <c:v>38854</c:v>
                </c:pt>
                <c:pt idx="70">
                  <c:v>16256</c:v>
                </c:pt>
                <c:pt idx="71">
                  <c:v>20720</c:v>
                </c:pt>
                <c:pt idx="72">
                  <c:v>43937</c:v>
                </c:pt>
                <c:pt idx="73">
                  <c:v>43598</c:v>
                </c:pt>
                <c:pt idx="74">
                  <c:v>11651</c:v>
                </c:pt>
                <c:pt idx="75">
                  <c:v>29194</c:v>
                </c:pt>
                <c:pt idx="76">
                  <c:v>35051</c:v>
                </c:pt>
                <c:pt idx="77">
                  <c:v>37386</c:v>
                </c:pt>
                <c:pt idx="78">
                  <c:v>19518</c:v>
                </c:pt>
                <c:pt idx="79">
                  <c:v>56026</c:v>
                </c:pt>
                <c:pt idx="80">
                  <c:v>26184</c:v>
                </c:pt>
                <c:pt idx="81">
                  <c:v>43787</c:v>
                </c:pt>
                <c:pt idx="82">
                  <c:v>31621</c:v>
                </c:pt>
                <c:pt idx="83">
                  <c:v>20028</c:v>
                </c:pt>
                <c:pt idx="84">
                  <c:v>22448</c:v>
                </c:pt>
                <c:pt idx="85">
                  <c:v>55253</c:v>
                </c:pt>
                <c:pt idx="86">
                  <c:v>44051</c:v>
                </c:pt>
                <c:pt idx="87">
                  <c:v>59811</c:v>
                </c:pt>
                <c:pt idx="88">
                  <c:v>40447</c:v>
                </c:pt>
                <c:pt idx="89">
                  <c:v>28394</c:v>
                </c:pt>
                <c:pt idx="90">
                  <c:v>44501</c:v>
                </c:pt>
                <c:pt idx="91">
                  <c:v>40254</c:v>
                </c:pt>
                <c:pt idx="92">
                  <c:v>28509</c:v>
                </c:pt>
                <c:pt idx="93">
                  <c:v>58998</c:v>
                </c:pt>
                <c:pt idx="94">
                  <c:v>24472</c:v>
                </c:pt>
                <c:pt idx="95">
                  <c:v>55657</c:v>
                </c:pt>
                <c:pt idx="96">
                  <c:v>13471</c:v>
                </c:pt>
                <c:pt idx="97">
                  <c:v>51796</c:v>
                </c:pt>
                <c:pt idx="98">
                  <c:v>40268</c:v>
                </c:pt>
                <c:pt idx="99">
                  <c:v>18329</c:v>
                </c:pt>
                <c:pt idx="100">
                  <c:v>44865</c:v>
                </c:pt>
                <c:pt idx="101">
                  <c:v>56850</c:v>
                </c:pt>
                <c:pt idx="102">
                  <c:v>56698</c:v>
                </c:pt>
                <c:pt idx="103">
                  <c:v>38272</c:v>
                </c:pt>
                <c:pt idx="104">
                  <c:v>52845</c:v>
                </c:pt>
                <c:pt idx="105">
                  <c:v>16397</c:v>
                </c:pt>
                <c:pt idx="106">
                  <c:v>42373</c:v>
                </c:pt>
                <c:pt idx="107">
                  <c:v>45525</c:v>
                </c:pt>
                <c:pt idx="108">
                  <c:v>34570</c:v>
                </c:pt>
                <c:pt idx="109">
                  <c:v>28284</c:v>
                </c:pt>
                <c:pt idx="110">
                  <c:v>28994</c:v>
                </c:pt>
                <c:pt idx="111">
                  <c:v>33284</c:v>
                </c:pt>
                <c:pt idx="112">
                  <c:v>27833</c:v>
                </c:pt>
                <c:pt idx="113">
                  <c:v>35122</c:v>
                </c:pt>
                <c:pt idx="114">
                  <c:v>15017</c:v>
                </c:pt>
                <c:pt idx="115">
                  <c:v>26370</c:v>
                </c:pt>
                <c:pt idx="116">
                  <c:v>39252</c:v>
                </c:pt>
                <c:pt idx="117">
                  <c:v>17999</c:v>
                </c:pt>
                <c:pt idx="118">
                  <c:v>32436</c:v>
                </c:pt>
                <c:pt idx="119">
                  <c:v>52963</c:v>
                </c:pt>
                <c:pt idx="120">
                  <c:v>12096</c:v>
                </c:pt>
                <c:pt idx="121">
                  <c:v>58201</c:v>
                </c:pt>
                <c:pt idx="122">
                  <c:v>35279</c:v>
                </c:pt>
                <c:pt idx="123">
                  <c:v>53363</c:v>
                </c:pt>
                <c:pt idx="124">
                  <c:v>58709</c:v>
                </c:pt>
                <c:pt idx="125">
                  <c:v>36201</c:v>
                </c:pt>
                <c:pt idx="126">
                  <c:v>29715</c:v>
                </c:pt>
                <c:pt idx="127">
                  <c:v>39309</c:v>
                </c:pt>
                <c:pt idx="128">
                  <c:v>25078</c:v>
                </c:pt>
                <c:pt idx="129">
                  <c:v>15105</c:v>
                </c:pt>
                <c:pt idx="130">
                  <c:v>39312</c:v>
                </c:pt>
                <c:pt idx="131">
                  <c:v>12839</c:v>
                </c:pt>
                <c:pt idx="132">
                  <c:v>13384</c:v>
                </c:pt>
                <c:pt idx="133">
                  <c:v>53619</c:v>
                </c:pt>
                <c:pt idx="134">
                  <c:v>52821</c:v>
                </c:pt>
                <c:pt idx="135">
                  <c:v>23493</c:v>
                </c:pt>
                <c:pt idx="136">
                  <c:v>27069</c:v>
                </c:pt>
                <c:pt idx="137">
                  <c:v>56907</c:v>
                </c:pt>
                <c:pt idx="138">
                  <c:v>17531</c:v>
                </c:pt>
                <c:pt idx="139">
                  <c:v>47051</c:v>
                </c:pt>
                <c:pt idx="140">
                  <c:v>17736</c:v>
                </c:pt>
                <c:pt idx="141">
                  <c:v>17710</c:v>
                </c:pt>
                <c:pt idx="142">
                  <c:v>11619</c:v>
                </c:pt>
                <c:pt idx="143">
                  <c:v>23975</c:v>
                </c:pt>
                <c:pt idx="144">
                  <c:v>55603</c:v>
                </c:pt>
                <c:pt idx="145">
                  <c:v>33252</c:v>
                </c:pt>
                <c:pt idx="146">
                  <c:v>25261</c:v>
                </c:pt>
                <c:pt idx="147">
                  <c:v>11431</c:v>
                </c:pt>
                <c:pt idx="148">
                  <c:v>19067</c:v>
                </c:pt>
                <c:pt idx="149">
                  <c:v>47481</c:v>
                </c:pt>
                <c:pt idx="150">
                  <c:v>37037</c:v>
                </c:pt>
                <c:pt idx="151">
                  <c:v>19557</c:v>
                </c:pt>
                <c:pt idx="152">
                  <c:v>19435</c:v>
                </c:pt>
                <c:pt idx="153">
                  <c:v>47766</c:v>
                </c:pt>
                <c:pt idx="154">
                  <c:v>10162</c:v>
                </c:pt>
                <c:pt idx="155">
                  <c:v>44742</c:v>
                </c:pt>
                <c:pt idx="156">
                  <c:v>29675</c:v>
                </c:pt>
                <c:pt idx="157">
                  <c:v>18461</c:v>
                </c:pt>
                <c:pt idx="158">
                  <c:v>27015</c:v>
                </c:pt>
                <c:pt idx="159">
                  <c:v>42591</c:v>
                </c:pt>
                <c:pt idx="160">
                  <c:v>38047</c:v>
                </c:pt>
                <c:pt idx="161">
                  <c:v>44782</c:v>
                </c:pt>
                <c:pt idx="162">
                  <c:v>19833</c:v>
                </c:pt>
                <c:pt idx="163">
                  <c:v>17896</c:v>
                </c:pt>
                <c:pt idx="164">
                  <c:v>42972</c:v>
                </c:pt>
                <c:pt idx="165">
                  <c:v>59733</c:v>
                </c:pt>
                <c:pt idx="166">
                  <c:v>51800</c:v>
                </c:pt>
                <c:pt idx="167">
                  <c:v>40508</c:v>
                </c:pt>
                <c:pt idx="168">
                  <c:v>15347</c:v>
                </c:pt>
                <c:pt idx="169">
                  <c:v>40314</c:v>
                </c:pt>
                <c:pt idx="170">
                  <c:v>12643</c:v>
                </c:pt>
                <c:pt idx="171">
                  <c:v>50785</c:v>
                </c:pt>
                <c:pt idx="172">
                  <c:v>28681</c:v>
                </c:pt>
                <c:pt idx="173">
                  <c:v>48328</c:v>
                </c:pt>
                <c:pt idx="174">
                  <c:v>25892</c:v>
                </c:pt>
                <c:pt idx="175">
                  <c:v>57299</c:v>
                </c:pt>
                <c:pt idx="176">
                  <c:v>27073</c:v>
                </c:pt>
                <c:pt idx="177">
                  <c:v>46768</c:v>
                </c:pt>
                <c:pt idx="178">
                  <c:v>40682</c:v>
                </c:pt>
                <c:pt idx="179">
                  <c:v>42262</c:v>
                </c:pt>
                <c:pt idx="180">
                  <c:v>41358</c:v>
                </c:pt>
                <c:pt idx="181">
                  <c:v>24289</c:v>
                </c:pt>
                <c:pt idx="182">
                  <c:v>59823</c:v>
                </c:pt>
                <c:pt idx="183">
                  <c:v>17927</c:v>
                </c:pt>
                <c:pt idx="184">
                  <c:v>58330</c:v>
                </c:pt>
                <c:pt idx="185">
                  <c:v>11171</c:v>
                </c:pt>
                <c:pt idx="186">
                  <c:v>21918</c:v>
                </c:pt>
                <c:pt idx="187">
                  <c:v>51903</c:v>
                </c:pt>
                <c:pt idx="188">
                  <c:v>49110</c:v>
                </c:pt>
                <c:pt idx="189">
                  <c:v>21929</c:v>
                </c:pt>
                <c:pt idx="190">
                  <c:v>12539</c:v>
                </c:pt>
                <c:pt idx="191">
                  <c:v>46727</c:v>
                </c:pt>
                <c:pt idx="192">
                  <c:v>55951</c:v>
                </c:pt>
                <c:pt idx="193">
                  <c:v>32669</c:v>
                </c:pt>
                <c:pt idx="194">
                  <c:v>15432</c:v>
                </c:pt>
                <c:pt idx="195">
                  <c:v>30644</c:v>
                </c:pt>
                <c:pt idx="196">
                  <c:v>28745</c:v>
                </c:pt>
                <c:pt idx="197">
                  <c:v>38228</c:v>
                </c:pt>
                <c:pt idx="198">
                  <c:v>44521</c:v>
                </c:pt>
                <c:pt idx="199">
                  <c:v>41703</c:v>
                </c:pt>
              </c:numCache>
            </c:numRef>
          </c:xVal>
          <c:yVal>
            <c:numRef>
              <c:f>'Task 6.4'!$I$2:$I$201</c:f>
              <c:numCache>
                <c:formatCode>General</c:formatCode>
                <c:ptCount val="200"/>
                <c:pt idx="0">
                  <c:v>3777</c:v>
                </c:pt>
                <c:pt idx="1">
                  <c:v>7432</c:v>
                </c:pt>
                <c:pt idx="2">
                  <c:v>8123</c:v>
                </c:pt>
                <c:pt idx="3">
                  <c:v>7871</c:v>
                </c:pt>
                <c:pt idx="4">
                  <c:v>7215</c:v>
                </c:pt>
                <c:pt idx="5">
                  <c:v>7478</c:v>
                </c:pt>
                <c:pt idx="6">
                  <c:v>4934</c:v>
                </c:pt>
                <c:pt idx="7">
                  <c:v>3435</c:v>
                </c:pt>
                <c:pt idx="8">
                  <c:v>7452</c:v>
                </c:pt>
                <c:pt idx="9">
                  <c:v>6073</c:v>
                </c:pt>
                <c:pt idx="10">
                  <c:v>6728</c:v>
                </c:pt>
                <c:pt idx="11">
                  <c:v>5678</c:v>
                </c:pt>
                <c:pt idx="12">
                  <c:v>8654</c:v>
                </c:pt>
                <c:pt idx="13">
                  <c:v>4885</c:v>
                </c:pt>
                <c:pt idx="14">
                  <c:v>8653</c:v>
                </c:pt>
                <c:pt idx="15">
                  <c:v>6430</c:v>
                </c:pt>
                <c:pt idx="16">
                  <c:v>5442</c:v>
                </c:pt>
                <c:pt idx="17">
                  <c:v>8463</c:v>
                </c:pt>
                <c:pt idx="18">
                  <c:v>3202</c:v>
                </c:pt>
                <c:pt idx="19">
                  <c:v>2726</c:v>
                </c:pt>
                <c:pt idx="20">
                  <c:v>7151</c:v>
                </c:pt>
                <c:pt idx="21">
                  <c:v>1918</c:v>
                </c:pt>
                <c:pt idx="22">
                  <c:v>6236</c:v>
                </c:pt>
                <c:pt idx="23">
                  <c:v>3224</c:v>
                </c:pt>
                <c:pt idx="24">
                  <c:v>3586</c:v>
                </c:pt>
                <c:pt idx="25">
                  <c:v>7092</c:v>
                </c:pt>
                <c:pt idx="26">
                  <c:v>1826</c:v>
                </c:pt>
                <c:pt idx="27">
                  <c:v>1381</c:v>
                </c:pt>
                <c:pt idx="28">
                  <c:v>7429</c:v>
                </c:pt>
                <c:pt idx="29">
                  <c:v>7733</c:v>
                </c:pt>
                <c:pt idx="30">
                  <c:v>7974</c:v>
                </c:pt>
                <c:pt idx="31">
                  <c:v>9082</c:v>
                </c:pt>
                <c:pt idx="32">
                  <c:v>1741</c:v>
                </c:pt>
                <c:pt idx="33">
                  <c:v>5796</c:v>
                </c:pt>
                <c:pt idx="34">
                  <c:v>3445</c:v>
                </c:pt>
                <c:pt idx="35">
                  <c:v>6039</c:v>
                </c:pt>
                <c:pt idx="36">
                  <c:v>3213</c:v>
                </c:pt>
                <c:pt idx="37">
                  <c:v>3497</c:v>
                </c:pt>
                <c:pt idx="38">
                  <c:v>2543</c:v>
                </c:pt>
                <c:pt idx="39">
                  <c:v>4847</c:v>
                </c:pt>
                <c:pt idx="40">
                  <c:v>5795</c:v>
                </c:pt>
                <c:pt idx="41">
                  <c:v>6853</c:v>
                </c:pt>
                <c:pt idx="42">
                  <c:v>7033</c:v>
                </c:pt>
                <c:pt idx="43">
                  <c:v>7005</c:v>
                </c:pt>
                <c:pt idx="44">
                  <c:v>6920</c:v>
                </c:pt>
                <c:pt idx="45">
                  <c:v>5071</c:v>
                </c:pt>
                <c:pt idx="46">
                  <c:v>6915</c:v>
                </c:pt>
                <c:pt idx="47">
                  <c:v>4356</c:v>
                </c:pt>
                <c:pt idx="48">
                  <c:v>1513</c:v>
                </c:pt>
                <c:pt idx="49">
                  <c:v>5753</c:v>
                </c:pt>
                <c:pt idx="50">
                  <c:v>8231</c:v>
                </c:pt>
                <c:pt idx="51">
                  <c:v>5303</c:v>
                </c:pt>
                <c:pt idx="52">
                  <c:v>5520</c:v>
                </c:pt>
                <c:pt idx="53">
                  <c:v>1876</c:v>
                </c:pt>
                <c:pt idx="54">
                  <c:v>6593</c:v>
                </c:pt>
                <c:pt idx="55">
                  <c:v>8228</c:v>
                </c:pt>
                <c:pt idx="56">
                  <c:v>7442</c:v>
                </c:pt>
                <c:pt idx="57">
                  <c:v>9118</c:v>
                </c:pt>
                <c:pt idx="58">
                  <c:v>2495</c:v>
                </c:pt>
                <c:pt idx="59">
                  <c:v>6121</c:v>
                </c:pt>
                <c:pt idx="60">
                  <c:v>7224</c:v>
                </c:pt>
                <c:pt idx="61">
                  <c:v>2199</c:v>
                </c:pt>
                <c:pt idx="62">
                  <c:v>2084</c:v>
                </c:pt>
                <c:pt idx="63">
                  <c:v>3925</c:v>
                </c:pt>
                <c:pt idx="64">
                  <c:v>1309</c:v>
                </c:pt>
                <c:pt idx="65">
                  <c:v>4942</c:v>
                </c:pt>
                <c:pt idx="66">
                  <c:v>4027</c:v>
                </c:pt>
                <c:pt idx="67">
                  <c:v>7704</c:v>
                </c:pt>
                <c:pt idx="68">
                  <c:v>8361</c:v>
                </c:pt>
                <c:pt idx="69">
                  <c:v>5698</c:v>
                </c:pt>
                <c:pt idx="70">
                  <c:v>1543</c:v>
                </c:pt>
                <c:pt idx="71">
                  <c:v>2832</c:v>
                </c:pt>
                <c:pt idx="72">
                  <c:v>2421</c:v>
                </c:pt>
                <c:pt idx="73">
                  <c:v>6201</c:v>
                </c:pt>
                <c:pt idx="74">
                  <c:v>4147</c:v>
                </c:pt>
                <c:pt idx="75">
                  <c:v>4808</c:v>
                </c:pt>
                <c:pt idx="76">
                  <c:v>7767</c:v>
                </c:pt>
                <c:pt idx="77">
                  <c:v>7115</c:v>
                </c:pt>
                <c:pt idx="78">
                  <c:v>3011</c:v>
                </c:pt>
                <c:pt idx="79">
                  <c:v>5478</c:v>
                </c:pt>
                <c:pt idx="80">
                  <c:v>7565</c:v>
                </c:pt>
                <c:pt idx="81">
                  <c:v>6918</c:v>
                </c:pt>
                <c:pt idx="82">
                  <c:v>7921</c:v>
                </c:pt>
                <c:pt idx="83">
                  <c:v>8487</c:v>
                </c:pt>
                <c:pt idx="84">
                  <c:v>6439</c:v>
                </c:pt>
                <c:pt idx="85">
                  <c:v>6003</c:v>
                </c:pt>
                <c:pt idx="86">
                  <c:v>6452</c:v>
                </c:pt>
                <c:pt idx="87">
                  <c:v>8360</c:v>
                </c:pt>
                <c:pt idx="88">
                  <c:v>7218</c:v>
                </c:pt>
                <c:pt idx="89">
                  <c:v>3056</c:v>
                </c:pt>
                <c:pt idx="90">
                  <c:v>4942</c:v>
                </c:pt>
                <c:pt idx="91">
                  <c:v>1469</c:v>
                </c:pt>
                <c:pt idx="92">
                  <c:v>1017</c:v>
                </c:pt>
                <c:pt idx="93">
                  <c:v>8632</c:v>
                </c:pt>
                <c:pt idx="94">
                  <c:v>4882</c:v>
                </c:pt>
                <c:pt idx="95">
                  <c:v>5220</c:v>
                </c:pt>
                <c:pt idx="96">
                  <c:v>5206</c:v>
                </c:pt>
                <c:pt idx="97">
                  <c:v>6384</c:v>
                </c:pt>
                <c:pt idx="98">
                  <c:v>3179</c:v>
                </c:pt>
                <c:pt idx="99">
                  <c:v>6469</c:v>
                </c:pt>
                <c:pt idx="100">
                  <c:v>8485</c:v>
                </c:pt>
                <c:pt idx="101">
                  <c:v>6052</c:v>
                </c:pt>
                <c:pt idx="102">
                  <c:v>8945</c:v>
                </c:pt>
                <c:pt idx="103">
                  <c:v>5143</c:v>
                </c:pt>
                <c:pt idx="104">
                  <c:v>1369</c:v>
                </c:pt>
                <c:pt idx="105">
                  <c:v>5402</c:v>
                </c:pt>
                <c:pt idx="106">
                  <c:v>7630</c:v>
                </c:pt>
                <c:pt idx="107">
                  <c:v>3929</c:v>
                </c:pt>
                <c:pt idx="108">
                  <c:v>6642</c:v>
                </c:pt>
                <c:pt idx="109">
                  <c:v>3461</c:v>
                </c:pt>
                <c:pt idx="110">
                  <c:v>4790</c:v>
                </c:pt>
                <c:pt idx="111">
                  <c:v>949</c:v>
                </c:pt>
                <c:pt idx="112">
                  <c:v>3592</c:v>
                </c:pt>
                <c:pt idx="113">
                  <c:v>1210</c:v>
                </c:pt>
                <c:pt idx="114">
                  <c:v>8527</c:v>
                </c:pt>
                <c:pt idx="115">
                  <c:v>6275</c:v>
                </c:pt>
                <c:pt idx="116">
                  <c:v>1367</c:v>
                </c:pt>
                <c:pt idx="117">
                  <c:v>4314</c:v>
                </c:pt>
                <c:pt idx="118">
                  <c:v>6174</c:v>
                </c:pt>
                <c:pt idx="119">
                  <c:v>7328</c:v>
                </c:pt>
                <c:pt idx="120">
                  <c:v>8200</c:v>
                </c:pt>
                <c:pt idx="121">
                  <c:v>4214</c:v>
                </c:pt>
                <c:pt idx="122">
                  <c:v>8377</c:v>
                </c:pt>
                <c:pt idx="123">
                  <c:v>3079</c:v>
                </c:pt>
                <c:pt idx="124">
                  <c:v>9254</c:v>
                </c:pt>
                <c:pt idx="125">
                  <c:v>7668</c:v>
                </c:pt>
                <c:pt idx="126">
                  <c:v>8601</c:v>
                </c:pt>
                <c:pt idx="127">
                  <c:v>1534</c:v>
                </c:pt>
                <c:pt idx="128">
                  <c:v>7471</c:v>
                </c:pt>
                <c:pt idx="129">
                  <c:v>2919</c:v>
                </c:pt>
                <c:pt idx="130">
                  <c:v>7346</c:v>
                </c:pt>
                <c:pt idx="131">
                  <c:v>1001</c:v>
                </c:pt>
                <c:pt idx="132">
                  <c:v>8518</c:v>
                </c:pt>
                <c:pt idx="133">
                  <c:v>7421</c:v>
                </c:pt>
                <c:pt idx="134">
                  <c:v>4216</c:v>
                </c:pt>
                <c:pt idx="135">
                  <c:v>7654</c:v>
                </c:pt>
                <c:pt idx="136">
                  <c:v>7260</c:v>
                </c:pt>
                <c:pt idx="137">
                  <c:v>6361</c:v>
                </c:pt>
                <c:pt idx="138">
                  <c:v>5428</c:v>
                </c:pt>
                <c:pt idx="139">
                  <c:v>3643</c:v>
                </c:pt>
                <c:pt idx="140">
                  <c:v>3805</c:v>
                </c:pt>
                <c:pt idx="141">
                  <c:v>8128</c:v>
                </c:pt>
                <c:pt idx="142">
                  <c:v>8642</c:v>
                </c:pt>
                <c:pt idx="143">
                  <c:v>7958</c:v>
                </c:pt>
                <c:pt idx="144">
                  <c:v>3420</c:v>
                </c:pt>
                <c:pt idx="145">
                  <c:v>2525</c:v>
                </c:pt>
                <c:pt idx="146">
                  <c:v>1020</c:v>
                </c:pt>
                <c:pt idx="147">
                  <c:v>6677</c:v>
                </c:pt>
                <c:pt idx="148">
                  <c:v>1290</c:v>
                </c:pt>
                <c:pt idx="149">
                  <c:v>5101</c:v>
                </c:pt>
                <c:pt idx="150">
                  <c:v>5439</c:v>
                </c:pt>
                <c:pt idx="151">
                  <c:v>6029</c:v>
                </c:pt>
                <c:pt idx="152">
                  <c:v>9125</c:v>
                </c:pt>
                <c:pt idx="153">
                  <c:v>8979</c:v>
                </c:pt>
                <c:pt idx="154">
                  <c:v>6380</c:v>
                </c:pt>
                <c:pt idx="155">
                  <c:v>5962</c:v>
                </c:pt>
                <c:pt idx="156">
                  <c:v>6631</c:v>
                </c:pt>
                <c:pt idx="157">
                  <c:v>7432</c:v>
                </c:pt>
                <c:pt idx="158">
                  <c:v>2081</c:v>
                </c:pt>
                <c:pt idx="159">
                  <c:v>4245</c:v>
                </c:pt>
                <c:pt idx="160">
                  <c:v>8723</c:v>
                </c:pt>
                <c:pt idx="161">
                  <c:v>2994</c:v>
                </c:pt>
                <c:pt idx="162">
                  <c:v>3555</c:v>
                </c:pt>
                <c:pt idx="163">
                  <c:v>2535</c:v>
                </c:pt>
                <c:pt idx="164">
                  <c:v>7509</c:v>
                </c:pt>
                <c:pt idx="165">
                  <c:v>8292</c:v>
                </c:pt>
                <c:pt idx="166">
                  <c:v>4852</c:v>
                </c:pt>
                <c:pt idx="167">
                  <c:v>7367</c:v>
                </c:pt>
                <c:pt idx="168">
                  <c:v>9044</c:v>
                </c:pt>
                <c:pt idx="169">
                  <c:v>2848</c:v>
                </c:pt>
                <c:pt idx="170">
                  <c:v>4189</c:v>
                </c:pt>
                <c:pt idx="171">
                  <c:v>9335</c:v>
                </c:pt>
                <c:pt idx="172">
                  <c:v>6272</c:v>
                </c:pt>
                <c:pt idx="173">
                  <c:v>6128</c:v>
                </c:pt>
                <c:pt idx="174">
                  <c:v>1567</c:v>
                </c:pt>
                <c:pt idx="175">
                  <c:v>1660</c:v>
                </c:pt>
                <c:pt idx="176">
                  <c:v>6434</c:v>
                </c:pt>
                <c:pt idx="177">
                  <c:v>4542</c:v>
                </c:pt>
                <c:pt idx="178">
                  <c:v>8319</c:v>
                </c:pt>
                <c:pt idx="179">
                  <c:v>1425</c:v>
                </c:pt>
                <c:pt idx="180">
                  <c:v>7849</c:v>
                </c:pt>
                <c:pt idx="181">
                  <c:v>6368</c:v>
                </c:pt>
                <c:pt idx="182">
                  <c:v>4788</c:v>
                </c:pt>
                <c:pt idx="183">
                  <c:v>5990</c:v>
                </c:pt>
                <c:pt idx="184">
                  <c:v>5491</c:v>
                </c:pt>
                <c:pt idx="185">
                  <c:v>6425</c:v>
                </c:pt>
                <c:pt idx="186">
                  <c:v>7058</c:v>
                </c:pt>
                <c:pt idx="187">
                  <c:v>3096</c:v>
                </c:pt>
                <c:pt idx="188">
                  <c:v>1512</c:v>
                </c:pt>
                <c:pt idx="189">
                  <c:v>2926</c:v>
                </c:pt>
                <c:pt idx="190">
                  <c:v>7555</c:v>
                </c:pt>
                <c:pt idx="191">
                  <c:v>5456</c:v>
                </c:pt>
                <c:pt idx="192">
                  <c:v>893</c:v>
                </c:pt>
                <c:pt idx="193">
                  <c:v>5210</c:v>
                </c:pt>
                <c:pt idx="194">
                  <c:v>2067</c:v>
                </c:pt>
                <c:pt idx="195">
                  <c:v>7959</c:v>
                </c:pt>
                <c:pt idx="196">
                  <c:v>2805</c:v>
                </c:pt>
                <c:pt idx="197">
                  <c:v>7025</c:v>
                </c:pt>
                <c:pt idx="198">
                  <c:v>1121</c:v>
                </c:pt>
                <c:pt idx="199">
                  <c:v>7436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231-4328-9493-FDE5DB58D6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7899776"/>
        <c:axId val="2087902176"/>
      </c:scatterChart>
      <c:valAx>
        <c:axId val="20878997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7902176"/>
        <c:crosses val="autoZero"/>
        <c:crossBetween val="midCat"/>
      </c:valAx>
      <c:valAx>
        <c:axId val="2087902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78997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567266</xdr:colOff>
      <xdr:row>8</xdr:row>
      <xdr:rowOff>152399</xdr:rowOff>
    </xdr:from>
    <xdr:to>
      <xdr:col>41</xdr:col>
      <xdr:colOff>135467</xdr:colOff>
      <xdr:row>37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F47E6C1-1509-1700-809A-DA6EAB1337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562638</xdr:colOff>
      <xdr:row>7</xdr:row>
      <xdr:rowOff>19493</xdr:rowOff>
    </xdr:from>
    <xdr:to>
      <xdr:col>30</xdr:col>
      <xdr:colOff>398721</xdr:colOff>
      <xdr:row>27</xdr:row>
      <xdr:rowOff>26581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784CA8A-3F52-0B49-9073-B228509339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602901</xdr:colOff>
      <xdr:row>11</xdr:row>
      <xdr:rowOff>52572</xdr:rowOff>
    </xdr:from>
    <xdr:to>
      <xdr:col>14</xdr:col>
      <xdr:colOff>1716593</xdr:colOff>
      <xdr:row>30</xdr:row>
      <xdr:rowOff>15551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665D612-74D5-745C-5961-FD957B3D6B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ndini More" refreshedDate="45975.760342939815" createdVersion="8" refreshedVersion="8" minRefreshableVersion="3" recordCount="567" xr:uid="{332A3221-8B39-41F0-92D5-306A5BAD2840}">
  <cacheSource type="worksheet">
    <worksheetSource name="Table1_3"/>
  </cacheSource>
  <cacheFields count="12">
    <cacheField name="PostID" numFmtId="0">
      <sharedItems count="300">
        <s v="A1"/>
        <s v="A2"/>
        <s v="A3"/>
        <s v="A4"/>
        <s v="A5"/>
        <s v="A6"/>
        <s v="A7"/>
        <s v="A8"/>
        <s v="A9"/>
        <s v="A10"/>
        <s v="A11"/>
        <s v="A12"/>
        <s v="A13"/>
        <s v="A14"/>
        <s v="A15"/>
        <s v="A16"/>
        <s v="A17"/>
        <s v="A18"/>
        <s v="A19"/>
        <s v="A20"/>
        <s v="A21"/>
        <s v="A22"/>
        <s v="A23"/>
        <s v="A24"/>
        <s v="A25"/>
        <s v="A26"/>
        <s v="A27"/>
        <s v="A28"/>
        <s v="A29"/>
        <s v="A30"/>
        <s v="A31"/>
        <s v="A32"/>
        <s v="A33"/>
        <s v="A34"/>
        <s v="A35"/>
        <s v="A36"/>
        <s v="A37"/>
        <s v="A38"/>
        <s v="A39"/>
        <s v="A40"/>
        <s v="A41"/>
        <s v="A42"/>
        <s v="A43"/>
        <s v="A44"/>
        <s v="A45"/>
        <s v="A46"/>
        <s v="A47"/>
        <s v="A48"/>
        <s v="A49"/>
        <s v="A50"/>
        <s v="A51"/>
        <s v="A52"/>
        <s v="A53"/>
        <s v="A54"/>
        <s v="A55"/>
        <s v="A56"/>
        <s v="A57"/>
        <s v="A58"/>
        <s v="A59"/>
        <s v="A60"/>
        <s v="A61"/>
        <s v="A62"/>
        <s v="A63"/>
        <s v="A64"/>
        <s v="A65"/>
        <s v="A66"/>
        <s v="A67"/>
        <s v="A68"/>
        <s v="A69"/>
        <s v="A70"/>
        <s v="A71"/>
        <s v="A72"/>
        <s v="A73"/>
        <s v="A74"/>
        <s v="A75"/>
        <s v="A76"/>
        <s v="A77"/>
        <s v="A78"/>
        <s v="A79"/>
        <s v="A80"/>
        <s v="A81"/>
        <s v="A82"/>
        <s v="A83"/>
        <s v="A84"/>
        <s v="A85"/>
        <s v="A86"/>
        <s v="A87"/>
        <s v="A88"/>
        <s v="A89"/>
        <s v="A90"/>
        <s v="A91"/>
        <s v="A92"/>
        <s v="A93"/>
        <s v="A94"/>
        <s v="A95"/>
        <s v="A96"/>
        <s v="A97"/>
        <s v="A98"/>
        <s v="A99"/>
        <s v="A100"/>
        <s v="A101"/>
        <s v="A102"/>
        <s v="A103"/>
        <s v="A104"/>
        <s v="A105"/>
        <s v="A106"/>
        <s v="A107"/>
        <s v="A108"/>
        <s v="A109"/>
        <s v="A110"/>
        <s v="A111"/>
        <s v="A112"/>
        <s v="A113"/>
        <s v="A114"/>
        <s v="A115"/>
        <s v="A116"/>
        <s v="A117"/>
        <s v="A118"/>
        <s v="A119"/>
        <s v="A120"/>
        <s v="A121"/>
        <s v="A122"/>
        <s v="A123"/>
        <s v="A124"/>
        <s v="A125"/>
        <s v="A126"/>
        <s v="A127"/>
        <s v="A128"/>
        <s v="A129"/>
        <s v="A130"/>
        <s v="A131"/>
        <s v="A132"/>
        <s v="A133"/>
        <s v="A134"/>
        <s v="A135"/>
        <s v="A136"/>
        <s v="A137"/>
        <s v="A138"/>
        <s v="A139"/>
        <s v="A140"/>
        <s v="A141"/>
        <s v="A142"/>
        <s v="A143"/>
        <s v="A144"/>
        <s v="A145"/>
        <s v="A146"/>
        <s v="A147"/>
        <s v="A148"/>
        <s v="A149"/>
        <s v="A150"/>
        <s v="A151"/>
        <s v="A152"/>
        <s v="A153"/>
        <s v="A154"/>
        <s v="A155"/>
        <s v="A156"/>
        <s v="A157"/>
        <s v="A158"/>
        <s v="A159"/>
        <s v="A160"/>
        <s v="A161"/>
        <s v="A162"/>
        <s v="A163"/>
        <s v="A164"/>
        <s v="A165"/>
        <s v="A166"/>
        <s v="A167"/>
        <s v="A168"/>
        <s v="A169"/>
        <s v="A170"/>
        <s v="A171"/>
        <s v="A172"/>
        <s v="A173"/>
        <s v="A174"/>
        <s v="A175"/>
        <s v="A176"/>
        <s v="A177"/>
        <s v="A178"/>
        <s v="A179"/>
        <s v="A180"/>
        <s v="A181"/>
        <s v="A182"/>
        <s v="A183"/>
        <s v="A184"/>
        <s v="A185"/>
        <s v="A186"/>
        <s v="A187"/>
        <s v="A188"/>
        <s v="A189"/>
        <s v="A190"/>
        <s v="A191"/>
        <s v="A192"/>
        <s v="A193"/>
        <s v="A194"/>
        <s v="A195"/>
        <s v="A196"/>
        <s v="A197"/>
        <s v="A198"/>
        <s v="A199"/>
        <s v="A200"/>
        <s v="A201"/>
        <s v="A202"/>
        <s v="A203"/>
        <s v="A204"/>
        <s v="A205"/>
        <s v="A206"/>
        <s v="A207"/>
        <s v="A208"/>
        <s v="A209"/>
        <s v="A210"/>
        <s v="A211"/>
        <s v="A212"/>
        <s v="A213"/>
        <s v="A214"/>
        <s v="A215"/>
        <s v="A216"/>
        <s v="A217"/>
        <s v="A218"/>
        <s v="A219"/>
        <s v="A220"/>
        <s v="A221"/>
        <s v="A222"/>
        <s v="A223"/>
        <s v="A224"/>
        <s v="A225"/>
        <s v="A226"/>
        <s v="A227"/>
        <s v="A228"/>
        <s v="A229"/>
        <s v="A230"/>
        <s v="A231"/>
        <s v="A232"/>
        <s v="A233"/>
        <s v="A234"/>
        <s v="A235"/>
        <s v="A236"/>
        <s v="A237"/>
        <s v="A238"/>
        <s v="A239"/>
        <s v="A240"/>
        <s v="A241"/>
        <s v="A242"/>
        <s v="A243"/>
        <s v="A244"/>
        <s v="A245"/>
        <s v="A246"/>
        <s v="A247"/>
        <s v="A248"/>
        <s v="A249"/>
        <s v="A250"/>
        <s v="A251"/>
        <s v="A252"/>
        <s v="A253"/>
        <s v="A254"/>
        <s v="A255"/>
        <s v="A256"/>
        <s v="A257"/>
        <s v="A258"/>
        <s v="A259"/>
        <s v="A260"/>
        <s v="A261"/>
        <s v="A262"/>
        <s v="A263"/>
        <s v="A264"/>
        <s v="A265"/>
        <s v="A266"/>
        <s v="A267"/>
        <s v="A268"/>
        <s v="A269"/>
        <s v="A270"/>
        <s v="A271"/>
        <s v="A272"/>
        <s v="A273"/>
        <s v="A274"/>
        <s v="A275"/>
        <s v="A276"/>
        <s v="A277"/>
        <s v="A278"/>
        <s v="A279"/>
        <s v="A280"/>
        <s v="A281"/>
        <s v="A282"/>
        <s v="A283"/>
        <s v="A284"/>
        <s v="A285"/>
        <s v="A286"/>
        <s v="A287"/>
        <s v="A288"/>
        <s v="A289"/>
        <s v="A290"/>
        <s v="A291"/>
        <s v="A292"/>
        <s v="A293"/>
        <s v="A294"/>
        <s v="A295"/>
        <s v="A296"/>
        <s v="A297"/>
        <s v="A298"/>
        <s v="A299"/>
        <s v="A300"/>
      </sharedItems>
    </cacheField>
    <cacheField name="Platform" numFmtId="0">
      <sharedItems count="4">
        <s v="YouTube"/>
        <s v="LinkedIn"/>
        <s v="Instagram"/>
        <s v="Twitter"/>
      </sharedItems>
    </cacheField>
    <cacheField name="Date" numFmtId="14">
      <sharedItems containsSemiMixedTypes="0" containsNonDate="0" containsDate="1" containsString="0" minDate="2024-06-01T00:00:00" maxDate="2025-10-16T00:00:00"/>
    </cacheField>
    <cacheField name="ContentType" numFmtId="0">
      <sharedItems count="4">
        <s v="Image"/>
        <s v="Tweet"/>
        <s v="Video"/>
        <s v="Carousel"/>
      </sharedItems>
    </cacheField>
    <cacheField name="Hashtags" numFmtId="0">
      <sharedItems count="19">
        <s v="#AppleWatchUltra2"/>
        <s v="#HealthTech"/>
        <s v="#MacBookAirM3"/>
        <s v="#AppleInnovation"/>
        <s v="#AppleDesign"/>
        <s v="#Innovation"/>
        <s v="#AppleEvent"/>
        <s v="#iPadPro"/>
        <s v="#ShotOniPhone"/>
        <s v="#AppleMusic"/>
        <s v="#AppleLifestyle"/>
        <s v="#AppleWatch"/>
        <s v="#Health"/>
        <s v="#iPhone16Launch"/>
        <s v="#iPhone16"/>
        <s v="#iPhonePhotography"/>
        <s v="#MacBookProM3"/>
        <s v="#Sustainability"/>
        <s v="#AppleEarth"/>
      </sharedItems>
    </cacheField>
    <cacheField name="Likes" numFmtId="0">
      <sharedItems containsSemiMixedTypes="0" containsString="0" containsNumber="1" containsInteger="1" minValue="2009" maxValue="24984"/>
    </cacheField>
    <cacheField name="Shares" numFmtId="0">
      <sharedItems containsSemiMixedTypes="0" containsString="0" containsNumber="1" containsInteger="1" minValue="203" maxValue="1487"/>
    </cacheField>
    <cacheField name="Comments" numFmtId="0">
      <sharedItems containsSemiMixedTypes="0" containsString="0" containsNumber="1" containsInteger="1" minValue="152" maxValue="999"/>
    </cacheField>
    <cacheField name="Clicks" numFmtId="0">
      <sharedItems containsSemiMixedTypes="0" containsString="0" containsNumber="1" containsInteger="1" minValue="301" maxValue="2936"/>
    </cacheField>
    <cacheField name="Reach" numFmtId="0">
      <sharedItems containsSemiMixedTypes="0" containsString="0" containsNumber="1" containsInteger="1" minValue="7" maxValue="97772"/>
    </cacheField>
    <cacheField name="Impressions" numFmtId="0">
      <sharedItems containsSemiMixedTypes="0" containsString="0" containsNumber="1" containsInteger="1" minValue="40281" maxValue="249988"/>
    </cacheField>
    <cacheField name="Campaig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ndini More" refreshedDate="45976.345639699073" createdVersion="8" refreshedVersion="8" minRefreshableVersion="3" recordCount="567" xr:uid="{CBAF86E3-DBCB-4AB0-903C-4177E7FFFBB8}">
  <cacheSource type="worksheet">
    <worksheetSource name="Table3__2"/>
  </cacheSource>
  <cacheFields count="13">
    <cacheField name="PostID" numFmtId="0">
      <sharedItems/>
    </cacheField>
    <cacheField name="Platform" numFmtId="0">
      <sharedItems/>
    </cacheField>
    <cacheField name="Date" numFmtId="14">
      <sharedItems containsSemiMixedTypes="0" containsNonDate="0" containsDate="1" containsString="0" minDate="2024-06-01T00:00:00" maxDate="2025-10-16T00:00:00"/>
    </cacheField>
    <cacheField name="ContentType" numFmtId="0">
      <sharedItems/>
    </cacheField>
    <cacheField name="Hashtags" numFmtId="0">
      <sharedItems count="19">
        <s v="#AppleMusic"/>
        <s v="#AppleLifestyle"/>
        <s v="#ShotOniPhone"/>
        <s v="#AppleWatchUltra2"/>
        <s v="#HealthTech"/>
        <s v="#AppleEvent"/>
        <s v="#iPhone16"/>
        <s v="#iPadPro"/>
        <s v="#AppleWatch"/>
        <s v="#Health"/>
        <s v="#MacBookAirM3"/>
        <s v="#AppleInnovation"/>
        <s v="#AppleDesign"/>
        <s v="#Innovation"/>
        <s v="#MacBookProM3"/>
        <s v="#iPhonePhotography"/>
        <s v="#iPhone16Launch"/>
        <s v="#Sustainability"/>
        <s v="#AppleEarth"/>
      </sharedItems>
    </cacheField>
    <cacheField name="Likes" numFmtId="0">
      <sharedItems containsSemiMixedTypes="0" containsString="0" containsNumber="1" containsInteger="1" minValue="2009" maxValue="24984"/>
    </cacheField>
    <cacheField name="Shares" numFmtId="0">
      <sharedItems containsSemiMixedTypes="0" containsString="0" containsNumber="1" containsInteger="1" minValue="203" maxValue="1487"/>
    </cacheField>
    <cacheField name="Comments" numFmtId="0">
      <sharedItems containsSemiMixedTypes="0" containsString="0" containsNumber="1" containsInteger="1" minValue="152" maxValue="999"/>
    </cacheField>
    <cacheField name="Clicks" numFmtId="0">
      <sharedItems containsSemiMixedTypes="0" containsString="0" containsNumber="1" containsInteger="1" minValue="301" maxValue="2936"/>
    </cacheField>
    <cacheField name="Reach" numFmtId="0">
      <sharedItems containsSemiMixedTypes="0" containsString="0" containsNumber="1" containsInteger="1" minValue="7" maxValue="97772"/>
    </cacheField>
    <cacheField name="Impressions" numFmtId="0">
      <sharedItems containsSemiMixedTypes="0" containsString="0" containsNumber="1" containsInteger="1" minValue="40281" maxValue="249988"/>
    </cacheField>
    <cacheField name="Campaign" numFmtId="0">
      <sharedItems/>
    </cacheField>
    <cacheField name="Engagement Rate" numFmtId="0">
      <sharedItems containsSemiMixedTypes="0" containsString="0" containsNumber="1" minValue="1.6616512501514722E-2" maxValue="0.490541055630228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ndini More" refreshedDate="45976.906977430554" createdVersion="8" refreshedVersion="8" minRefreshableVersion="3" recordCount="568" xr:uid="{7547664D-A191-4EEA-90D6-4A3ABA8D46D7}">
  <cacheSource type="worksheet">
    <worksheetSource ref="A1:N1048576" sheet="Task 3.1"/>
  </cacheSource>
  <cacheFields count="14">
    <cacheField name="PostID" numFmtId="0">
      <sharedItems containsBlank="1"/>
    </cacheField>
    <cacheField name="Platform" numFmtId="0">
      <sharedItems containsBlank="1" count="5">
        <s v="LinkedIn"/>
        <s v="YouTube"/>
        <s v="Twitter"/>
        <s v="Instagram"/>
        <m/>
      </sharedItems>
    </cacheField>
    <cacheField name="Date" numFmtId="0">
      <sharedItems containsNonDate="0" containsDate="1" containsString="0" containsBlank="1" minDate="2024-06-01T00:00:00" maxDate="2025-10-16T00:00:00"/>
    </cacheField>
    <cacheField name="ContentType" numFmtId="0">
      <sharedItems containsBlank="1"/>
    </cacheField>
    <cacheField name="Hashtags" numFmtId="0">
      <sharedItems containsBlank="1"/>
    </cacheField>
    <cacheField name="Likes" numFmtId="0">
      <sharedItems containsString="0" containsBlank="1" containsNumber="1" containsInteger="1" minValue="2009" maxValue="24984"/>
    </cacheField>
    <cacheField name="Shares" numFmtId="0">
      <sharedItems containsString="0" containsBlank="1" containsNumber="1" containsInteger="1" minValue="203" maxValue="1487"/>
    </cacheField>
    <cacheField name="Comments" numFmtId="0">
      <sharedItems containsString="0" containsBlank="1" containsNumber="1" containsInteger="1" minValue="152" maxValue="999"/>
    </cacheField>
    <cacheField name="Clicks" numFmtId="0">
      <sharedItems containsString="0" containsBlank="1" containsNumber="1" containsInteger="1" minValue="301" maxValue="2936"/>
    </cacheField>
    <cacheField name="Reach" numFmtId="0">
      <sharedItems containsString="0" containsBlank="1" containsNumber="1" containsInteger="1" minValue="7" maxValue="97772"/>
    </cacheField>
    <cacheField name="Impressions" numFmtId="0">
      <sharedItems containsString="0" containsBlank="1" containsNumber="1" containsInteger="1" minValue="40281" maxValue="249988"/>
    </cacheField>
    <cacheField name="Campaign" numFmtId="0">
      <sharedItems containsBlank="1" count="6">
        <s v="Apple Watch Ultra 2 Launch"/>
        <s v="iPhone 16 Launch"/>
        <s v="MacBook Air M3 Campaign"/>
        <s v="Sustainability Awareness Drive"/>
        <s v="Apple Event September 2025"/>
        <m/>
      </sharedItems>
    </cacheField>
    <cacheField name="Engagement Rate" numFmtId="0">
      <sharedItems containsString="0" containsBlank="1" containsNumber="1" minValue="1.6616512501514722E-2" maxValue="0.49054105563022848"/>
    </cacheField>
    <cacheField name="Objective" numFmtId="0">
      <sharedItems containsBlank="1" count="6">
        <s v="Health &amp; Fitness Awareness"/>
        <s v="Product Launch"/>
        <s v="Product Promotion"/>
        <s v="Sustainability Branding"/>
        <s v="Brand Engagement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ndini More" refreshedDate="45976.961904282405" createdVersion="8" refreshedVersion="8" minRefreshableVersion="3" recordCount="200" xr:uid="{E7010266-8AAB-44C0-A0B8-5AAD200638EE}">
  <cacheSource type="worksheet">
    <worksheetSource name="Table3_211"/>
  </cacheSource>
  <cacheFields count="9">
    <cacheField name="Week_Start_Date" numFmtId="14">
      <sharedItems containsSemiMixedTypes="0" containsNonDate="0" containsDate="1" containsString="0" minDate="2024-06-03T00:00:00" maxDate="2025-05-13T00:00:00"/>
    </cacheField>
    <cacheField name="Platform" numFmtId="0">
      <sharedItems count="4">
        <s v="Instagram"/>
        <s v="Twitter"/>
        <s v="YouTube"/>
        <s v="LinkedIn"/>
      </sharedItems>
    </cacheField>
    <cacheField name="New_Followers" numFmtId="0">
      <sharedItems containsSemiMixedTypes="0" containsString="0" containsNumber="1" containsInteger="1" minValue="1016" maxValue="9984"/>
    </cacheField>
    <cacheField name="Unfollows" numFmtId="0">
      <sharedItems containsSemiMixedTypes="0" containsString="0" containsNumber="1" containsInteger="1" minValue="67" maxValue="1417"/>
    </cacheField>
    <cacheField name="Total_Followers" numFmtId="0">
      <sharedItems containsSemiMixedTypes="0" containsString="0" containsNumber="1" containsInteger="1" minValue="103777" maxValue="1186398"/>
    </cacheField>
    <cacheField name="Engagement_Rate" numFmtId="2">
      <sharedItems containsSemiMixedTypes="0" containsString="0" containsNumber="1" minValue="1.381177897889402" maxValue="92.312204605638044" count="200">
        <n v="56.637790647253247"/>
        <n v="69.475492091467416"/>
        <n v="92.312204605638044"/>
        <n v="16.351815601833291"/>
        <n v="35.577824398518047"/>
        <n v="52.064892597395271"/>
        <n v="19.551862698358651"/>
        <n v="49.159817655475329"/>
        <n v="12.2263294381709"/>
        <n v="54.158984064961238"/>
        <n v="9.2506362964613711"/>
        <n v="60.425889350496043"/>
        <n v="57.524479307546663"/>
        <n v="14.827522597306769"/>
        <n v="5.4343004617214756"/>
        <n v="60.827661631301943"/>
        <n v="17.894035955483691"/>
        <n v="7.6914636320825887"/>
        <n v="12.8372197814577"/>
        <n v="17.41278694508371"/>
        <n v="47.634187798207087"/>
        <n v="39.284614068115687"/>
        <n v="9.8205504342462788"/>
        <n v="41.606628834608109"/>
        <n v="13.6355899921383"/>
        <n v="20.47246886054408"/>
        <n v="11.2083665774941"/>
        <n v="12.15762550327738"/>
        <n v="37.302925586213682"/>
        <n v="41.82171496581897"/>
        <n v="52.792102811910027"/>
        <n v="49.647922622483861"/>
        <n v="28.158158777282971"/>
        <n v="23.920557913887201"/>
        <n v="44.219272975538267"/>
        <n v="14.117673944839121"/>
        <n v="27.765518533715429"/>
        <n v="21.669318305251519"/>
        <n v="46.999749649033298"/>
        <n v="5.2152906954969351"/>
        <n v="14.71218489327067"/>
        <n v="44.450416151231643"/>
        <n v="28.065042562888689"/>
        <n v="26.003918292085629"/>
        <n v="13.47730290104799"/>
        <n v="4.6034181702735593"/>
        <n v="5.7694619613329108"/>
        <n v="20.46539508359615"/>
        <n v="38.012181840183942"/>
        <n v="37.86101298137271"/>
        <n v="3.6633501706626168"/>
        <n v="37.760512537325639"/>
        <n v="30.118586640851881"/>
        <n v="33.909842729106657"/>
        <n v="24.457411123534769"/>
        <n v="10.494255737609739"/>
        <n v="33.257448118038738"/>
        <n v="6.2966210699906267"/>
        <n v="6.9547481175882924"/>
        <n v="17.750287883797562"/>
        <n v="11.194362999670229"/>
        <n v="4.7335970426459033"/>
        <n v="29.92120910472568"/>
        <n v="3.5037017293827661"/>
        <n v="31.554451487636339"/>
        <n v="29.45844233727631"/>
        <n v="15.72131694865968"/>
        <n v="19.214592793018038"/>
        <n v="25.077864756828781"/>
        <n v="23.761877132122681"/>
        <n v="13.208603641390511"/>
        <n v="8.5343795690395261"/>
        <n v="12.734216154573531"/>
        <n v="25.120888149654821"/>
        <n v="25.64820077827817"/>
        <n v="13.08758391243577"/>
        <n v="2.1877429775253669"/>
        <n v="8.3562843787534522"/>
        <n v="27.040693108281051"/>
        <n v="6.8073045370110723"/>
        <n v="3.4213758985797149"/>
        <n v="5.5136820660139527"/>
        <n v="26.921416897669499"/>
        <n v="3.5131404829323132"/>
        <n v="11.50507059442103"/>
        <n v="6.4069368024305948"/>
        <n v="17.560907617280929"/>
        <n v="7.2934726185185053"/>
        <n v="18.05853488496809"/>
        <n v="17.61788048552755"/>
        <n v="23.435841125050029"/>
        <n v="15.150015424690389"/>
        <n v="21.77776899411715"/>
        <n v="8.7252768666168681"/>
        <n v="9.07118069540617"/>
        <n v="3.0908004511744269"/>
        <n v="1.6774727155188811"/>
        <n v="3.5705994553828009"/>
        <n v="12.426427091999111"/>
        <n v="20.240280610668151"/>
        <n v="15.458517947974901"/>
        <n v="15.96622018839439"/>
        <n v="5.301785453341723"/>
        <n v="10.21656296011305"/>
        <n v="4.1495730660972248"/>
        <n v="17.44750613869045"/>
        <n v="6.3556780346167558"/>
        <n v="16.625487131094989"/>
        <n v="13.449169969047761"/>
        <n v="12.35057894004413"/>
        <n v="12.913394489201821"/>
        <n v="20.774215903216671"/>
        <n v="11.56416728213479"/>
        <n v="5.9603306848881932"/>
        <n v="19.25863351426683"/>
        <n v="13.428486445958599"/>
        <n v="19.449384891535139"/>
        <n v="1.381177897889402"/>
        <n v="18.0667803230575"/>
        <n v="10.34986590877523"/>
        <n v="11.391727789638329"/>
        <n v="15.06231294947961"/>
        <n v="6.3086149427901264"/>
        <n v="5.0212654702089274"/>
        <n v="4.0220344099003924"/>
        <n v="12.407287318121019"/>
        <n v="9.1811305577864442"/>
        <n v="8.1379717408784362"/>
        <n v="15.211945357818079"/>
        <n v="13.941172331466399"/>
        <n v="14.664542877660701"/>
        <n v="18.236747441373989"/>
        <n v="7.1083748727213809"/>
        <n v="7.6464588474579518"/>
        <n v="12.96217457722318"/>
        <n v="7.201344336027284"/>
        <n v="4.6300017457998282"/>
        <n v="7.0117859410726204"/>
        <n v="15.7972230504839"/>
        <n v="11.124410036033691"/>
        <n v="9.5052903929580594"/>
        <n v="3.7175793161543158"/>
        <n v="8.768004820772493"/>
        <n v="7.6673478620345374"/>
        <n v="14.24879726306582"/>
        <n v="15.903372530266649"/>
        <n v="1.3997016829812241"/>
        <n v="10.593534734448189"/>
        <n v="9.2688963078737441"/>
        <n v="2.7289026948963189"/>
        <n v="14.789893749580139"/>
        <n v="2.3800168578696428"/>
        <n v="3.4123325814333292"/>
        <n v="1.9837452629066989"/>
        <n v="15.684892498324469"/>
        <n v="7.4744446725989153"/>
        <n v="4.6083932009689246"/>
        <n v="6.5651927367759271"/>
        <n v="2.9062061457685191"/>
        <n v="2.5803804535313102"/>
        <n v="1.525036393488727"/>
        <n v="3.8694093263203548"/>
        <n v="2.1106477061454201"/>
        <n v="2.4004972007397871"/>
        <n v="10.43086517280971"/>
        <n v="12.45517502708741"/>
        <n v="8.7022876773406619"/>
        <n v="6.0590578244060822"/>
        <n v="6.4086467971263694"/>
        <n v="14.03040201562029"/>
        <n v="5.7680529449373434"/>
        <n v="4.2080986012648651"/>
        <n v="5.057443868445171"/>
        <n v="5.5892257158735816"/>
        <n v="6.5457075572682513"/>
        <n v="13.86474263299608"/>
        <n v="8.1237966902808925"/>
        <n v="6.8954477628560609"/>
        <n v="5.2243073531483697"/>
        <n v="12.709772588488899"/>
        <n v="9.589697749395782"/>
        <n v="9.3041390360253633"/>
        <n v="12.21550055903389"/>
        <n v="1.64146056637986"/>
        <n v="12.414411899944"/>
        <n v="2.2102165031989389"/>
        <n v="8.1114645768679008"/>
        <n v="10.23489267325616"/>
        <n v="8.7776256772995165"/>
        <n v="5.6959041015180816"/>
        <n v="11.940413075069831"/>
        <n v="6.3457020771224837"/>
        <n v="11.093752033137431"/>
        <n v="6.9871371390821126"/>
        <n v="2.8935771844710412"/>
        <n v="3.8777032065622672"/>
        <n v="7.2439221876024931"/>
        <n v="9.095964565675672"/>
        <n v="5.2275645864752214"/>
        <n v="1.676081719625286"/>
      </sharedItems>
    </cacheField>
    <cacheField name="Ad_Spend" numFmtId="0">
      <sharedItems containsSemiMixedTypes="0" containsString="0" containsNumber="1" containsInteger="1" minValue="10161" maxValue="59823"/>
    </cacheField>
    <cacheField name="New followers - unfollows" numFmtId="0">
      <sharedItems containsSemiMixedTypes="0" containsString="0" containsNumber="1" containsInteger="1" minValue="893" maxValue="9335"/>
    </cacheField>
    <cacheField name="Growth rate" numFmtId="10">
      <sharedItems containsSemiMixedTypes="0" containsString="0" containsNumber="1" minValue="7.7525302070871843E-4" maxValue="7.3042649425855824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ndini More" refreshedDate="45976.980416435188" createdVersion="8" refreshedVersion="8" minRefreshableVersion="3" recordCount="567" xr:uid="{FF96D679-6F17-4F35-BF0B-138A7CB80D56}">
  <cacheSource type="worksheet">
    <worksheetSource name="Table3__212"/>
  </cacheSource>
  <cacheFields count="13">
    <cacheField name="PostID" numFmtId="0">
      <sharedItems/>
    </cacheField>
    <cacheField name="Platform" numFmtId="0">
      <sharedItems count="4">
        <s v="LinkedIn"/>
        <s v="YouTube"/>
        <s v="Twitter"/>
        <s v="Instagram"/>
      </sharedItems>
    </cacheField>
    <cacheField name="Date" numFmtId="14">
      <sharedItems containsSemiMixedTypes="0" containsNonDate="0" containsDate="1" containsString="0" minDate="2024-06-01T00:00:00" maxDate="2025-10-16T00:00:00"/>
    </cacheField>
    <cacheField name="ContentType" numFmtId="0">
      <sharedItems count="4">
        <s v="Video"/>
        <s v="Tweet"/>
        <s v="Image"/>
        <s v="Carousel"/>
      </sharedItems>
    </cacheField>
    <cacheField name="Hashtags" numFmtId="0">
      <sharedItems count="19">
        <s v="#AppleMusic"/>
        <s v="#AppleLifestyle"/>
        <s v="#ShotOniPhone"/>
        <s v="#AppleWatchUltra2"/>
        <s v="#HealthTech"/>
        <s v="#AppleEvent"/>
        <s v="#iPhone16"/>
        <s v="#iPadPro"/>
        <s v="#AppleWatch"/>
        <s v="#Health"/>
        <s v="#MacBookAirM3"/>
        <s v="#AppleInnovation"/>
        <s v="#AppleDesign"/>
        <s v="#Innovation"/>
        <s v="#MacBookProM3"/>
        <s v="#iPhonePhotography"/>
        <s v="#iPhone16Launch"/>
        <s v="#Sustainability"/>
        <s v="#AppleEarth"/>
      </sharedItems>
    </cacheField>
    <cacheField name="Likes" numFmtId="0">
      <sharedItems containsSemiMixedTypes="0" containsString="0" containsNumber="1" containsInteger="1" minValue="2009" maxValue="24984"/>
    </cacheField>
    <cacheField name="Shares" numFmtId="0">
      <sharedItems containsSemiMixedTypes="0" containsString="0" containsNumber="1" containsInteger="1" minValue="203" maxValue="1487"/>
    </cacheField>
    <cacheField name="Comments" numFmtId="0">
      <sharedItems containsSemiMixedTypes="0" containsString="0" containsNumber="1" containsInteger="1" minValue="152" maxValue="999"/>
    </cacheField>
    <cacheField name="Clicks" numFmtId="0">
      <sharedItems containsSemiMixedTypes="0" containsString="0" containsNumber="1" containsInteger="1" minValue="301" maxValue="2936"/>
    </cacheField>
    <cacheField name="Reach" numFmtId="0">
      <sharedItems containsSemiMixedTypes="0" containsString="0" containsNumber="1" containsInteger="1" minValue="7" maxValue="97772"/>
    </cacheField>
    <cacheField name="Impressions" numFmtId="0">
      <sharedItems containsSemiMixedTypes="0" containsString="0" containsNumber="1" containsInteger="1" minValue="40281" maxValue="249988"/>
    </cacheField>
    <cacheField name="Campaign" numFmtId="0">
      <sharedItems count="5">
        <s v="Apple Watch Ultra 2 Launch"/>
        <s v="iPhone 16 Launch"/>
        <s v="MacBook Air M3 Campaign"/>
        <s v="Sustainability Awareness Drive"/>
        <s v="Apple Event September 2025"/>
      </sharedItems>
    </cacheField>
    <cacheField name="Engagement Rate" numFmtId="2">
      <sharedItems containsSemiMixedTypes="0" containsString="0" containsNumber="1" minValue="1.6616512501514722E-2" maxValue="0.490541055630228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ndini More" refreshedDate="45977.464046875" createdVersion="8" refreshedVersion="8" minRefreshableVersion="3" recordCount="567" xr:uid="{04DA7162-731C-47DF-A118-B3B9F3B7AF04}">
  <cacheSource type="worksheet">
    <worksheetSource name="Table3__21210"/>
  </cacheSource>
  <cacheFields count="13">
    <cacheField name="PostID" numFmtId="0">
      <sharedItems/>
    </cacheField>
    <cacheField name="Platform" numFmtId="0">
      <sharedItems/>
    </cacheField>
    <cacheField name="Date" numFmtId="14">
      <sharedItems containsSemiMixedTypes="0" containsNonDate="0" containsDate="1" containsString="0" minDate="2024-06-01T00:00:00" maxDate="2025-10-16T00:00:00"/>
    </cacheField>
    <cacheField name="ContentType" numFmtId="0">
      <sharedItems/>
    </cacheField>
    <cacheField name="Hashtags" numFmtId="0">
      <sharedItems/>
    </cacheField>
    <cacheField name="Likes" numFmtId="0">
      <sharedItems containsSemiMixedTypes="0" containsString="0" containsNumber="1" containsInteger="1" minValue="2009" maxValue="24984"/>
    </cacheField>
    <cacheField name="Shares" numFmtId="0">
      <sharedItems containsSemiMixedTypes="0" containsString="0" containsNumber="1" containsInteger="1" minValue="203" maxValue="1487"/>
    </cacheField>
    <cacheField name="Comments" numFmtId="0">
      <sharedItems containsSemiMixedTypes="0" containsString="0" containsNumber="1" containsInteger="1" minValue="152" maxValue="999"/>
    </cacheField>
    <cacheField name="Clicks" numFmtId="0">
      <sharedItems containsSemiMixedTypes="0" containsString="0" containsNumber="1" containsInteger="1" minValue="301" maxValue="2936"/>
    </cacheField>
    <cacheField name="Reach" numFmtId="0">
      <sharedItems containsSemiMixedTypes="0" containsString="0" containsNumber="1" containsInteger="1" minValue="7" maxValue="97772"/>
    </cacheField>
    <cacheField name="Impressions" numFmtId="0">
      <sharedItems containsSemiMixedTypes="0" containsString="0" containsNumber="1" containsInteger="1" minValue="40281" maxValue="249988"/>
    </cacheField>
    <cacheField name="Campaign" numFmtId="0">
      <sharedItems count="5">
        <s v="Apple Watch Ultra 2 Launch"/>
        <s v="iPhone 16 Launch"/>
        <s v="MacBook Air M3 Campaign"/>
        <s v="Sustainability Awareness Drive"/>
        <s v="Apple Event September 2025"/>
      </sharedItems>
    </cacheField>
    <cacheField name="Engagement Rate" numFmtId="2">
      <sharedItems containsSemiMixedTypes="0" containsString="0" containsNumber="1" minValue="1.6616512501514722E-2" maxValue="0.490541055630228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ndini More" refreshedDate="45978.516316898145" createdVersion="8" refreshedVersion="8" minRefreshableVersion="3" recordCount="200" xr:uid="{8E401756-6CF8-4655-B94A-79B9854EA5F0}">
  <cacheSource type="worksheet">
    <worksheetSource ref="A1:J201" sheet="Task 6.1"/>
  </cacheSource>
  <cacheFields count="10">
    <cacheField name="Week_Start_Date" numFmtId="14">
      <sharedItems containsSemiMixedTypes="0" containsNonDate="0" containsDate="1" containsString="0" minDate="2024-06-03T00:00:00" maxDate="2025-05-13T00:00:00"/>
    </cacheField>
    <cacheField name="Week number" numFmtId="1">
      <sharedItems containsSemiMixedTypes="0" containsString="0" containsNumber="1" containsInteger="1" minValue="1" maxValue="50" count="5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</sharedItems>
    </cacheField>
    <cacheField name="Platform" numFmtId="0">
      <sharedItems count="4">
        <s v="Instagram"/>
        <s v="Twitter"/>
        <s v="YouTube"/>
        <s v="LinkedIn"/>
      </sharedItems>
    </cacheField>
    <cacheField name="New_Followers" numFmtId="0">
      <sharedItems containsSemiMixedTypes="0" containsString="0" containsNumber="1" containsInteger="1" minValue="1016" maxValue="9984"/>
    </cacheField>
    <cacheField name="Unfollows" numFmtId="0">
      <sharedItems containsSemiMixedTypes="0" containsString="0" containsNumber="1" containsInteger="1" minValue="67" maxValue="1417"/>
    </cacheField>
    <cacheField name="Total_Followers" numFmtId="0">
      <sharedItems containsSemiMixedTypes="0" containsString="0" containsNumber="1" containsInteger="1" minValue="103777" maxValue="1186398"/>
    </cacheField>
    <cacheField name="Engagement_Rate" numFmtId="2">
      <sharedItems containsSemiMixedTypes="0" containsString="0" containsNumber="1" minValue="1.381177897889402" maxValue="92.312204605638044"/>
    </cacheField>
    <cacheField name="Ad_Spend" numFmtId="0">
      <sharedItems containsSemiMixedTypes="0" containsString="0" containsNumber="1" containsInteger="1" minValue="10161" maxValue="59823"/>
    </cacheField>
    <cacheField name="Campaign" numFmtId="0">
      <sharedItems/>
    </cacheField>
    <cacheField name="Growth rate" numFmtId="0">
      <sharedItems containsSemiMixedTypes="0" containsString="0" containsNumber="1" containsInteger="1" minValue="893" maxValue="933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ndini More" refreshedDate="45978.593650810188" createdVersion="8" refreshedVersion="8" minRefreshableVersion="3" recordCount="200" xr:uid="{807ED65B-4092-49E5-BA91-7347827B73EA}">
  <cacheSource type="worksheet">
    <worksheetSource name="Table3_215"/>
  </cacheSource>
  <cacheFields count="9">
    <cacheField name="Week_Start_Date" numFmtId="14">
      <sharedItems containsSemiMixedTypes="0" containsNonDate="0" containsDate="1" containsString="0" minDate="2024-06-03T00:00:00" maxDate="2025-05-13T00:00:00"/>
    </cacheField>
    <cacheField name="Platform" numFmtId="0">
      <sharedItems/>
    </cacheField>
    <cacheField name="New_Followers" numFmtId="0">
      <sharedItems containsSemiMixedTypes="0" containsString="0" containsNumber="1" containsInteger="1" minValue="1016" maxValue="9984"/>
    </cacheField>
    <cacheField name="Unfollows" numFmtId="0">
      <sharedItems containsSemiMixedTypes="0" containsString="0" containsNumber="1" containsInteger="1" minValue="67" maxValue="1417"/>
    </cacheField>
    <cacheField name="Total_Followers" numFmtId="0">
      <sharedItems containsSemiMixedTypes="0" containsString="0" containsNumber="1" containsInteger="1" minValue="103777" maxValue="1186398"/>
    </cacheField>
    <cacheField name="Engagement_Rate" numFmtId="2">
      <sharedItems containsSemiMixedTypes="0" containsString="0" containsNumber="1" minValue="1.381177897889402" maxValue="92.312204605638044"/>
    </cacheField>
    <cacheField name="Ad_Spend" numFmtId="0">
      <sharedItems containsSemiMixedTypes="0" containsString="0" containsNumber="1" containsInteger="1" minValue="10161" maxValue="59823"/>
    </cacheField>
    <cacheField name="Campaign" numFmtId="0">
      <sharedItems count="5">
        <s v="Health &amp; Fitness Awareness"/>
        <s v="Sustainability Branding"/>
        <s v="Product Launch"/>
        <s v="Brand Engagement"/>
        <s v="Product Promotion"/>
      </sharedItems>
    </cacheField>
    <cacheField name="Follower growth" numFmtId="0">
      <sharedItems containsSemiMixedTypes="0" containsString="0" containsNumber="1" containsInteger="1" minValue="893" maxValue="933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7">
  <r>
    <x v="0"/>
    <x v="0"/>
    <d v="2024-12-23T00:00:00"/>
    <x v="0"/>
    <x v="0"/>
    <n v="24516"/>
    <n v="976"/>
    <n v="974"/>
    <n v="2675"/>
    <n v="23275"/>
    <n v="202932"/>
    <s v="Apple Watch Ultra 2 Launch"/>
  </r>
  <r>
    <x v="0"/>
    <x v="0"/>
    <d v="2024-12-23T00:00:00"/>
    <x v="0"/>
    <x v="1"/>
    <n v="24516"/>
    <n v="976"/>
    <n v="974"/>
    <n v="2675"/>
    <n v="23275"/>
    <n v="202932"/>
    <s v="Apple Watch Ultra 2 Launch"/>
  </r>
  <r>
    <x v="1"/>
    <x v="1"/>
    <d v="2025-09-03T00:00:00"/>
    <x v="0"/>
    <x v="2"/>
    <n v="4779"/>
    <n v="1110"/>
    <n v="436"/>
    <n v="1574"/>
    <n v="77167"/>
    <n v="71585"/>
    <s v="Apple Event September 2025"/>
  </r>
  <r>
    <x v="1"/>
    <x v="1"/>
    <d v="2025-09-03T00:00:00"/>
    <x v="0"/>
    <x v="3"/>
    <n v="4779"/>
    <n v="1110"/>
    <n v="436"/>
    <n v="1574"/>
    <n v="77167"/>
    <n v="71585"/>
    <s v="Apple Event September 2025"/>
  </r>
  <r>
    <x v="2"/>
    <x v="2"/>
    <d v="2025-05-12T00:00:00"/>
    <x v="1"/>
    <x v="4"/>
    <n v="19308"/>
    <n v="1318"/>
    <n v="795"/>
    <n v="1499"/>
    <n v="52307"/>
    <n v="193087"/>
    <s v="Sustainability Awareness Drive"/>
  </r>
  <r>
    <x v="2"/>
    <x v="2"/>
    <d v="2025-05-12T00:00:00"/>
    <x v="1"/>
    <x v="5"/>
    <n v="19308"/>
    <n v="1318"/>
    <n v="795"/>
    <n v="1499"/>
    <n v="52307"/>
    <n v="193087"/>
    <s v="Sustainability Awareness Drive"/>
  </r>
  <r>
    <x v="3"/>
    <x v="0"/>
    <d v="2024-08-12T00:00:00"/>
    <x v="2"/>
    <x v="6"/>
    <n v="3581"/>
    <n v="517"/>
    <n v="880"/>
    <n v="1925"/>
    <n v="18636"/>
    <n v="248611"/>
    <s v="iPhone 16 Launch"/>
  </r>
  <r>
    <x v="3"/>
    <x v="0"/>
    <d v="2024-08-12T00:00:00"/>
    <x v="2"/>
    <x v="7"/>
    <n v="3581"/>
    <n v="517"/>
    <n v="880"/>
    <n v="1925"/>
    <n v="18636"/>
    <n v="248611"/>
    <s v="iPhone 16 Launch"/>
  </r>
  <r>
    <x v="4"/>
    <x v="0"/>
    <d v="2025-09-04T00:00:00"/>
    <x v="2"/>
    <x v="0"/>
    <n v="21708"/>
    <n v="435"/>
    <n v="317"/>
    <n v="1213"/>
    <n v="70701"/>
    <n v="83585"/>
    <s v="Apple Event September 2025"/>
  </r>
  <r>
    <x v="4"/>
    <x v="0"/>
    <d v="2025-09-04T00:00:00"/>
    <x v="2"/>
    <x v="1"/>
    <n v="21708"/>
    <n v="435"/>
    <n v="317"/>
    <n v="1213"/>
    <n v="70701"/>
    <n v="83585"/>
    <s v="Apple Event September 2025"/>
  </r>
  <r>
    <x v="5"/>
    <x v="1"/>
    <d v="2025-09-05T00:00:00"/>
    <x v="0"/>
    <x v="8"/>
    <n v="14677"/>
    <n v="533"/>
    <n v="759"/>
    <n v="753"/>
    <n v="23275"/>
    <n v="66958"/>
    <s v="Apple Event September 2025"/>
  </r>
  <r>
    <x v="6"/>
    <x v="2"/>
    <d v="2024-06-24T00:00:00"/>
    <x v="3"/>
    <x v="9"/>
    <n v="7713"/>
    <n v="575"/>
    <n v="417"/>
    <n v="336"/>
    <n v="61660"/>
    <n v="66017"/>
    <s v="iPhone 16 Launch"/>
  </r>
  <r>
    <x v="6"/>
    <x v="2"/>
    <d v="2024-06-24T00:00:00"/>
    <x v="3"/>
    <x v="10"/>
    <n v="7713"/>
    <n v="575"/>
    <n v="417"/>
    <n v="336"/>
    <n v="61660"/>
    <n v="66017"/>
    <s v="iPhone 16 Launch"/>
  </r>
  <r>
    <x v="7"/>
    <x v="2"/>
    <d v="2024-07-13T00:00:00"/>
    <x v="2"/>
    <x v="11"/>
    <n v="18639"/>
    <n v="1360"/>
    <n v="898"/>
    <n v="2011"/>
    <n v="42841"/>
    <n v="247779"/>
    <s v="iPhone 16 Launch"/>
  </r>
  <r>
    <x v="7"/>
    <x v="2"/>
    <d v="2024-07-13T00:00:00"/>
    <x v="2"/>
    <x v="12"/>
    <n v="18639"/>
    <n v="1360"/>
    <n v="898"/>
    <n v="2011"/>
    <n v="42841"/>
    <n v="247779"/>
    <s v="iPhone 16 Launch"/>
  </r>
  <r>
    <x v="8"/>
    <x v="0"/>
    <d v="2024-08-30T00:00:00"/>
    <x v="3"/>
    <x v="2"/>
    <n v="6804"/>
    <n v="787"/>
    <n v="970"/>
    <n v="1095"/>
    <n v="56343"/>
    <n v="164677"/>
    <s v="Apple Watch Ultra 2 Launch"/>
  </r>
  <r>
    <x v="8"/>
    <x v="0"/>
    <d v="2024-08-30T00:00:00"/>
    <x v="3"/>
    <x v="3"/>
    <n v="6804"/>
    <n v="787"/>
    <n v="970"/>
    <n v="1095"/>
    <n v="56343"/>
    <n v="164677"/>
    <s v="Apple Watch Ultra 2 Launch"/>
  </r>
  <r>
    <x v="9"/>
    <x v="3"/>
    <d v="2025-03-11T00:00:00"/>
    <x v="2"/>
    <x v="13"/>
    <n v="20222"/>
    <n v="712"/>
    <n v="604"/>
    <n v="1272"/>
    <n v="71598"/>
    <n v="216422"/>
    <s v="Sustainability Awareness Drive"/>
  </r>
  <r>
    <x v="9"/>
    <x v="3"/>
    <d v="2025-03-11T00:00:00"/>
    <x v="2"/>
    <x v="6"/>
    <n v="20222"/>
    <n v="712"/>
    <n v="604"/>
    <n v="1272"/>
    <n v="71598"/>
    <n v="216422"/>
    <s v="Sustainability Awareness Drive"/>
  </r>
  <r>
    <x v="10"/>
    <x v="0"/>
    <d v="2025-02-02T00:00:00"/>
    <x v="3"/>
    <x v="6"/>
    <n v="12136"/>
    <n v="1117"/>
    <n v="834"/>
    <n v="892"/>
    <n v="24675"/>
    <n v="183273"/>
    <s v="Sustainability Awareness Drive"/>
  </r>
  <r>
    <x v="10"/>
    <x v="0"/>
    <d v="2025-02-02T00:00:00"/>
    <x v="3"/>
    <x v="7"/>
    <n v="12136"/>
    <n v="1117"/>
    <n v="834"/>
    <n v="892"/>
    <n v="24675"/>
    <n v="183273"/>
    <s v="Sustainability Awareness Drive"/>
  </r>
  <r>
    <x v="11"/>
    <x v="0"/>
    <d v="2024-07-21T00:00:00"/>
    <x v="1"/>
    <x v="2"/>
    <n v="2009"/>
    <n v="1072"/>
    <n v="550"/>
    <n v="1437"/>
    <n v="22982"/>
    <n v="69426"/>
    <s v="iPhone 16 Launch"/>
  </r>
  <r>
    <x v="11"/>
    <x v="0"/>
    <d v="2024-07-21T00:00:00"/>
    <x v="1"/>
    <x v="3"/>
    <n v="2009"/>
    <n v="1072"/>
    <n v="550"/>
    <n v="1437"/>
    <n v="22982"/>
    <n v="69426"/>
    <s v="iPhone 16 Launch"/>
  </r>
  <r>
    <x v="12"/>
    <x v="0"/>
    <d v="2024-11-18T00:00:00"/>
    <x v="3"/>
    <x v="9"/>
    <n v="21255"/>
    <n v="1452"/>
    <n v="625"/>
    <n v="1624"/>
    <n v="21282"/>
    <n v="57778"/>
    <s v="MacBook Air M3 Campaign"/>
  </r>
  <r>
    <x v="12"/>
    <x v="0"/>
    <d v="2024-11-18T00:00:00"/>
    <x v="3"/>
    <x v="10"/>
    <n v="21255"/>
    <n v="1452"/>
    <n v="625"/>
    <n v="1624"/>
    <n v="21282"/>
    <n v="57778"/>
    <s v="MacBook Air M3 Campaign"/>
  </r>
  <r>
    <x v="13"/>
    <x v="0"/>
    <d v="2025-09-06T00:00:00"/>
    <x v="1"/>
    <x v="11"/>
    <n v="7124"/>
    <n v="469"/>
    <n v="851"/>
    <n v="2571"/>
    <n v="33802"/>
    <n v="216313"/>
    <s v="Apple Event September 2025"/>
  </r>
  <r>
    <x v="13"/>
    <x v="0"/>
    <d v="2025-09-06T00:00:00"/>
    <x v="1"/>
    <x v="12"/>
    <n v="7124"/>
    <n v="469"/>
    <n v="851"/>
    <n v="2571"/>
    <n v="33802"/>
    <n v="216313"/>
    <s v="Apple Event September 2025"/>
  </r>
  <r>
    <x v="14"/>
    <x v="1"/>
    <d v="2025-09-07T00:00:00"/>
    <x v="1"/>
    <x v="4"/>
    <n v="3015"/>
    <n v="997"/>
    <n v="783"/>
    <n v="617"/>
    <n v="77167"/>
    <n v="82229"/>
    <s v="Apple Event September 2025"/>
  </r>
  <r>
    <x v="14"/>
    <x v="1"/>
    <d v="2025-09-07T00:00:00"/>
    <x v="1"/>
    <x v="5"/>
    <n v="3015"/>
    <n v="997"/>
    <n v="783"/>
    <n v="617"/>
    <n v="77167"/>
    <n v="82229"/>
    <s v="Apple Event September 2025"/>
  </r>
  <r>
    <x v="15"/>
    <x v="2"/>
    <d v="2024-08-26T00:00:00"/>
    <x v="3"/>
    <x v="11"/>
    <n v="4193"/>
    <n v="924"/>
    <n v="707"/>
    <n v="2696"/>
    <n v="55075"/>
    <n v="126652"/>
    <s v="iPhone 16 Launch"/>
  </r>
  <r>
    <x v="15"/>
    <x v="2"/>
    <d v="2024-08-26T00:00:00"/>
    <x v="3"/>
    <x v="12"/>
    <n v="4193"/>
    <n v="924"/>
    <n v="707"/>
    <n v="2696"/>
    <n v="55075"/>
    <n v="126652"/>
    <s v="iPhone 16 Launch"/>
  </r>
  <r>
    <x v="16"/>
    <x v="1"/>
    <d v="2025-05-05T00:00:00"/>
    <x v="1"/>
    <x v="6"/>
    <n v="10415"/>
    <n v="1388"/>
    <n v="725"/>
    <n v="2462"/>
    <n v="53082"/>
    <n v="168267"/>
    <s v="MacBook Air M3 Campaign"/>
  </r>
  <r>
    <x v="16"/>
    <x v="1"/>
    <d v="2025-05-05T00:00:00"/>
    <x v="1"/>
    <x v="14"/>
    <n v="10415"/>
    <n v="1388"/>
    <n v="725"/>
    <n v="2462"/>
    <n v="53082"/>
    <n v="168267"/>
    <s v="MacBook Air M3 Campaign"/>
  </r>
  <r>
    <x v="17"/>
    <x v="1"/>
    <d v="2024-08-19T00:00:00"/>
    <x v="0"/>
    <x v="11"/>
    <n v="15550"/>
    <n v="204"/>
    <n v="279"/>
    <n v="1646"/>
    <n v="35819"/>
    <n v="219436"/>
    <s v="Apple Watch Ultra 2 Launch"/>
  </r>
  <r>
    <x v="17"/>
    <x v="1"/>
    <d v="2024-08-19T00:00:00"/>
    <x v="0"/>
    <x v="12"/>
    <n v="15550"/>
    <n v="204"/>
    <n v="279"/>
    <n v="1646"/>
    <n v="35819"/>
    <n v="219436"/>
    <s v="Apple Watch Ultra 2 Launch"/>
  </r>
  <r>
    <x v="18"/>
    <x v="1"/>
    <d v="2024-06-23T00:00:00"/>
    <x v="1"/>
    <x v="6"/>
    <n v="16512"/>
    <n v="1050"/>
    <n v="971"/>
    <n v="1891"/>
    <n v="15865"/>
    <n v="166503"/>
    <s v="iPhone 16 Launch"/>
  </r>
  <r>
    <x v="18"/>
    <x v="1"/>
    <d v="2024-06-23T00:00:00"/>
    <x v="1"/>
    <x v="14"/>
    <n v="16512"/>
    <n v="1050"/>
    <n v="971"/>
    <n v="1891"/>
    <n v="15865"/>
    <n v="166503"/>
    <s v="iPhone 16 Launch"/>
  </r>
  <r>
    <x v="19"/>
    <x v="0"/>
    <d v="2024-09-09T00:00:00"/>
    <x v="2"/>
    <x v="4"/>
    <n v="6158"/>
    <n v="277"/>
    <n v="512"/>
    <n v="2189"/>
    <n v="76881"/>
    <n v="124878"/>
    <s v="iPhone 16 Launch"/>
  </r>
  <r>
    <x v="19"/>
    <x v="0"/>
    <d v="2024-09-09T00:00:00"/>
    <x v="2"/>
    <x v="5"/>
    <n v="6158"/>
    <n v="277"/>
    <n v="512"/>
    <n v="2189"/>
    <n v="76881"/>
    <n v="124878"/>
    <s v="iPhone 16 Launch"/>
  </r>
  <r>
    <x v="20"/>
    <x v="3"/>
    <d v="2025-09-08T00:00:00"/>
    <x v="3"/>
    <x v="15"/>
    <n v="22309"/>
    <n v="773"/>
    <n v="854"/>
    <n v="2387"/>
    <n v="72396"/>
    <n v="97056"/>
    <s v="Apple Event September 2025"/>
  </r>
  <r>
    <x v="20"/>
    <x v="3"/>
    <d v="2025-09-08T00:00:00"/>
    <x v="3"/>
    <x v="8"/>
    <n v="22309"/>
    <n v="773"/>
    <n v="854"/>
    <n v="2387"/>
    <n v="72396"/>
    <n v="97056"/>
    <s v="Apple Event September 2025"/>
  </r>
  <r>
    <x v="21"/>
    <x v="2"/>
    <d v="2025-02-27T00:00:00"/>
    <x v="0"/>
    <x v="9"/>
    <n v="8970"/>
    <n v="331"/>
    <n v="968"/>
    <n v="2296"/>
    <n v="24613"/>
    <n v="198562"/>
    <s v="iPhone 16 Launch"/>
  </r>
  <r>
    <x v="21"/>
    <x v="2"/>
    <d v="2025-02-27T00:00:00"/>
    <x v="0"/>
    <x v="10"/>
    <n v="8970"/>
    <n v="331"/>
    <n v="968"/>
    <n v="2296"/>
    <n v="24613"/>
    <n v="198562"/>
    <s v="iPhone 16 Launch"/>
  </r>
  <r>
    <x v="22"/>
    <x v="3"/>
    <d v="2024-11-06T00:00:00"/>
    <x v="3"/>
    <x v="6"/>
    <n v="8938"/>
    <n v="800"/>
    <n v="842"/>
    <n v="2072"/>
    <n v="31736"/>
    <n v="59975"/>
    <s v="iPhone 16 Launch"/>
  </r>
  <r>
    <x v="22"/>
    <x v="3"/>
    <d v="2024-11-06T00:00:00"/>
    <x v="3"/>
    <x v="14"/>
    <n v="8938"/>
    <n v="800"/>
    <n v="842"/>
    <n v="2072"/>
    <n v="31736"/>
    <n v="59975"/>
    <s v="iPhone 16 Launch"/>
  </r>
  <r>
    <x v="23"/>
    <x v="1"/>
    <d v="2025-01-23T00:00:00"/>
    <x v="2"/>
    <x v="13"/>
    <n v="23168"/>
    <n v="1265"/>
    <n v="441"/>
    <n v="1612"/>
    <n v="66615"/>
    <n v="197795"/>
    <s v="iPhone 16 Launch"/>
  </r>
  <r>
    <x v="23"/>
    <x v="1"/>
    <d v="2025-01-23T00:00:00"/>
    <x v="2"/>
    <x v="6"/>
    <n v="23168"/>
    <n v="1265"/>
    <n v="441"/>
    <n v="1612"/>
    <n v="66615"/>
    <n v="197795"/>
    <s v="iPhone 16 Launch"/>
  </r>
  <r>
    <x v="24"/>
    <x v="1"/>
    <d v="2025-09-09T00:00:00"/>
    <x v="2"/>
    <x v="11"/>
    <n v="15772"/>
    <n v="288"/>
    <n v="520"/>
    <n v="1585"/>
    <n v="59182"/>
    <n v="194351"/>
    <s v="Apple Event September 2025"/>
  </r>
  <r>
    <x v="24"/>
    <x v="1"/>
    <d v="2025-09-09T00:00:00"/>
    <x v="2"/>
    <x v="12"/>
    <n v="15772"/>
    <n v="288"/>
    <n v="520"/>
    <n v="1585"/>
    <n v="59182"/>
    <n v="194351"/>
    <s v="Apple Event September 2025"/>
  </r>
  <r>
    <x v="25"/>
    <x v="3"/>
    <d v="2025-04-05T00:00:00"/>
    <x v="2"/>
    <x v="11"/>
    <n v="22384"/>
    <n v="601"/>
    <n v="943"/>
    <n v="515"/>
    <n v="41309"/>
    <n v="249373"/>
    <s v="Apple Watch Ultra 2 Launch"/>
  </r>
  <r>
    <x v="25"/>
    <x v="3"/>
    <d v="2025-04-05T00:00:00"/>
    <x v="2"/>
    <x v="12"/>
    <n v="22384"/>
    <n v="601"/>
    <n v="943"/>
    <n v="515"/>
    <n v="41309"/>
    <n v="249373"/>
    <s v="Apple Watch Ultra 2 Launch"/>
  </r>
  <r>
    <x v="26"/>
    <x v="3"/>
    <d v="2024-09-17T00:00:00"/>
    <x v="1"/>
    <x v="13"/>
    <n v="20017"/>
    <n v="495"/>
    <n v="178"/>
    <n v="2683"/>
    <n v="32244"/>
    <n v="182633"/>
    <s v="Apple Watch Ultra 2 Launch"/>
  </r>
  <r>
    <x v="26"/>
    <x v="3"/>
    <d v="2024-09-17T00:00:00"/>
    <x v="1"/>
    <x v="6"/>
    <n v="20017"/>
    <n v="495"/>
    <n v="178"/>
    <n v="2683"/>
    <n v="32244"/>
    <n v="182633"/>
    <s v="Apple Watch Ultra 2 Launch"/>
  </r>
  <r>
    <x v="27"/>
    <x v="3"/>
    <d v="2025-03-04T00:00:00"/>
    <x v="1"/>
    <x v="8"/>
    <n v="12344"/>
    <n v="815"/>
    <n v="298"/>
    <n v="2439"/>
    <n v="6259"/>
    <n v="237133"/>
    <s v="iPhone 16 Launch"/>
  </r>
  <r>
    <x v="28"/>
    <x v="1"/>
    <d v="2025-09-10T00:00:00"/>
    <x v="3"/>
    <x v="16"/>
    <n v="9266"/>
    <n v="999"/>
    <n v="928"/>
    <n v="2700"/>
    <n v="12264"/>
    <n v="128397"/>
    <s v="Apple Event September 2025"/>
  </r>
  <r>
    <x v="29"/>
    <x v="1"/>
    <d v="2025-02-25T00:00:00"/>
    <x v="3"/>
    <x v="15"/>
    <n v="10702"/>
    <n v="621"/>
    <n v="445"/>
    <n v="2918"/>
    <n v="54808"/>
    <n v="220225"/>
    <s v="Apple Watch Ultra 2 Launch"/>
  </r>
  <r>
    <x v="29"/>
    <x v="1"/>
    <d v="2025-02-25T00:00:00"/>
    <x v="3"/>
    <x v="8"/>
    <n v="10702"/>
    <n v="621"/>
    <n v="445"/>
    <n v="2918"/>
    <n v="54808"/>
    <n v="220225"/>
    <s v="Apple Watch Ultra 2 Launch"/>
  </r>
  <r>
    <x v="30"/>
    <x v="2"/>
    <d v="2024-12-16T00:00:00"/>
    <x v="0"/>
    <x v="6"/>
    <n v="2384"/>
    <n v="1246"/>
    <n v="160"/>
    <n v="2004"/>
    <n v="2701"/>
    <n v="73142"/>
    <s v="Apple Watch Ultra 2 Launch"/>
  </r>
  <r>
    <x v="30"/>
    <x v="2"/>
    <d v="2024-12-16T00:00:00"/>
    <x v="0"/>
    <x v="7"/>
    <n v="2384"/>
    <n v="1246"/>
    <n v="160"/>
    <n v="2004"/>
    <n v="2701"/>
    <n v="73142"/>
    <s v="Apple Watch Ultra 2 Launch"/>
  </r>
  <r>
    <x v="31"/>
    <x v="2"/>
    <d v="2024-07-31T00:00:00"/>
    <x v="0"/>
    <x v="6"/>
    <n v="2404"/>
    <n v="774"/>
    <n v="661"/>
    <n v="662"/>
    <n v="12676"/>
    <n v="66916"/>
    <s v="Apple Watch Ultra 2 Launch"/>
  </r>
  <r>
    <x v="31"/>
    <x v="2"/>
    <d v="2024-07-31T00:00:00"/>
    <x v="0"/>
    <x v="14"/>
    <n v="2404"/>
    <n v="774"/>
    <n v="661"/>
    <n v="662"/>
    <n v="12676"/>
    <n v="66916"/>
    <s v="Apple Watch Ultra 2 Launch"/>
  </r>
  <r>
    <x v="32"/>
    <x v="1"/>
    <d v="2025-09-11T00:00:00"/>
    <x v="3"/>
    <x v="13"/>
    <n v="10175"/>
    <n v="342"/>
    <n v="825"/>
    <n v="2904"/>
    <n v="15954"/>
    <n v="104324"/>
    <s v="Apple Event September 2025"/>
  </r>
  <r>
    <x v="32"/>
    <x v="1"/>
    <d v="2025-09-11T00:00:00"/>
    <x v="3"/>
    <x v="6"/>
    <n v="10175"/>
    <n v="342"/>
    <n v="825"/>
    <n v="2904"/>
    <n v="15954"/>
    <n v="104324"/>
    <s v="Apple Event September 2025"/>
  </r>
  <r>
    <x v="33"/>
    <x v="3"/>
    <d v="2025-09-12T00:00:00"/>
    <x v="1"/>
    <x v="4"/>
    <n v="17158"/>
    <n v="1192"/>
    <n v="262"/>
    <n v="2016"/>
    <n v="28771"/>
    <n v="216037"/>
    <s v="Apple Event September 2025"/>
  </r>
  <r>
    <x v="33"/>
    <x v="3"/>
    <d v="2025-09-12T00:00:00"/>
    <x v="1"/>
    <x v="5"/>
    <n v="17158"/>
    <n v="1192"/>
    <n v="262"/>
    <n v="2016"/>
    <n v="28771"/>
    <n v="216037"/>
    <s v="Apple Event September 2025"/>
  </r>
  <r>
    <x v="34"/>
    <x v="3"/>
    <d v="2024-11-30T00:00:00"/>
    <x v="2"/>
    <x v="6"/>
    <n v="14763"/>
    <n v="864"/>
    <n v="336"/>
    <n v="1493"/>
    <n v="33310"/>
    <n v="165932"/>
    <s v="iPhone 16 Launch"/>
  </r>
  <r>
    <x v="34"/>
    <x v="3"/>
    <d v="2024-11-30T00:00:00"/>
    <x v="2"/>
    <x v="14"/>
    <n v="14763"/>
    <n v="864"/>
    <n v="336"/>
    <n v="1493"/>
    <n v="33310"/>
    <n v="165932"/>
    <s v="iPhone 16 Launch"/>
  </r>
  <r>
    <x v="35"/>
    <x v="2"/>
    <d v="2025-04-19T00:00:00"/>
    <x v="3"/>
    <x v="16"/>
    <n v="20384"/>
    <n v="344"/>
    <n v="956"/>
    <n v="655"/>
    <n v="67621"/>
    <n v="175720"/>
    <s v="Sustainability Awareness Drive"/>
  </r>
  <r>
    <x v="36"/>
    <x v="1"/>
    <d v="2025-01-06T00:00:00"/>
    <x v="0"/>
    <x v="4"/>
    <n v="11860"/>
    <n v="1448"/>
    <n v="893"/>
    <n v="490"/>
    <n v="23518"/>
    <n v="206205"/>
    <s v="Apple Watch Ultra 2 Launch"/>
  </r>
  <r>
    <x v="36"/>
    <x v="1"/>
    <d v="2025-01-06T00:00:00"/>
    <x v="0"/>
    <x v="5"/>
    <n v="11860"/>
    <n v="1448"/>
    <n v="893"/>
    <n v="490"/>
    <n v="23518"/>
    <n v="206205"/>
    <s v="Apple Watch Ultra 2 Launch"/>
  </r>
  <r>
    <x v="37"/>
    <x v="2"/>
    <d v="2025-02-17T00:00:00"/>
    <x v="1"/>
    <x v="2"/>
    <n v="7989"/>
    <n v="1206"/>
    <n v="376"/>
    <n v="2769"/>
    <n v="27550"/>
    <n v="221749"/>
    <s v="Sustainability Awareness Drive"/>
  </r>
  <r>
    <x v="37"/>
    <x v="2"/>
    <d v="2025-02-17T00:00:00"/>
    <x v="1"/>
    <x v="3"/>
    <n v="7989"/>
    <n v="1206"/>
    <n v="376"/>
    <n v="2769"/>
    <n v="27550"/>
    <n v="221749"/>
    <s v="Sustainability Awareness Drive"/>
  </r>
  <r>
    <x v="38"/>
    <x v="2"/>
    <d v="2025-09-13T00:00:00"/>
    <x v="3"/>
    <x v="9"/>
    <n v="17106"/>
    <n v="702"/>
    <n v="459"/>
    <n v="999"/>
    <n v="59627"/>
    <n v="136059"/>
    <s v="Apple Event September 2025"/>
  </r>
  <r>
    <x v="38"/>
    <x v="2"/>
    <d v="2025-09-13T00:00:00"/>
    <x v="3"/>
    <x v="10"/>
    <n v="17106"/>
    <n v="702"/>
    <n v="459"/>
    <n v="999"/>
    <n v="59627"/>
    <n v="136059"/>
    <s v="Apple Event September 2025"/>
  </r>
  <r>
    <x v="39"/>
    <x v="0"/>
    <d v="2025-09-14T00:00:00"/>
    <x v="3"/>
    <x v="11"/>
    <n v="19844"/>
    <n v="1020"/>
    <n v="247"/>
    <n v="2354"/>
    <n v="37792"/>
    <n v="138317"/>
    <s v="Apple Event September 2025"/>
  </r>
  <r>
    <x v="39"/>
    <x v="0"/>
    <d v="2025-09-14T00:00:00"/>
    <x v="3"/>
    <x v="12"/>
    <n v="19844"/>
    <n v="1020"/>
    <n v="247"/>
    <n v="2354"/>
    <n v="37792"/>
    <n v="138317"/>
    <s v="Apple Event September 2025"/>
  </r>
  <r>
    <x v="40"/>
    <x v="0"/>
    <d v="2025-09-15T00:00:00"/>
    <x v="1"/>
    <x v="2"/>
    <n v="5636"/>
    <n v="303"/>
    <n v="204"/>
    <n v="2480"/>
    <n v="7377"/>
    <n v="241207"/>
    <s v="Apple Event September 2025"/>
  </r>
  <r>
    <x v="40"/>
    <x v="0"/>
    <d v="2025-09-15T00:00:00"/>
    <x v="1"/>
    <x v="3"/>
    <n v="5636"/>
    <n v="303"/>
    <n v="204"/>
    <n v="2480"/>
    <n v="7377"/>
    <n v="241207"/>
    <s v="Apple Event September 2025"/>
  </r>
  <r>
    <x v="41"/>
    <x v="0"/>
    <d v="2025-03-05T00:00:00"/>
    <x v="3"/>
    <x v="6"/>
    <n v="12916"/>
    <n v="1262"/>
    <n v="772"/>
    <n v="856"/>
    <n v="11496"/>
    <n v="75046"/>
    <s v="Sustainability Awareness Drive"/>
  </r>
  <r>
    <x v="41"/>
    <x v="0"/>
    <d v="2025-03-05T00:00:00"/>
    <x v="3"/>
    <x v="14"/>
    <n v="12916"/>
    <n v="1262"/>
    <n v="772"/>
    <n v="856"/>
    <n v="11496"/>
    <n v="75046"/>
    <s v="Sustainability Awareness Drive"/>
  </r>
  <r>
    <x v="42"/>
    <x v="3"/>
    <d v="2025-09-16T00:00:00"/>
    <x v="1"/>
    <x v="16"/>
    <n v="6809"/>
    <n v="397"/>
    <n v="813"/>
    <n v="1125"/>
    <n v="12206"/>
    <n v="218136"/>
    <s v="Apple Event September 2025"/>
  </r>
  <r>
    <x v="43"/>
    <x v="1"/>
    <d v="2025-03-02T00:00:00"/>
    <x v="2"/>
    <x v="15"/>
    <n v="22562"/>
    <n v="778"/>
    <n v="907"/>
    <n v="1354"/>
    <n v="34475"/>
    <n v="141459"/>
    <s v="iPhone 16 Launch"/>
  </r>
  <r>
    <x v="43"/>
    <x v="1"/>
    <d v="2025-03-02T00:00:00"/>
    <x v="2"/>
    <x v="8"/>
    <n v="22562"/>
    <n v="778"/>
    <n v="907"/>
    <n v="1354"/>
    <n v="34475"/>
    <n v="141459"/>
    <s v="iPhone 16 Launch"/>
  </r>
  <r>
    <x v="44"/>
    <x v="1"/>
    <d v="2025-09-17T00:00:00"/>
    <x v="1"/>
    <x v="9"/>
    <n v="15456"/>
    <n v="590"/>
    <n v="555"/>
    <n v="2882"/>
    <n v="49816"/>
    <n v="240422"/>
    <s v="Apple Event September 2025"/>
  </r>
  <r>
    <x v="44"/>
    <x v="1"/>
    <d v="2025-09-17T00:00:00"/>
    <x v="1"/>
    <x v="10"/>
    <n v="15456"/>
    <n v="590"/>
    <n v="555"/>
    <n v="2882"/>
    <n v="49816"/>
    <n v="240422"/>
    <s v="Apple Event September 2025"/>
  </r>
  <r>
    <x v="45"/>
    <x v="1"/>
    <d v="2025-05-02T00:00:00"/>
    <x v="1"/>
    <x v="6"/>
    <n v="17444"/>
    <n v="1402"/>
    <n v="218"/>
    <n v="725"/>
    <n v="8710"/>
    <n v="85893"/>
    <s v="MacBook Air M3 Campaign"/>
  </r>
  <r>
    <x v="45"/>
    <x v="1"/>
    <d v="2025-05-02T00:00:00"/>
    <x v="1"/>
    <x v="14"/>
    <n v="17444"/>
    <n v="1402"/>
    <n v="218"/>
    <n v="725"/>
    <n v="8710"/>
    <n v="85893"/>
    <s v="MacBook Air M3 Campaign"/>
  </r>
  <r>
    <x v="46"/>
    <x v="1"/>
    <d v="2025-02-24T00:00:00"/>
    <x v="1"/>
    <x v="13"/>
    <n v="24984"/>
    <n v="753"/>
    <n v="461"/>
    <n v="2710"/>
    <n v="20792"/>
    <n v="141520"/>
    <s v="Sustainability Awareness Drive"/>
  </r>
  <r>
    <x v="46"/>
    <x v="1"/>
    <d v="2025-02-24T00:00:00"/>
    <x v="1"/>
    <x v="6"/>
    <n v="24984"/>
    <n v="753"/>
    <n v="461"/>
    <n v="2710"/>
    <n v="20792"/>
    <n v="141520"/>
    <s v="Sustainability Awareness Drive"/>
  </r>
  <r>
    <x v="47"/>
    <x v="0"/>
    <d v="2025-03-11T00:00:00"/>
    <x v="3"/>
    <x v="0"/>
    <n v="7997"/>
    <n v="1238"/>
    <n v="438"/>
    <n v="1874"/>
    <n v="36272"/>
    <n v="165818"/>
    <s v="MacBook Air M3 Campaign"/>
  </r>
  <r>
    <x v="47"/>
    <x v="0"/>
    <d v="2025-03-11T00:00:00"/>
    <x v="3"/>
    <x v="1"/>
    <n v="7997"/>
    <n v="1238"/>
    <n v="438"/>
    <n v="1874"/>
    <n v="36272"/>
    <n v="165818"/>
    <s v="MacBook Air M3 Campaign"/>
  </r>
  <r>
    <x v="48"/>
    <x v="3"/>
    <d v="2025-09-18T00:00:00"/>
    <x v="3"/>
    <x v="6"/>
    <n v="4048"/>
    <n v="677"/>
    <n v="911"/>
    <n v="2429"/>
    <n v="27361"/>
    <n v="101272"/>
    <s v="Apple Event September 2025"/>
  </r>
  <r>
    <x v="48"/>
    <x v="3"/>
    <d v="2025-09-18T00:00:00"/>
    <x v="3"/>
    <x v="14"/>
    <n v="4048"/>
    <n v="677"/>
    <n v="911"/>
    <n v="2429"/>
    <n v="27361"/>
    <n v="101272"/>
    <s v="Apple Event September 2025"/>
  </r>
  <r>
    <x v="49"/>
    <x v="3"/>
    <d v="2024-07-03T00:00:00"/>
    <x v="1"/>
    <x v="9"/>
    <n v="14338"/>
    <n v="1454"/>
    <n v="697"/>
    <n v="2703"/>
    <n v="21288"/>
    <n v="107649"/>
    <s v="iPhone 16 Launch"/>
  </r>
  <r>
    <x v="49"/>
    <x v="3"/>
    <d v="2024-07-03T00:00:00"/>
    <x v="1"/>
    <x v="10"/>
    <n v="14338"/>
    <n v="1454"/>
    <n v="697"/>
    <n v="2703"/>
    <n v="21288"/>
    <n v="107649"/>
    <s v="iPhone 16 Launch"/>
  </r>
  <r>
    <x v="50"/>
    <x v="0"/>
    <d v="2024-06-13T00:00:00"/>
    <x v="3"/>
    <x v="11"/>
    <n v="23164"/>
    <n v="1122"/>
    <n v="900"/>
    <n v="888"/>
    <n v="36938"/>
    <n v="104674"/>
    <s v="Apple Watch Ultra 2 Launch"/>
  </r>
  <r>
    <x v="50"/>
    <x v="0"/>
    <d v="2024-06-13T00:00:00"/>
    <x v="3"/>
    <x v="12"/>
    <n v="23164"/>
    <n v="1122"/>
    <n v="900"/>
    <n v="888"/>
    <n v="36938"/>
    <n v="104674"/>
    <s v="Apple Watch Ultra 2 Launch"/>
  </r>
  <r>
    <x v="51"/>
    <x v="3"/>
    <d v="2025-09-19T00:00:00"/>
    <x v="0"/>
    <x v="11"/>
    <n v="19100"/>
    <n v="619"/>
    <n v="297"/>
    <n v="2312"/>
    <n v="9730"/>
    <n v="184832"/>
    <s v="Apple Event September 2025"/>
  </r>
  <r>
    <x v="51"/>
    <x v="3"/>
    <d v="2025-09-19T00:00:00"/>
    <x v="0"/>
    <x v="12"/>
    <n v="19100"/>
    <n v="619"/>
    <n v="297"/>
    <n v="2312"/>
    <n v="9730"/>
    <n v="184832"/>
    <s v="Apple Event September 2025"/>
  </r>
  <r>
    <x v="52"/>
    <x v="0"/>
    <d v="2025-02-24T00:00:00"/>
    <x v="0"/>
    <x v="6"/>
    <n v="23949"/>
    <n v="356"/>
    <n v="616"/>
    <n v="1847"/>
    <n v="3144"/>
    <n v="192999"/>
    <s v="iPhone 16 Launch"/>
  </r>
  <r>
    <x v="52"/>
    <x v="0"/>
    <d v="2025-02-24T00:00:00"/>
    <x v="0"/>
    <x v="14"/>
    <n v="23949"/>
    <n v="356"/>
    <n v="616"/>
    <n v="1847"/>
    <n v="3144"/>
    <n v="192999"/>
    <s v="iPhone 16 Launch"/>
  </r>
  <r>
    <x v="53"/>
    <x v="1"/>
    <d v="2025-03-13T00:00:00"/>
    <x v="3"/>
    <x v="4"/>
    <n v="6544"/>
    <n v="749"/>
    <n v="888"/>
    <n v="594"/>
    <n v="18171"/>
    <n v="126475"/>
    <s v="Sustainability Awareness Drive"/>
  </r>
  <r>
    <x v="53"/>
    <x v="1"/>
    <d v="2025-03-13T00:00:00"/>
    <x v="3"/>
    <x v="5"/>
    <n v="6544"/>
    <n v="749"/>
    <n v="888"/>
    <n v="594"/>
    <n v="18171"/>
    <n v="126475"/>
    <s v="Sustainability Awareness Drive"/>
  </r>
  <r>
    <x v="54"/>
    <x v="0"/>
    <d v="2024-06-17T00:00:00"/>
    <x v="3"/>
    <x v="0"/>
    <n v="6976"/>
    <n v="1320"/>
    <n v="393"/>
    <n v="2285"/>
    <n v="14049"/>
    <n v="101367"/>
    <s v="MacBook Air M3 Campaign"/>
  </r>
  <r>
    <x v="54"/>
    <x v="0"/>
    <d v="2024-06-17T00:00:00"/>
    <x v="3"/>
    <x v="1"/>
    <n v="6976"/>
    <n v="1320"/>
    <n v="393"/>
    <n v="2285"/>
    <n v="14049"/>
    <n v="101367"/>
    <s v="MacBook Air M3 Campaign"/>
  </r>
  <r>
    <x v="55"/>
    <x v="1"/>
    <d v="2024-12-18T00:00:00"/>
    <x v="1"/>
    <x v="13"/>
    <n v="14775"/>
    <n v="1220"/>
    <n v="640"/>
    <n v="1547"/>
    <n v="28527"/>
    <n v="183660"/>
    <s v="MacBook Air M3 Campaign"/>
  </r>
  <r>
    <x v="55"/>
    <x v="1"/>
    <d v="2024-12-18T00:00:00"/>
    <x v="1"/>
    <x v="6"/>
    <n v="14775"/>
    <n v="1220"/>
    <n v="640"/>
    <n v="1547"/>
    <n v="28527"/>
    <n v="183660"/>
    <s v="MacBook Air M3 Campaign"/>
  </r>
  <r>
    <x v="56"/>
    <x v="1"/>
    <d v="2024-10-21T00:00:00"/>
    <x v="2"/>
    <x v="6"/>
    <n v="12015"/>
    <n v="1196"/>
    <n v="998"/>
    <n v="1848"/>
    <n v="44739"/>
    <n v="161750"/>
    <s v="MacBook Air M3 Campaign"/>
  </r>
  <r>
    <x v="56"/>
    <x v="1"/>
    <d v="2024-10-21T00:00:00"/>
    <x v="2"/>
    <x v="14"/>
    <n v="12015"/>
    <n v="1196"/>
    <n v="998"/>
    <n v="1848"/>
    <n v="44739"/>
    <n v="161750"/>
    <s v="MacBook Air M3 Campaign"/>
  </r>
  <r>
    <x v="57"/>
    <x v="2"/>
    <d v="2025-04-15T00:00:00"/>
    <x v="3"/>
    <x v="4"/>
    <n v="5419"/>
    <n v="1150"/>
    <n v="656"/>
    <n v="1990"/>
    <n v="410"/>
    <n v="158154"/>
    <s v="Sustainability Awareness Drive"/>
  </r>
  <r>
    <x v="57"/>
    <x v="2"/>
    <d v="2025-04-15T00:00:00"/>
    <x v="3"/>
    <x v="5"/>
    <n v="5419"/>
    <n v="1150"/>
    <n v="656"/>
    <n v="1990"/>
    <n v="410"/>
    <n v="158154"/>
    <s v="Sustainability Awareness Drive"/>
  </r>
  <r>
    <x v="58"/>
    <x v="0"/>
    <d v="2024-06-22T00:00:00"/>
    <x v="0"/>
    <x v="11"/>
    <n v="16430"/>
    <n v="488"/>
    <n v="514"/>
    <n v="1436"/>
    <n v="30059"/>
    <n v="223305"/>
    <s v="iPhone 16 Launch"/>
  </r>
  <r>
    <x v="58"/>
    <x v="0"/>
    <d v="2024-06-22T00:00:00"/>
    <x v="0"/>
    <x v="12"/>
    <n v="16430"/>
    <n v="488"/>
    <n v="514"/>
    <n v="1436"/>
    <n v="30059"/>
    <n v="223305"/>
    <s v="iPhone 16 Launch"/>
  </r>
  <r>
    <x v="59"/>
    <x v="2"/>
    <d v="2025-01-28T00:00:00"/>
    <x v="1"/>
    <x v="11"/>
    <n v="9239"/>
    <n v="1477"/>
    <n v="631"/>
    <n v="1556"/>
    <n v="11580"/>
    <n v="84738"/>
    <s v="Sustainability Awareness Drive"/>
  </r>
  <r>
    <x v="59"/>
    <x v="2"/>
    <d v="2025-01-28T00:00:00"/>
    <x v="1"/>
    <x v="12"/>
    <n v="9239"/>
    <n v="1477"/>
    <n v="631"/>
    <n v="1556"/>
    <n v="11580"/>
    <n v="84738"/>
    <s v="Sustainability Awareness Drive"/>
  </r>
  <r>
    <x v="60"/>
    <x v="0"/>
    <d v="2024-09-05T00:00:00"/>
    <x v="3"/>
    <x v="16"/>
    <n v="16489"/>
    <n v="395"/>
    <n v="350"/>
    <n v="2364"/>
    <n v="43239"/>
    <n v="73397"/>
    <s v="MacBook Air M3 Campaign"/>
  </r>
  <r>
    <x v="61"/>
    <x v="0"/>
    <d v="2025-09-20T00:00:00"/>
    <x v="0"/>
    <x v="6"/>
    <n v="18633"/>
    <n v="797"/>
    <n v="303"/>
    <n v="659"/>
    <n v="7"/>
    <n v="122189"/>
    <s v="Apple Event September 2025"/>
  </r>
  <r>
    <x v="61"/>
    <x v="0"/>
    <d v="2025-09-20T00:00:00"/>
    <x v="0"/>
    <x v="14"/>
    <n v="18633"/>
    <n v="797"/>
    <n v="303"/>
    <n v="659"/>
    <n v="7"/>
    <n v="122189"/>
    <s v="Apple Event September 2025"/>
  </r>
  <r>
    <x v="62"/>
    <x v="2"/>
    <d v="2024-07-31T00:00:00"/>
    <x v="0"/>
    <x v="0"/>
    <n v="12357"/>
    <n v="716"/>
    <n v="599"/>
    <n v="999"/>
    <n v="89591"/>
    <n v="116367"/>
    <s v="Apple Watch Ultra 2 Launch"/>
  </r>
  <r>
    <x v="62"/>
    <x v="2"/>
    <d v="2024-07-31T00:00:00"/>
    <x v="0"/>
    <x v="1"/>
    <n v="12357"/>
    <n v="716"/>
    <n v="599"/>
    <n v="999"/>
    <n v="89591"/>
    <n v="116367"/>
    <s v="Apple Watch Ultra 2 Launch"/>
  </r>
  <r>
    <x v="63"/>
    <x v="2"/>
    <d v="2024-08-17T00:00:00"/>
    <x v="2"/>
    <x v="8"/>
    <n v="19154"/>
    <n v="1064"/>
    <n v="650"/>
    <n v="747"/>
    <n v="42667"/>
    <n v="242332"/>
    <s v="Sustainability Awareness Drive"/>
  </r>
  <r>
    <x v="64"/>
    <x v="0"/>
    <d v="2025-03-28T00:00:00"/>
    <x v="1"/>
    <x v="0"/>
    <n v="6363"/>
    <n v="1341"/>
    <n v="222"/>
    <n v="2712"/>
    <n v="19987"/>
    <n v="160585"/>
    <s v="Sustainability Awareness Drive"/>
  </r>
  <r>
    <x v="64"/>
    <x v="0"/>
    <d v="2025-03-28T00:00:00"/>
    <x v="1"/>
    <x v="1"/>
    <n v="6363"/>
    <n v="1341"/>
    <n v="222"/>
    <n v="2712"/>
    <n v="19987"/>
    <n v="160585"/>
    <s v="Sustainability Awareness Drive"/>
  </r>
  <r>
    <x v="65"/>
    <x v="3"/>
    <d v="2024-07-26T00:00:00"/>
    <x v="1"/>
    <x v="11"/>
    <n v="12176"/>
    <n v="1005"/>
    <n v="862"/>
    <n v="974"/>
    <n v="2285"/>
    <n v="116619"/>
    <s v="iPhone 16 Launch"/>
  </r>
  <r>
    <x v="65"/>
    <x v="3"/>
    <d v="2024-07-26T00:00:00"/>
    <x v="1"/>
    <x v="12"/>
    <n v="12176"/>
    <n v="1005"/>
    <n v="862"/>
    <n v="974"/>
    <n v="2285"/>
    <n v="116619"/>
    <s v="iPhone 16 Launch"/>
  </r>
  <r>
    <x v="66"/>
    <x v="1"/>
    <d v="2025-03-29T00:00:00"/>
    <x v="2"/>
    <x v="11"/>
    <n v="19461"/>
    <n v="1382"/>
    <n v="445"/>
    <n v="1307"/>
    <n v="84691"/>
    <n v="151453"/>
    <s v="iPhone 16 Launch"/>
  </r>
  <r>
    <x v="66"/>
    <x v="1"/>
    <d v="2025-03-29T00:00:00"/>
    <x v="2"/>
    <x v="12"/>
    <n v="19461"/>
    <n v="1382"/>
    <n v="445"/>
    <n v="1307"/>
    <n v="84691"/>
    <n v="151453"/>
    <s v="iPhone 16 Launch"/>
  </r>
  <r>
    <x v="67"/>
    <x v="2"/>
    <d v="2024-12-08T00:00:00"/>
    <x v="2"/>
    <x v="2"/>
    <n v="10427"/>
    <n v="1014"/>
    <n v="166"/>
    <n v="1649"/>
    <n v="15145"/>
    <n v="59816"/>
    <s v="Sustainability Awareness Drive"/>
  </r>
  <r>
    <x v="67"/>
    <x v="2"/>
    <d v="2024-12-08T00:00:00"/>
    <x v="2"/>
    <x v="3"/>
    <n v="10427"/>
    <n v="1014"/>
    <n v="166"/>
    <n v="1649"/>
    <n v="15145"/>
    <n v="59816"/>
    <s v="Sustainability Awareness Drive"/>
  </r>
  <r>
    <x v="68"/>
    <x v="1"/>
    <d v="2025-03-08T00:00:00"/>
    <x v="1"/>
    <x v="11"/>
    <n v="10580"/>
    <n v="427"/>
    <n v="790"/>
    <n v="2814"/>
    <n v="24916"/>
    <n v="213312"/>
    <s v="MacBook Air M3 Campaign"/>
  </r>
  <r>
    <x v="68"/>
    <x v="1"/>
    <d v="2025-03-08T00:00:00"/>
    <x v="1"/>
    <x v="12"/>
    <n v="10580"/>
    <n v="427"/>
    <n v="790"/>
    <n v="2814"/>
    <n v="24916"/>
    <n v="213312"/>
    <s v="MacBook Air M3 Campaign"/>
  </r>
  <r>
    <x v="69"/>
    <x v="3"/>
    <d v="2025-04-02T00:00:00"/>
    <x v="1"/>
    <x v="13"/>
    <n v="6858"/>
    <n v="415"/>
    <n v="366"/>
    <n v="2761"/>
    <n v="2988"/>
    <n v="177348"/>
    <s v="Apple Watch Ultra 2 Launch"/>
  </r>
  <r>
    <x v="69"/>
    <x v="3"/>
    <d v="2025-04-02T00:00:00"/>
    <x v="1"/>
    <x v="6"/>
    <n v="6858"/>
    <n v="415"/>
    <n v="366"/>
    <n v="2761"/>
    <n v="2988"/>
    <n v="177348"/>
    <s v="Apple Watch Ultra 2 Launch"/>
  </r>
  <r>
    <x v="70"/>
    <x v="3"/>
    <d v="2024-09-02T00:00:00"/>
    <x v="3"/>
    <x v="6"/>
    <n v="12040"/>
    <n v="1147"/>
    <n v="210"/>
    <n v="885"/>
    <n v="30360"/>
    <n v="119530"/>
    <s v="iPhone 16 Launch"/>
  </r>
  <r>
    <x v="70"/>
    <x v="3"/>
    <d v="2024-09-02T00:00:00"/>
    <x v="3"/>
    <x v="7"/>
    <n v="12040"/>
    <n v="1147"/>
    <n v="210"/>
    <n v="885"/>
    <n v="30360"/>
    <n v="119530"/>
    <s v="iPhone 16 Launch"/>
  </r>
  <r>
    <x v="71"/>
    <x v="3"/>
    <d v="2025-03-03T00:00:00"/>
    <x v="3"/>
    <x v="6"/>
    <n v="24928"/>
    <n v="214"/>
    <n v="765"/>
    <n v="1556"/>
    <n v="5239"/>
    <n v="194571"/>
    <s v="MacBook Air M3 Campaign"/>
  </r>
  <r>
    <x v="71"/>
    <x v="3"/>
    <d v="2025-03-03T00:00:00"/>
    <x v="3"/>
    <x v="14"/>
    <n v="24928"/>
    <n v="214"/>
    <n v="765"/>
    <n v="1556"/>
    <n v="5239"/>
    <n v="194571"/>
    <s v="MacBook Air M3 Campaign"/>
  </r>
  <r>
    <x v="72"/>
    <x v="2"/>
    <d v="2025-09-21T00:00:00"/>
    <x v="2"/>
    <x v="0"/>
    <n v="23103"/>
    <n v="1380"/>
    <n v="191"/>
    <n v="1547"/>
    <n v="77798"/>
    <n v="148856"/>
    <s v="Apple Event September 2025"/>
  </r>
  <r>
    <x v="72"/>
    <x v="2"/>
    <d v="2025-09-21T00:00:00"/>
    <x v="2"/>
    <x v="1"/>
    <n v="23103"/>
    <n v="1380"/>
    <n v="191"/>
    <n v="1547"/>
    <n v="77798"/>
    <n v="148856"/>
    <s v="Apple Event September 2025"/>
  </r>
  <r>
    <x v="73"/>
    <x v="3"/>
    <d v="2024-10-28T00:00:00"/>
    <x v="3"/>
    <x v="6"/>
    <n v="21198"/>
    <n v="1484"/>
    <n v="174"/>
    <n v="1293"/>
    <n v="16330"/>
    <n v="111635"/>
    <s v="iPhone 16 Launch"/>
  </r>
  <r>
    <x v="73"/>
    <x v="3"/>
    <d v="2024-10-28T00:00:00"/>
    <x v="3"/>
    <x v="7"/>
    <n v="21198"/>
    <n v="1484"/>
    <n v="174"/>
    <n v="1293"/>
    <n v="16330"/>
    <n v="111635"/>
    <s v="iPhone 16 Launch"/>
  </r>
  <r>
    <x v="74"/>
    <x v="2"/>
    <d v="2024-08-01T00:00:00"/>
    <x v="0"/>
    <x v="4"/>
    <n v="21758"/>
    <n v="1380"/>
    <n v="188"/>
    <n v="1735"/>
    <n v="20998"/>
    <n v="147803"/>
    <s v="MacBook Air M3 Campaign"/>
  </r>
  <r>
    <x v="74"/>
    <x v="2"/>
    <d v="2024-08-01T00:00:00"/>
    <x v="0"/>
    <x v="5"/>
    <n v="21758"/>
    <n v="1380"/>
    <n v="188"/>
    <n v="1735"/>
    <n v="20998"/>
    <n v="147803"/>
    <s v="MacBook Air M3 Campaign"/>
  </r>
  <r>
    <x v="75"/>
    <x v="3"/>
    <d v="2024-11-07T00:00:00"/>
    <x v="3"/>
    <x v="8"/>
    <n v="17254"/>
    <n v="246"/>
    <n v="952"/>
    <n v="871"/>
    <n v="14957"/>
    <n v="75946"/>
    <s v="MacBook Air M3 Campaign"/>
  </r>
  <r>
    <x v="76"/>
    <x v="1"/>
    <d v="2025-03-04T00:00:00"/>
    <x v="3"/>
    <x v="13"/>
    <n v="13470"/>
    <n v="523"/>
    <n v="280"/>
    <n v="2682"/>
    <n v="8538"/>
    <n v="95204"/>
    <s v="Apple Watch Ultra 2 Launch"/>
  </r>
  <r>
    <x v="76"/>
    <x v="1"/>
    <d v="2025-03-04T00:00:00"/>
    <x v="3"/>
    <x v="6"/>
    <n v="13470"/>
    <n v="523"/>
    <n v="280"/>
    <n v="2682"/>
    <n v="8538"/>
    <n v="95204"/>
    <s v="Apple Watch Ultra 2 Launch"/>
  </r>
  <r>
    <x v="77"/>
    <x v="1"/>
    <d v="2024-06-17T00:00:00"/>
    <x v="0"/>
    <x v="9"/>
    <n v="3252"/>
    <n v="1043"/>
    <n v="647"/>
    <n v="1545"/>
    <n v="18859"/>
    <n v="222958"/>
    <s v="Apple Watch Ultra 2 Launch"/>
  </r>
  <r>
    <x v="77"/>
    <x v="1"/>
    <d v="2024-06-17T00:00:00"/>
    <x v="0"/>
    <x v="10"/>
    <n v="3252"/>
    <n v="1043"/>
    <n v="647"/>
    <n v="1545"/>
    <n v="18859"/>
    <n v="222958"/>
    <s v="Apple Watch Ultra 2 Launch"/>
  </r>
  <r>
    <x v="78"/>
    <x v="0"/>
    <d v="2025-09-22T00:00:00"/>
    <x v="2"/>
    <x v="17"/>
    <n v="8996"/>
    <n v="329"/>
    <n v="378"/>
    <n v="2384"/>
    <n v="39404"/>
    <n v="242724"/>
    <s v="Apple Event September 2025"/>
  </r>
  <r>
    <x v="78"/>
    <x v="0"/>
    <d v="2025-09-22T00:00:00"/>
    <x v="2"/>
    <x v="18"/>
    <n v="8996"/>
    <n v="329"/>
    <n v="378"/>
    <n v="2384"/>
    <n v="39404"/>
    <n v="242724"/>
    <s v="Apple Event September 2025"/>
  </r>
  <r>
    <x v="79"/>
    <x v="1"/>
    <d v="2024-06-13T00:00:00"/>
    <x v="0"/>
    <x v="0"/>
    <n v="14173"/>
    <n v="294"/>
    <n v="257"/>
    <n v="1288"/>
    <n v="39466"/>
    <n v="55563"/>
    <s v="MacBook Air M3 Campaign"/>
  </r>
  <r>
    <x v="79"/>
    <x v="1"/>
    <d v="2024-06-13T00:00:00"/>
    <x v="0"/>
    <x v="1"/>
    <n v="14173"/>
    <n v="294"/>
    <n v="257"/>
    <n v="1288"/>
    <n v="39466"/>
    <n v="55563"/>
    <s v="MacBook Air M3 Campaign"/>
  </r>
  <r>
    <x v="80"/>
    <x v="0"/>
    <d v="2024-10-19T00:00:00"/>
    <x v="3"/>
    <x v="6"/>
    <n v="6673"/>
    <n v="826"/>
    <n v="321"/>
    <n v="577"/>
    <n v="19262"/>
    <n v="132324"/>
    <s v="MacBook Air M3 Campaign"/>
  </r>
  <r>
    <x v="80"/>
    <x v="0"/>
    <d v="2024-10-19T00:00:00"/>
    <x v="3"/>
    <x v="7"/>
    <n v="6673"/>
    <n v="826"/>
    <n v="321"/>
    <n v="577"/>
    <n v="19262"/>
    <n v="132324"/>
    <s v="MacBook Air M3 Campaign"/>
  </r>
  <r>
    <x v="81"/>
    <x v="1"/>
    <d v="2024-07-24T00:00:00"/>
    <x v="2"/>
    <x v="9"/>
    <n v="22914"/>
    <n v="954"/>
    <n v="584"/>
    <n v="1519"/>
    <n v="13637"/>
    <n v="49847"/>
    <s v="Apple Watch Ultra 2 Launch"/>
  </r>
  <r>
    <x v="81"/>
    <x v="1"/>
    <d v="2024-07-24T00:00:00"/>
    <x v="2"/>
    <x v="10"/>
    <n v="22914"/>
    <n v="954"/>
    <n v="584"/>
    <n v="1519"/>
    <n v="13637"/>
    <n v="49847"/>
    <s v="Apple Watch Ultra 2 Launch"/>
  </r>
  <r>
    <x v="82"/>
    <x v="2"/>
    <d v="2024-10-15T00:00:00"/>
    <x v="3"/>
    <x v="8"/>
    <n v="17781"/>
    <n v="993"/>
    <n v="627"/>
    <n v="2187"/>
    <n v="9609"/>
    <n v="66155"/>
    <s v="iPhone 16 Launch"/>
  </r>
  <r>
    <x v="83"/>
    <x v="1"/>
    <d v="2024-12-09T00:00:00"/>
    <x v="0"/>
    <x v="2"/>
    <n v="15051"/>
    <n v="268"/>
    <n v="251"/>
    <n v="783"/>
    <n v="34154"/>
    <n v="119671"/>
    <s v="iPhone 16 Launch"/>
  </r>
  <r>
    <x v="83"/>
    <x v="1"/>
    <d v="2024-12-09T00:00:00"/>
    <x v="0"/>
    <x v="3"/>
    <n v="15051"/>
    <n v="268"/>
    <n v="251"/>
    <n v="783"/>
    <n v="34154"/>
    <n v="119671"/>
    <s v="iPhone 16 Launch"/>
  </r>
  <r>
    <x v="84"/>
    <x v="0"/>
    <d v="2025-04-19T00:00:00"/>
    <x v="0"/>
    <x v="9"/>
    <n v="8881"/>
    <n v="210"/>
    <n v="673"/>
    <n v="1565"/>
    <n v="24847"/>
    <n v="156891"/>
    <s v="Sustainability Awareness Drive"/>
  </r>
  <r>
    <x v="84"/>
    <x v="0"/>
    <d v="2025-04-19T00:00:00"/>
    <x v="0"/>
    <x v="10"/>
    <n v="8881"/>
    <n v="210"/>
    <n v="673"/>
    <n v="1565"/>
    <n v="24847"/>
    <n v="156891"/>
    <s v="Sustainability Awareness Drive"/>
  </r>
  <r>
    <x v="85"/>
    <x v="0"/>
    <d v="2025-01-27T00:00:00"/>
    <x v="3"/>
    <x v="13"/>
    <n v="8949"/>
    <n v="1477"/>
    <n v="424"/>
    <n v="1030"/>
    <n v="58052"/>
    <n v="123310"/>
    <s v="Apple Watch Ultra 2 Launch"/>
  </r>
  <r>
    <x v="85"/>
    <x v="0"/>
    <d v="2025-01-27T00:00:00"/>
    <x v="3"/>
    <x v="6"/>
    <n v="8949"/>
    <n v="1477"/>
    <n v="424"/>
    <n v="1030"/>
    <n v="58052"/>
    <n v="123310"/>
    <s v="Apple Watch Ultra 2 Launch"/>
  </r>
  <r>
    <x v="86"/>
    <x v="3"/>
    <d v="2024-06-06T00:00:00"/>
    <x v="1"/>
    <x v="13"/>
    <n v="11521"/>
    <n v="1071"/>
    <n v="762"/>
    <n v="2539"/>
    <n v="12701"/>
    <n v="238350"/>
    <s v="Sustainability Awareness Drive"/>
  </r>
  <r>
    <x v="86"/>
    <x v="3"/>
    <d v="2024-06-06T00:00:00"/>
    <x v="1"/>
    <x v="6"/>
    <n v="11521"/>
    <n v="1071"/>
    <n v="762"/>
    <n v="2539"/>
    <n v="12701"/>
    <n v="238350"/>
    <s v="Sustainability Awareness Drive"/>
  </r>
  <r>
    <x v="87"/>
    <x v="2"/>
    <d v="2024-07-07T00:00:00"/>
    <x v="1"/>
    <x v="2"/>
    <n v="24625"/>
    <n v="749"/>
    <n v="193"/>
    <n v="1340"/>
    <n v="4890"/>
    <n v="189381"/>
    <s v="Apple Watch Ultra 2 Launch"/>
  </r>
  <r>
    <x v="87"/>
    <x v="2"/>
    <d v="2024-07-07T00:00:00"/>
    <x v="1"/>
    <x v="3"/>
    <n v="24625"/>
    <n v="749"/>
    <n v="193"/>
    <n v="1340"/>
    <n v="4890"/>
    <n v="189381"/>
    <s v="Apple Watch Ultra 2 Launch"/>
  </r>
  <r>
    <x v="88"/>
    <x v="1"/>
    <d v="2025-09-23T00:00:00"/>
    <x v="0"/>
    <x v="17"/>
    <n v="10017"/>
    <n v="1357"/>
    <n v="966"/>
    <n v="2871"/>
    <n v="14800"/>
    <n v="171691"/>
    <s v="Apple Event September 2025"/>
  </r>
  <r>
    <x v="88"/>
    <x v="1"/>
    <d v="2025-09-23T00:00:00"/>
    <x v="0"/>
    <x v="18"/>
    <n v="10017"/>
    <n v="1357"/>
    <n v="966"/>
    <n v="2871"/>
    <n v="14800"/>
    <n v="171691"/>
    <s v="Apple Event September 2025"/>
  </r>
  <r>
    <x v="89"/>
    <x v="3"/>
    <d v="2024-06-03T00:00:00"/>
    <x v="0"/>
    <x v="6"/>
    <n v="8941"/>
    <n v="911"/>
    <n v="166"/>
    <n v="1217"/>
    <n v="68817"/>
    <n v="221180"/>
    <s v="MacBook Air M3 Campaign"/>
  </r>
  <r>
    <x v="89"/>
    <x v="3"/>
    <d v="2024-06-03T00:00:00"/>
    <x v="0"/>
    <x v="14"/>
    <n v="8941"/>
    <n v="911"/>
    <n v="166"/>
    <n v="1217"/>
    <n v="68817"/>
    <n v="221180"/>
    <s v="MacBook Air M3 Campaign"/>
  </r>
  <r>
    <x v="90"/>
    <x v="1"/>
    <d v="2025-09-24T00:00:00"/>
    <x v="1"/>
    <x v="9"/>
    <n v="12209"/>
    <n v="222"/>
    <n v="479"/>
    <n v="2748"/>
    <n v="24615"/>
    <n v="74707"/>
    <s v="Apple Event September 2025"/>
  </r>
  <r>
    <x v="90"/>
    <x v="1"/>
    <d v="2025-09-24T00:00:00"/>
    <x v="1"/>
    <x v="10"/>
    <n v="12209"/>
    <n v="222"/>
    <n v="479"/>
    <n v="2748"/>
    <n v="24615"/>
    <n v="74707"/>
    <s v="Apple Event September 2025"/>
  </r>
  <r>
    <x v="91"/>
    <x v="1"/>
    <d v="2024-10-21T00:00:00"/>
    <x v="1"/>
    <x v="2"/>
    <n v="19715"/>
    <n v="1014"/>
    <n v="718"/>
    <n v="1185"/>
    <n v="37625"/>
    <n v="191409"/>
    <s v="Apple Watch Ultra 2 Launch"/>
  </r>
  <r>
    <x v="91"/>
    <x v="1"/>
    <d v="2024-10-21T00:00:00"/>
    <x v="1"/>
    <x v="3"/>
    <n v="19715"/>
    <n v="1014"/>
    <n v="718"/>
    <n v="1185"/>
    <n v="37625"/>
    <n v="191409"/>
    <s v="Apple Watch Ultra 2 Launch"/>
  </r>
  <r>
    <x v="92"/>
    <x v="3"/>
    <d v="2024-12-11T00:00:00"/>
    <x v="3"/>
    <x v="13"/>
    <n v="22645"/>
    <n v="545"/>
    <n v="972"/>
    <n v="321"/>
    <n v="8396"/>
    <n v="121537"/>
    <s v="MacBook Air M3 Campaign"/>
  </r>
  <r>
    <x v="92"/>
    <x v="3"/>
    <d v="2024-12-11T00:00:00"/>
    <x v="3"/>
    <x v="6"/>
    <n v="22645"/>
    <n v="545"/>
    <n v="972"/>
    <n v="321"/>
    <n v="8396"/>
    <n v="121537"/>
    <s v="MacBook Air M3 Campaign"/>
  </r>
  <r>
    <x v="93"/>
    <x v="3"/>
    <d v="2024-11-07T00:00:00"/>
    <x v="3"/>
    <x v="13"/>
    <n v="11550"/>
    <n v="501"/>
    <n v="646"/>
    <n v="773"/>
    <n v="17841"/>
    <n v="237576"/>
    <s v="iPhone 16 Launch"/>
  </r>
  <r>
    <x v="93"/>
    <x v="3"/>
    <d v="2024-11-07T00:00:00"/>
    <x v="3"/>
    <x v="6"/>
    <n v="11550"/>
    <n v="501"/>
    <n v="646"/>
    <n v="773"/>
    <n v="17841"/>
    <n v="237576"/>
    <s v="iPhone 16 Launch"/>
  </r>
  <r>
    <x v="94"/>
    <x v="3"/>
    <d v="2024-11-08T00:00:00"/>
    <x v="1"/>
    <x v="6"/>
    <n v="23499"/>
    <n v="562"/>
    <n v="964"/>
    <n v="2557"/>
    <n v="56890"/>
    <n v="218686"/>
    <s v="iPhone 16 Launch"/>
  </r>
  <r>
    <x v="94"/>
    <x v="3"/>
    <d v="2024-11-08T00:00:00"/>
    <x v="1"/>
    <x v="7"/>
    <n v="23499"/>
    <n v="562"/>
    <n v="964"/>
    <n v="2557"/>
    <n v="56890"/>
    <n v="218686"/>
    <s v="iPhone 16 Launch"/>
  </r>
  <r>
    <x v="95"/>
    <x v="3"/>
    <d v="2024-09-10T00:00:00"/>
    <x v="3"/>
    <x v="11"/>
    <n v="6637"/>
    <n v="595"/>
    <n v="161"/>
    <n v="2653"/>
    <n v="19334"/>
    <n v="131155"/>
    <s v="Sustainability Awareness Drive"/>
  </r>
  <r>
    <x v="95"/>
    <x v="3"/>
    <d v="2024-09-10T00:00:00"/>
    <x v="3"/>
    <x v="12"/>
    <n v="6637"/>
    <n v="595"/>
    <n v="161"/>
    <n v="2653"/>
    <n v="19334"/>
    <n v="131155"/>
    <s v="Sustainability Awareness Drive"/>
  </r>
  <r>
    <x v="96"/>
    <x v="3"/>
    <d v="2024-08-13T00:00:00"/>
    <x v="3"/>
    <x v="17"/>
    <n v="6854"/>
    <n v="417"/>
    <n v="467"/>
    <n v="1003"/>
    <n v="61333"/>
    <n v="40281"/>
    <s v="Apple Watch Ultra 2 Launch"/>
  </r>
  <r>
    <x v="96"/>
    <x v="3"/>
    <d v="2024-08-13T00:00:00"/>
    <x v="3"/>
    <x v="18"/>
    <n v="6854"/>
    <n v="417"/>
    <n v="467"/>
    <n v="1003"/>
    <n v="61333"/>
    <n v="40281"/>
    <s v="Apple Watch Ultra 2 Launch"/>
  </r>
  <r>
    <x v="97"/>
    <x v="1"/>
    <d v="2024-06-10T00:00:00"/>
    <x v="2"/>
    <x v="9"/>
    <n v="21561"/>
    <n v="340"/>
    <n v="741"/>
    <n v="986"/>
    <n v="24826"/>
    <n v="198492"/>
    <s v="Apple Watch Ultra 2 Launch"/>
  </r>
  <r>
    <x v="97"/>
    <x v="1"/>
    <d v="2024-06-10T00:00:00"/>
    <x v="2"/>
    <x v="10"/>
    <n v="21561"/>
    <n v="340"/>
    <n v="741"/>
    <n v="986"/>
    <n v="24826"/>
    <n v="198492"/>
    <s v="Apple Watch Ultra 2 Launch"/>
  </r>
  <r>
    <x v="98"/>
    <x v="3"/>
    <d v="2024-07-02T00:00:00"/>
    <x v="3"/>
    <x v="9"/>
    <n v="12320"/>
    <n v="1157"/>
    <n v="365"/>
    <n v="584"/>
    <n v="66634"/>
    <n v="210102"/>
    <s v="iPhone 16 Launch"/>
  </r>
  <r>
    <x v="98"/>
    <x v="3"/>
    <d v="2024-07-02T00:00:00"/>
    <x v="3"/>
    <x v="10"/>
    <n v="12320"/>
    <n v="1157"/>
    <n v="365"/>
    <n v="584"/>
    <n v="66634"/>
    <n v="210102"/>
    <s v="iPhone 16 Launch"/>
  </r>
  <r>
    <x v="99"/>
    <x v="2"/>
    <d v="2025-09-25T00:00:00"/>
    <x v="0"/>
    <x v="8"/>
    <n v="20564"/>
    <n v="1433"/>
    <n v="488"/>
    <n v="1015"/>
    <n v="24333"/>
    <n v="172130"/>
    <s v="Apple Event September 2025"/>
  </r>
  <r>
    <x v="100"/>
    <x v="0"/>
    <d v="2024-10-18T00:00:00"/>
    <x v="3"/>
    <x v="2"/>
    <n v="6892"/>
    <n v="1184"/>
    <n v="925"/>
    <n v="1062"/>
    <n v="75008"/>
    <n v="116260"/>
    <s v="MacBook Air M3 Campaign"/>
  </r>
  <r>
    <x v="100"/>
    <x v="0"/>
    <d v="2024-10-18T00:00:00"/>
    <x v="3"/>
    <x v="3"/>
    <n v="6892"/>
    <n v="1184"/>
    <n v="925"/>
    <n v="1062"/>
    <n v="75008"/>
    <n v="116260"/>
    <s v="MacBook Air M3 Campaign"/>
  </r>
  <r>
    <x v="101"/>
    <x v="3"/>
    <d v="2025-09-26T00:00:00"/>
    <x v="3"/>
    <x v="8"/>
    <n v="9043"/>
    <n v="1192"/>
    <n v="810"/>
    <n v="1550"/>
    <n v="5221"/>
    <n v="199476"/>
    <s v="Apple Event September 2025"/>
  </r>
  <r>
    <x v="102"/>
    <x v="3"/>
    <d v="2025-09-27T00:00:00"/>
    <x v="1"/>
    <x v="2"/>
    <n v="18521"/>
    <n v="1027"/>
    <n v="230"/>
    <n v="1247"/>
    <n v="39588"/>
    <n v="200928"/>
    <s v="Apple Event September 2025"/>
  </r>
  <r>
    <x v="102"/>
    <x v="3"/>
    <d v="2025-09-27T00:00:00"/>
    <x v="1"/>
    <x v="3"/>
    <n v="18521"/>
    <n v="1027"/>
    <n v="230"/>
    <n v="1247"/>
    <n v="39588"/>
    <n v="200928"/>
    <s v="Apple Event September 2025"/>
  </r>
  <r>
    <x v="103"/>
    <x v="1"/>
    <d v="2025-03-23T00:00:00"/>
    <x v="0"/>
    <x v="4"/>
    <n v="24711"/>
    <n v="882"/>
    <n v="876"/>
    <n v="2728"/>
    <n v="32015"/>
    <n v="180272"/>
    <s v="iPhone 16 Launch"/>
  </r>
  <r>
    <x v="103"/>
    <x v="1"/>
    <d v="2025-03-23T00:00:00"/>
    <x v="0"/>
    <x v="5"/>
    <n v="24711"/>
    <n v="882"/>
    <n v="876"/>
    <n v="2728"/>
    <n v="32015"/>
    <n v="180272"/>
    <s v="iPhone 16 Launch"/>
  </r>
  <r>
    <x v="104"/>
    <x v="3"/>
    <d v="2024-06-14T00:00:00"/>
    <x v="3"/>
    <x v="13"/>
    <n v="21856"/>
    <n v="1203"/>
    <n v="634"/>
    <n v="2807"/>
    <n v="3647"/>
    <n v="104178"/>
    <s v="iPhone 16 Launch"/>
  </r>
  <r>
    <x v="104"/>
    <x v="3"/>
    <d v="2024-06-14T00:00:00"/>
    <x v="3"/>
    <x v="6"/>
    <n v="21856"/>
    <n v="1203"/>
    <n v="634"/>
    <n v="2807"/>
    <n v="3647"/>
    <n v="104178"/>
    <s v="iPhone 16 Launch"/>
  </r>
  <r>
    <x v="105"/>
    <x v="3"/>
    <d v="2025-02-04T00:00:00"/>
    <x v="3"/>
    <x v="11"/>
    <n v="23833"/>
    <n v="555"/>
    <n v="523"/>
    <n v="1330"/>
    <n v="69141"/>
    <n v="73997"/>
    <s v="iPhone 16 Launch"/>
  </r>
  <r>
    <x v="105"/>
    <x v="3"/>
    <d v="2025-02-04T00:00:00"/>
    <x v="3"/>
    <x v="12"/>
    <n v="23833"/>
    <n v="555"/>
    <n v="523"/>
    <n v="1330"/>
    <n v="69141"/>
    <n v="73997"/>
    <s v="iPhone 16 Launch"/>
  </r>
  <r>
    <x v="106"/>
    <x v="3"/>
    <d v="2024-06-21T00:00:00"/>
    <x v="2"/>
    <x v="6"/>
    <n v="21216"/>
    <n v="1207"/>
    <n v="859"/>
    <n v="328"/>
    <n v="91296"/>
    <n v="196683"/>
    <s v="Sustainability Awareness Drive"/>
  </r>
  <r>
    <x v="106"/>
    <x v="3"/>
    <d v="2024-06-21T00:00:00"/>
    <x v="2"/>
    <x v="7"/>
    <n v="21216"/>
    <n v="1207"/>
    <n v="859"/>
    <n v="328"/>
    <n v="91296"/>
    <n v="196683"/>
    <s v="Sustainability Awareness Drive"/>
  </r>
  <r>
    <x v="107"/>
    <x v="1"/>
    <d v="2025-09-28T00:00:00"/>
    <x v="3"/>
    <x v="11"/>
    <n v="21963"/>
    <n v="1356"/>
    <n v="349"/>
    <n v="1206"/>
    <n v="51755"/>
    <n v="159273"/>
    <s v="Apple Event September 2025"/>
  </r>
  <r>
    <x v="107"/>
    <x v="1"/>
    <d v="2025-09-28T00:00:00"/>
    <x v="3"/>
    <x v="12"/>
    <n v="21963"/>
    <n v="1356"/>
    <n v="349"/>
    <n v="1206"/>
    <n v="51755"/>
    <n v="159273"/>
    <s v="Apple Event September 2025"/>
  </r>
  <r>
    <x v="108"/>
    <x v="3"/>
    <d v="2024-08-08T00:00:00"/>
    <x v="3"/>
    <x v="11"/>
    <n v="24355"/>
    <n v="1087"/>
    <n v="686"/>
    <n v="2426"/>
    <n v="24963"/>
    <n v="212307"/>
    <s v="Apple Watch Ultra 2 Launch"/>
  </r>
  <r>
    <x v="108"/>
    <x v="3"/>
    <d v="2024-08-08T00:00:00"/>
    <x v="3"/>
    <x v="12"/>
    <n v="24355"/>
    <n v="1087"/>
    <n v="686"/>
    <n v="2426"/>
    <n v="24963"/>
    <n v="212307"/>
    <s v="Apple Watch Ultra 2 Launch"/>
  </r>
  <r>
    <x v="109"/>
    <x v="0"/>
    <d v="2024-07-29T00:00:00"/>
    <x v="2"/>
    <x v="11"/>
    <n v="6164"/>
    <n v="326"/>
    <n v="615"/>
    <n v="2806"/>
    <n v="38579"/>
    <n v="206129"/>
    <s v="MacBook Air M3 Campaign"/>
  </r>
  <r>
    <x v="109"/>
    <x v="0"/>
    <d v="2024-07-29T00:00:00"/>
    <x v="2"/>
    <x v="12"/>
    <n v="6164"/>
    <n v="326"/>
    <n v="615"/>
    <n v="2806"/>
    <n v="38579"/>
    <n v="206129"/>
    <s v="MacBook Air M3 Campaign"/>
  </r>
  <r>
    <x v="110"/>
    <x v="1"/>
    <d v="2024-11-23T00:00:00"/>
    <x v="1"/>
    <x v="8"/>
    <n v="9941"/>
    <n v="1329"/>
    <n v="238"/>
    <n v="869"/>
    <n v="40281"/>
    <n v="172311"/>
    <s v="Sustainability Awareness Drive"/>
  </r>
  <r>
    <x v="111"/>
    <x v="0"/>
    <d v="2024-10-05T00:00:00"/>
    <x v="3"/>
    <x v="2"/>
    <n v="16388"/>
    <n v="1208"/>
    <n v="417"/>
    <n v="2306"/>
    <n v="16865"/>
    <n v="236733"/>
    <s v="Apple Watch Ultra 2 Launch"/>
  </r>
  <r>
    <x v="111"/>
    <x v="0"/>
    <d v="2024-10-05T00:00:00"/>
    <x v="3"/>
    <x v="3"/>
    <n v="16388"/>
    <n v="1208"/>
    <n v="417"/>
    <n v="2306"/>
    <n v="16865"/>
    <n v="236733"/>
    <s v="Apple Watch Ultra 2 Launch"/>
  </r>
  <r>
    <x v="112"/>
    <x v="1"/>
    <d v="2025-09-29T00:00:00"/>
    <x v="2"/>
    <x v="15"/>
    <n v="7569"/>
    <n v="803"/>
    <n v="804"/>
    <n v="1753"/>
    <n v="43582"/>
    <n v="166945"/>
    <s v="Apple Event September 2025"/>
  </r>
  <r>
    <x v="112"/>
    <x v="1"/>
    <d v="2025-09-29T00:00:00"/>
    <x v="2"/>
    <x v="8"/>
    <n v="7569"/>
    <n v="803"/>
    <n v="804"/>
    <n v="1753"/>
    <n v="43582"/>
    <n v="166945"/>
    <s v="Apple Event September 2025"/>
  </r>
  <r>
    <x v="113"/>
    <x v="3"/>
    <d v="2024-11-14T00:00:00"/>
    <x v="0"/>
    <x v="4"/>
    <n v="6300"/>
    <n v="1213"/>
    <n v="720"/>
    <n v="1037"/>
    <n v="39569"/>
    <n v="85272"/>
    <s v="iPhone 16 Launch"/>
  </r>
  <r>
    <x v="113"/>
    <x v="3"/>
    <d v="2024-11-14T00:00:00"/>
    <x v="0"/>
    <x v="5"/>
    <n v="6300"/>
    <n v="1213"/>
    <n v="720"/>
    <n v="1037"/>
    <n v="39569"/>
    <n v="85272"/>
    <s v="iPhone 16 Launch"/>
  </r>
  <r>
    <x v="114"/>
    <x v="0"/>
    <d v="2025-09-30T00:00:00"/>
    <x v="1"/>
    <x v="0"/>
    <n v="8269"/>
    <n v="250"/>
    <n v="638"/>
    <n v="815"/>
    <n v="41991"/>
    <n v="129393"/>
    <s v="Apple Event September 2025"/>
  </r>
  <r>
    <x v="114"/>
    <x v="0"/>
    <d v="2025-09-30T00:00:00"/>
    <x v="1"/>
    <x v="1"/>
    <n v="8269"/>
    <n v="250"/>
    <n v="638"/>
    <n v="815"/>
    <n v="41991"/>
    <n v="129393"/>
    <s v="Apple Event September 2025"/>
  </r>
  <r>
    <x v="115"/>
    <x v="1"/>
    <d v="2025-03-18T00:00:00"/>
    <x v="0"/>
    <x v="11"/>
    <n v="5818"/>
    <n v="1252"/>
    <n v="687"/>
    <n v="2300"/>
    <n v="25081"/>
    <n v="101212"/>
    <s v="MacBook Air M3 Campaign"/>
  </r>
  <r>
    <x v="115"/>
    <x v="1"/>
    <d v="2025-03-18T00:00:00"/>
    <x v="0"/>
    <x v="12"/>
    <n v="5818"/>
    <n v="1252"/>
    <n v="687"/>
    <n v="2300"/>
    <n v="25081"/>
    <n v="101212"/>
    <s v="MacBook Air M3 Campaign"/>
  </r>
  <r>
    <x v="116"/>
    <x v="2"/>
    <d v="2024-11-04T00:00:00"/>
    <x v="0"/>
    <x v="6"/>
    <n v="14015"/>
    <n v="978"/>
    <n v="196"/>
    <n v="2744"/>
    <n v="20190"/>
    <n v="186470"/>
    <s v="Sustainability Awareness Drive"/>
  </r>
  <r>
    <x v="116"/>
    <x v="2"/>
    <d v="2024-11-04T00:00:00"/>
    <x v="0"/>
    <x v="14"/>
    <n v="14015"/>
    <n v="978"/>
    <n v="196"/>
    <n v="2744"/>
    <n v="20190"/>
    <n v="186470"/>
    <s v="Sustainability Awareness Drive"/>
  </r>
  <r>
    <x v="117"/>
    <x v="3"/>
    <d v="2024-11-04T00:00:00"/>
    <x v="2"/>
    <x v="8"/>
    <n v="14234"/>
    <n v="1013"/>
    <n v="437"/>
    <n v="338"/>
    <n v="67754"/>
    <n v="160030"/>
    <s v="Sustainability Awareness Drive"/>
  </r>
  <r>
    <x v="118"/>
    <x v="1"/>
    <d v="2025-02-07T00:00:00"/>
    <x v="3"/>
    <x v="17"/>
    <n v="20290"/>
    <n v="619"/>
    <n v="927"/>
    <n v="1186"/>
    <n v="8924"/>
    <n v="96503"/>
    <s v="MacBook Air M3 Campaign"/>
  </r>
  <r>
    <x v="118"/>
    <x v="1"/>
    <d v="2025-02-07T00:00:00"/>
    <x v="3"/>
    <x v="18"/>
    <n v="20290"/>
    <n v="619"/>
    <n v="927"/>
    <n v="1186"/>
    <n v="8924"/>
    <n v="96503"/>
    <s v="MacBook Air M3 Campaign"/>
  </r>
  <r>
    <x v="119"/>
    <x v="2"/>
    <d v="2024-10-21T00:00:00"/>
    <x v="2"/>
    <x v="6"/>
    <n v="8254"/>
    <n v="1405"/>
    <n v="165"/>
    <n v="2504"/>
    <n v="8081"/>
    <n v="177710"/>
    <s v="Apple Watch Ultra 2 Launch"/>
  </r>
  <r>
    <x v="119"/>
    <x v="2"/>
    <d v="2024-10-21T00:00:00"/>
    <x v="2"/>
    <x v="7"/>
    <n v="8254"/>
    <n v="1405"/>
    <n v="165"/>
    <n v="2504"/>
    <n v="8081"/>
    <n v="177710"/>
    <s v="Apple Watch Ultra 2 Launch"/>
  </r>
  <r>
    <x v="120"/>
    <x v="1"/>
    <d v="2024-07-29T00:00:00"/>
    <x v="2"/>
    <x v="0"/>
    <n v="19144"/>
    <n v="1182"/>
    <n v="860"/>
    <n v="1398"/>
    <n v="4185"/>
    <n v="46570"/>
    <s v="Apple Watch Ultra 2 Launch"/>
  </r>
  <r>
    <x v="120"/>
    <x v="1"/>
    <d v="2024-07-29T00:00:00"/>
    <x v="2"/>
    <x v="1"/>
    <n v="19144"/>
    <n v="1182"/>
    <n v="860"/>
    <n v="1398"/>
    <n v="4185"/>
    <n v="46570"/>
    <s v="Apple Watch Ultra 2 Launch"/>
  </r>
  <r>
    <x v="121"/>
    <x v="2"/>
    <d v="2024-10-02T00:00:00"/>
    <x v="2"/>
    <x v="15"/>
    <n v="9350"/>
    <n v="1024"/>
    <n v="550"/>
    <n v="2123"/>
    <n v="53916"/>
    <n v="108785"/>
    <s v="Sustainability Awareness Drive"/>
  </r>
  <r>
    <x v="121"/>
    <x v="2"/>
    <d v="2024-10-02T00:00:00"/>
    <x v="2"/>
    <x v="8"/>
    <n v="9350"/>
    <n v="1024"/>
    <n v="550"/>
    <n v="2123"/>
    <n v="53916"/>
    <n v="108785"/>
    <s v="Sustainability Awareness Drive"/>
  </r>
  <r>
    <x v="122"/>
    <x v="3"/>
    <d v="2024-06-14T00:00:00"/>
    <x v="2"/>
    <x v="6"/>
    <n v="17183"/>
    <n v="1224"/>
    <n v="943"/>
    <n v="2010"/>
    <n v="21481"/>
    <n v="49110"/>
    <s v="Sustainability Awareness Drive"/>
  </r>
  <r>
    <x v="122"/>
    <x v="3"/>
    <d v="2024-06-14T00:00:00"/>
    <x v="2"/>
    <x v="14"/>
    <n v="17183"/>
    <n v="1224"/>
    <n v="943"/>
    <n v="2010"/>
    <n v="21481"/>
    <n v="49110"/>
    <s v="Sustainability Awareness Drive"/>
  </r>
  <r>
    <x v="123"/>
    <x v="0"/>
    <d v="2025-04-06T00:00:00"/>
    <x v="1"/>
    <x v="15"/>
    <n v="8238"/>
    <n v="766"/>
    <n v="235"/>
    <n v="1273"/>
    <n v="4706"/>
    <n v="119141"/>
    <s v="iPhone 16 Launch"/>
  </r>
  <r>
    <x v="123"/>
    <x v="0"/>
    <d v="2025-04-06T00:00:00"/>
    <x v="1"/>
    <x v="8"/>
    <n v="8238"/>
    <n v="766"/>
    <n v="235"/>
    <n v="1273"/>
    <n v="4706"/>
    <n v="119141"/>
    <s v="iPhone 16 Launch"/>
  </r>
  <r>
    <x v="124"/>
    <x v="2"/>
    <d v="2024-09-08T00:00:00"/>
    <x v="3"/>
    <x v="0"/>
    <n v="8090"/>
    <n v="570"/>
    <n v="399"/>
    <n v="1862"/>
    <n v="34088"/>
    <n v="52115"/>
    <s v="Apple Watch Ultra 2 Launch"/>
  </r>
  <r>
    <x v="124"/>
    <x v="2"/>
    <d v="2024-09-08T00:00:00"/>
    <x v="3"/>
    <x v="1"/>
    <n v="8090"/>
    <n v="570"/>
    <n v="399"/>
    <n v="1862"/>
    <n v="34088"/>
    <n v="52115"/>
    <s v="Apple Watch Ultra 2 Launch"/>
  </r>
  <r>
    <x v="125"/>
    <x v="1"/>
    <d v="2025-03-28T00:00:00"/>
    <x v="0"/>
    <x v="11"/>
    <n v="13637"/>
    <n v="1135"/>
    <n v="540"/>
    <n v="1288"/>
    <n v="45183"/>
    <n v="79062"/>
    <s v="MacBook Air M3 Campaign"/>
  </r>
  <r>
    <x v="125"/>
    <x v="1"/>
    <d v="2025-03-28T00:00:00"/>
    <x v="0"/>
    <x v="12"/>
    <n v="13637"/>
    <n v="1135"/>
    <n v="540"/>
    <n v="1288"/>
    <n v="45183"/>
    <n v="79062"/>
    <s v="MacBook Air M3 Campaign"/>
  </r>
  <r>
    <x v="126"/>
    <x v="3"/>
    <d v="2025-01-27T00:00:00"/>
    <x v="0"/>
    <x v="6"/>
    <n v="24415"/>
    <n v="860"/>
    <n v="931"/>
    <n v="320"/>
    <n v="65049"/>
    <n v="62911"/>
    <s v="Apple Watch Ultra 2 Launch"/>
  </r>
  <r>
    <x v="126"/>
    <x v="3"/>
    <d v="2025-01-27T00:00:00"/>
    <x v="0"/>
    <x v="14"/>
    <n v="24415"/>
    <n v="860"/>
    <n v="931"/>
    <n v="320"/>
    <n v="65049"/>
    <n v="62911"/>
    <s v="Apple Watch Ultra 2 Launch"/>
  </r>
  <r>
    <x v="127"/>
    <x v="2"/>
    <d v="2025-01-10T00:00:00"/>
    <x v="3"/>
    <x v="15"/>
    <n v="14647"/>
    <n v="1168"/>
    <n v="484"/>
    <n v="2650"/>
    <n v="27217"/>
    <n v="144061"/>
    <s v="iPhone 16 Launch"/>
  </r>
  <r>
    <x v="127"/>
    <x v="2"/>
    <d v="2025-01-10T00:00:00"/>
    <x v="3"/>
    <x v="8"/>
    <n v="14647"/>
    <n v="1168"/>
    <n v="484"/>
    <n v="2650"/>
    <n v="27217"/>
    <n v="144061"/>
    <s v="iPhone 16 Launch"/>
  </r>
  <r>
    <x v="128"/>
    <x v="1"/>
    <d v="2024-07-21T00:00:00"/>
    <x v="0"/>
    <x v="6"/>
    <n v="11911"/>
    <n v="1360"/>
    <n v="778"/>
    <n v="1168"/>
    <n v="16483"/>
    <n v="72556"/>
    <s v="Sustainability Awareness Drive"/>
  </r>
  <r>
    <x v="128"/>
    <x v="1"/>
    <d v="2024-07-21T00:00:00"/>
    <x v="0"/>
    <x v="7"/>
    <n v="11911"/>
    <n v="1360"/>
    <n v="778"/>
    <n v="1168"/>
    <n v="16483"/>
    <n v="72556"/>
    <s v="Sustainability Awareness Drive"/>
  </r>
  <r>
    <x v="129"/>
    <x v="1"/>
    <d v="2024-09-29T00:00:00"/>
    <x v="3"/>
    <x v="2"/>
    <n v="10472"/>
    <n v="401"/>
    <n v="668"/>
    <n v="383"/>
    <n v="37571"/>
    <n v="249203"/>
    <s v="Sustainability Awareness Drive"/>
  </r>
  <r>
    <x v="129"/>
    <x v="1"/>
    <d v="2024-09-29T00:00:00"/>
    <x v="3"/>
    <x v="3"/>
    <n v="10472"/>
    <n v="401"/>
    <n v="668"/>
    <n v="383"/>
    <n v="37571"/>
    <n v="249203"/>
    <s v="Sustainability Awareness Drive"/>
  </r>
  <r>
    <x v="130"/>
    <x v="1"/>
    <d v="2024-10-21T00:00:00"/>
    <x v="0"/>
    <x v="13"/>
    <n v="20271"/>
    <n v="512"/>
    <n v="286"/>
    <n v="1982"/>
    <n v="43225"/>
    <n v="168335"/>
    <s v="iPhone 16 Launch"/>
  </r>
  <r>
    <x v="130"/>
    <x v="1"/>
    <d v="2024-10-21T00:00:00"/>
    <x v="0"/>
    <x v="6"/>
    <n v="20271"/>
    <n v="512"/>
    <n v="286"/>
    <n v="1982"/>
    <n v="43225"/>
    <n v="168335"/>
    <s v="iPhone 16 Launch"/>
  </r>
  <r>
    <x v="131"/>
    <x v="2"/>
    <d v="2025-03-04T00:00:00"/>
    <x v="2"/>
    <x v="2"/>
    <n v="5266"/>
    <n v="316"/>
    <n v="837"/>
    <n v="2276"/>
    <n v="20967"/>
    <n v="41969"/>
    <s v="MacBook Air M3 Campaign"/>
  </r>
  <r>
    <x v="131"/>
    <x v="2"/>
    <d v="2025-03-04T00:00:00"/>
    <x v="2"/>
    <x v="3"/>
    <n v="5266"/>
    <n v="316"/>
    <n v="837"/>
    <n v="2276"/>
    <n v="20967"/>
    <n v="41969"/>
    <s v="MacBook Air M3 Campaign"/>
  </r>
  <r>
    <x v="132"/>
    <x v="2"/>
    <d v="2025-02-06T00:00:00"/>
    <x v="0"/>
    <x v="0"/>
    <n v="2666"/>
    <n v="1136"/>
    <n v="989"/>
    <n v="1710"/>
    <n v="36467"/>
    <n v="83753"/>
    <s v="Sustainability Awareness Drive"/>
  </r>
  <r>
    <x v="132"/>
    <x v="2"/>
    <d v="2025-02-06T00:00:00"/>
    <x v="0"/>
    <x v="1"/>
    <n v="2666"/>
    <n v="1136"/>
    <n v="989"/>
    <n v="1710"/>
    <n v="36467"/>
    <n v="83753"/>
    <s v="Sustainability Awareness Drive"/>
  </r>
  <r>
    <x v="133"/>
    <x v="2"/>
    <d v="2025-10-01T00:00:00"/>
    <x v="3"/>
    <x v="8"/>
    <n v="6188"/>
    <n v="774"/>
    <n v="647"/>
    <n v="1830"/>
    <n v="55436"/>
    <n v="175542"/>
    <s v="Apple Event September 2025"/>
  </r>
  <r>
    <x v="134"/>
    <x v="0"/>
    <d v="2024-11-28T00:00:00"/>
    <x v="3"/>
    <x v="13"/>
    <n v="19055"/>
    <n v="443"/>
    <n v="976"/>
    <n v="869"/>
    <n v="75437"/>
    <n v="161863"/>
    <s v="Sustainability Awareness Drive"/>
  </r>
  <r>
    <x v="134"/>
    <x v="0"/>
    <d v="2024-11-28T00:00:00"/>
    <x v="3"/>
    <x v="6"/>
    <n v="19055"/>
    <n v="443"/>
    <n v="976"/>
    <n v="869"/>
    <n v="75437"/>
    <n v="161863"/>
    <s v="Sustainability Awareness Drive"/>
  </r>
  <r>
    <x v="135"/>
    <x v="2"/>
    <d v="2025-10-02T00:00:00"/>
    <x v="3"/>
    <x v="4"/>
    <n v="12161"/>
    <n v="736"/>
    <n v="876"/>
    <n v="1233"/>
    <n v="21337"/>
    <n v="50225"/>
    <s v="Apple Event September 2025"/>
  </r>
  <r>
    <x v="135"/>
    <x v="2"/>
    <d v="2025-10-02T00:00:00"/>
    <x v="3"/>
    <x v="5"/>
    <n v="12161"/>
    <n v="736"/>
    <n v="876"/>
    <n v="1233"/>
    <n v="21337"/>
    <n v="50225"/>
    <s v="Apple Event September 2025"/>
  </r>
  <r>
    <x v="136"/>
    <x v="2"/>
    <d v="2024-07-31T00:00:00"/>
    <x v="3"/>
    <x v="6"/>
    <n v="13314"/>
    <n v="274"/>
    <n v="626"/>
    <n v="2280"/>
    <n v="14639"/>
    <n v="163008"/>
    <s v="iPhone 16 Launch"/>
  </r>
  <r>
    <x v="136"/>
    <x v="2"/>
    <d v="2024-07-31T00:00:00"/>
    <x v="3"/>
    <x v="7"/>
    <n v="13314"/>
    <n v="274"/>
    <n v="626"/>
    <n v="2280"/>
    <n v="14639"/>
    <n v="163008"/>
    <s v="iPhone 16 Launch"/>
  </r>
  <r>
    <x v="137"/>
    <x v="2"/>
    <d v="2025-03-29T00:00:00"/>
    <x v="3"/>
    <x v="4"/>
    <n v="23508"/>
    <n v="585"/>
    <n v="743"/>
    <n v="2155"/>
    <n v="3704"/>
    <n v="194268"/>
    <s v="iPhone 16 Launch"/>
  </r>
  <r>
    <x v="137"/>
    <x v="2"/>
    <d v="2025-03-29T00:00:00"/>
    <x v="3"/>
    <x v="5"/>
    <n v="23508"/>
    <n v="585"/>
    <n v="743"/>
    <n v="2155"/>
    <n v="3704"/>
    <n v="194268"/>
    <s v="iPhone 16 Launch"/>
  </r>
  <r>
    <x v="138"/>
    <x v="0"/>
    <d v="2024-10-29T00:00:00"/>
    <x v="1"/>
    <x v="6"/>
    <n v="23969"/>
    <n v="1433"/>
    <n v="372"/>
    <n v="1092"/>
    <n v="32147"/>
    <n v="145823"/>
    <s v="Sustainability Awareness Drive"/>
  </r>
  <r>
    <x v="138"/>
    <x v="0"/>
    <d v="2024-10-29T00:00:00"/>
    <x v="1"/>
    <x v="14"/>
    <n v="23969"/>
    <n v="1433"/>
    <n v="372"/>
    <n v="1092"/>
    <n v="32147"/>
    <n v="145823"/>
    <s v="Sustainability Awareness Drive"/>
  </r>
  <r>
    <x v="139"/>
    <x v="2"/>
    <d v="2024-07-15T00:00:00"/>
    <x v="1"/>
    <x v="9"/>
    <n v="14891"/>
    <n v="674"/>
    <n v="521"/>
    <n v="1091"/>
    <n v="18101"/>
    <n v="53669"/>
    <s v="Apple Watch Ultra 2 Launch"/>
  </r>
  <r>
    <x v="139"/>
    <x v="2"/>
    <d v="2024-07-15T00:00:00"/>
    <x v="1"/>
    <x v="10"/>
    <n v="14891"/>
    <n v="674"/>
    <n v="521"/>
    <n v="1091"/>
    <n v="18101"/>
    <n v="53669"/>
    <s v="Apple Watch Ultra 2 Launch"/>
  </r>
  <r>
    <x v="140"/>
    <x v="1"/>
    <d v="2025-10-03T00:00:00"/>
    <x v="0"/>
    <x v="13"/>
    <n v="6777"/>
    <n v="617"/>
    <n v="551"/>
    <n v="2109"/>
    <n v="18559"/>
    <n v="208452"/>
    <s v="Apple Event September 2025"/>
  </r>
  <r>
    <x v="140"/>
    <x v="1"/>
    <d v="2025-10-03T00:00:00"/>
    <x v="0"/>
    <x v="6"/>
    <n v="6777"/>
    <n v="617"/>
    <n v="551"/>
    <n v="2109"/>
    <n v="18559"/>
    <n v="208452"/>
    <s v="Apple Event September 2025"/>
  </r>
  <r>
    <x v="141"/>
    <x v="2"/>
    <d v="2025-03-25T00:00:00"/>
    <x v="3"/>
    <x v="4"/>
    <n v="5900"/>
    <n v="546"/>
    <n v="592"/>
    <n v="1594"/>
    <n v="38627"/>
    <n v="164398"/>
    <s v="MacBook Air M3 Campaign"/>
  </r>
  <r>
    <x v="141"/>
    <x v="2"/>
    <d v="2025-03-25T00:00:00"/>
    <x v="3"/>
    <x v="5"/>
    <n v="5900"/>
    <n v="546"/>
    <n v="592"/>
    <n v="1594"/>
    <n v="38627"/>
    <n v="164398"/>
    <s v="MacBook Air M3 Campaign"/>
  </r>
  <r>
    <x v="142"/>
    <x v="1"/>
    <d v="2024-10-02T00:00:00"/>
    <x v="0"/>
    <x v="4"/>
    <n v="15716"/>
    <n v="839"/>
    <n v="639"/>
    <n v="2839"/>
    <n v="349"/>
    <n v="150677"/>
    <s v="Sustainability Awareness Drive"/>
  </r>
  <r>
    <x v="142"/>
    <x v="1"/>
    <d v="2024-10-02T00:00:00"/>
    <x v="0"/>
    <x v="5"/>
    <n v="15716"/>
    <n v="839"/>
    <n v="639"/>
    <n v="2839"/>
    <n v="349"/>
    <n v="150677"/>
    <s v="Sustainability Awareness Drive"/>
  </r>
  <r>
    <x v="143"/>
    <x v="1"/>
    <d v="2024-10-28T00:00:00"/>
    <x v="3"/>
    <x v="15"/>
    <n v="8981"/>
    <n v="1138"/>
    <n v="764"/>
    <n v="2555"/>
    <n v="92810"/>
    <n v="88320"/>
    <s v="MacBook Air M3 Campaign"/>
  </r>
  <r>
    <x v="143"/>
    <x v="1"/>
    <d v="2024-10-28T00:00:00"/>
    <x v="3"/>
    <x v="8"/>
    <n v="8981"/>
    <n v="1138"/>
    <n v="764"/>
    <n v="2555"/>
    <n v="92810"/>
    <n v="88320"/>
    <s v="MacBook Air M3 Campaign"/>
  </r>
  <r>
    <x v="144"/>
    <x v="1"/>
    <d v="2024-08-12T00:00:00"/>
    <x v="3"/>
    <x v="2"/>
    <n v="8376"/>
    <n v="1154"/>
    <n v="422"/>
    <n v="1907"/>
    <n v="36874"/>
    <n v="218486"/>
    <s v="Sustainability Awareness Drive"/>
  </r>
  <r>
    <x v="144"/>
    <x v="1"/>
    <d v="2024-08-12T00:00:00"/>
    <x v="3"/>
    <x v="3"/>
    <n v="8376"/>
    <n v="1154"/>
    <n v="422"/>
    <n v="1907"/>
    <n v="36874"/>
    <n v="218486"/>
    <s v="Sustainability Awareness Drive"/>
  </r>
  <r>
    <x v="145"/>
    <x v="0"/>
    <d v="2024-06-05T00:00:00"/>
    <x v="1"/>
    <x v="15"/>
    <n v="18907"/>
    <n v="1075"/>
    <n v="675"/>
    <n v="1383"/>
    <n v="17875"/>
    <n v="186649"/>
    <s v="Apple Watch Ultra 2 Launch"/>
  </r>
  <r>
    <x v="145"/>
    <x v="0"/>
    <d v="2024-06-05T00:00:00"/>
    <x v="1"/>
    <x v="8"/>
    <n v="18907"/>
    <n v="1075"/>
    <n v="675"/>
    <n v="1383"/>
    <n v="17875"/>
    <n v="186649"/>
    <s v="Apple Watch Ultra 2 Launch"/>
  </r>
  <r>
    <x v="146"/>
    <x v="0"/>
    <d v="2024-10-21T00:00:00"/>
    <x v="1"/>
    <x v="13"/>
    <n v="20777"/>
    <n v="962"/>
    <n v="308"/>
    <n v="2777"/>
    <n v="25529"/>
    <n v="165354"/>
    <s v="Apple Watch Ultra 2 Launch"/>
  </r>
  <r>
    <x v="146"/>
    <x v="0"/>
    <d v="2024-10-21T00:00:00"/>
    <x v="1"/>
    <x v="6"/>
    <n v="20777"/>
    <n v="962"/>
    <n v="308"/>
    <n v="2777"/>
    <n v="25529"/>
    <n v="165354"/>
    <s v="Apple Watch Ultra 2 Launch"/>
  </r>
  <r>
    <x v="147"/>
    <x v="0"/>
    <d v="2025-04-15T00:00:00"/>
    <x v="2"/>
    <x v="13"/>
    <n v="20977"/>
    <n v="1402"/>
    <n v="301"/>
    <n v="1284"/>
    <n v="24620"/>
    <n v="128009"/>
    <s v="Apple Watch Ultra 2 Launch"/>
  </r>
  <r>
    <x v="147"/>
    <x v="0"/>
    <d v="2025-04-15T00:00:00"/>
    <x v="2"/>
    <x v="6"/>
    <n v="20977"/>
    <n v="1402"/>
    <n v="301"/>
    <n v="1284"/>
    <n v="24620"/>
    <n v="128009"/>
    <s v="Apple Watch Ultra 2 Launch"/>
  </r>
  <r>
    <x v="148"/>
    <x v="2"/>
    <d v="2024-06-16T00:00:00"/>
    <x v="1"/>
    <x v="0"/>
    <n v="12160"/>
    <n v="1405"/>
    <n v="769"/>
    <n v="1980"/>
    <n v="33174"/>
    <n v="226481"/>
    <s v="Apple Watch Ultra 2 Launch"/>
  </r>
  <r>
    <x v="148"/>
    <x v="2"/>
    <d v="2024-06-16T00:00:00"/>
    <x v="1"/>
    <x v="1"/>
    <n v="12160"/>
    <n v="1405"/>
    <n v="769"/>
    <n v="1980"/>
    <n v="33174"/>
    <n v="226481"/>
    <s v="Apple Watch Ultra 2 Launch"/>
  </r>
  <r>
    <x v="149"/>
    <x v="1"/>
    <d v="2024-08-22T00:00:00"/>
    <x v="2"/>
    <x v="15"/>
    <n v="16124"/>
    <n v="863"/>
    <n v="337"/>
    <n v="819"/>
    <n v="85788"/>
    <n v="68625"/>
    <s v="iPhone 16 Launch"/>
  </r>
  <r>
    <x v="149"/>
    <x v="1"/>
    <d v="2024-08-22T00:00:00"/>
    <x v="2"/>
    <x v="8"/>
    <n v="16124"/>
    <n v="863"/>
    <n v="337"/>
    <n v="819"/>
    <n v="85788"/>
    <n v="68625"/>
    <s v="iPhone 16 Launch"/>
  </r>
  <r>
    <x v="150"/>
    <x v="0"/>
    <d v="2024-07-26T00:00:00"/>
    <x v="2"/>
    <x v="16"/>
    <n v="18282"/>
    <n v="224"/>
    <n v="962"/>
    <n v="890"/>
    <n v="35105"/>
    <n v="64089"/>
    <s v="iPhone 16 Launch"/>
  </r>
  <r>
    <x v="151"/>
    <x v="0"/>
    <d v="2025-10-04T00:00:00"/>
    <x v="2"/>
    <x v="17"/>
    <n v="12488"/>
    <n v="1403"/>
    <n v="247"/>
    <n v="1350"/>
    <n v="28370"/>
    <n v="76487"/>
    <s v="Apple Event September 2025"/>
  </r>
  <r>
    <x v="151"/>
    <x v="0"/>
    <d v="2025-10-04T00:00:00"/>
    <x v="2"/>
    <x v="18"/>
    <n v="12488"/>
    <n v="1403"/>
    <n v="247"/>
    <n v="1350"/>
    <n v="28370"/>
    <n v="76487"/>
    <s v="Apple Event September 2025"/>
  </r>
  <r>
    <x v="152"/>
    <x v="2"/>
    <d v="2025-01-01T00:00:00"/>
    <x v="2"/>
    <x v="2"/>
    <n v="24574"/>
    <n v="909"/>
    <n v="280"/>
    <n v="2009"/>
    <n v="6221"/>
    <n v="236910"/>
    <s v="MacBook Air M3 Campaign"/>
  </r>
  <r>
    <x v="152"/>
    <x v="2"/>
    <d v="2025-01-01T00:00:00"/>
    <x v="2"/>
    <x v="3"/>
    <n v="24574"/>
    <n v="909"/>
    <n v="280"/>
    <n v="2009"/>
    <n v="6221"/>
    <n v="236910"/>
    <s v="MacBook Air M3 Campaign"/>
  </r>
  <r>
    <x v="153"/>
    <x v="0"/>
    <d v="2024-10-09T00:00:00"/>
    <x v="2"/>
    <x v="13"/>
    <n v="7240"/>
    <n v="1384"/>
    <n v="954"/>
    <n v="2335"/>
    <n v="6757"/>
    <n v="150448"/>
    <s v="Sustainability Awareness Drive"/>
  </r>
  <r>
    <x v="153"/>
    <x v="0"/>
    <d v="2024-10-09T00:00:00"/>
    <x v="2"/>
    <x v="6"/>
    <n v="7240"/>
    <n v="1384"/>
    <n v="954"/>
    <n v="2335"/>
    <n v="6757"/>
    <n v="150448"/>
    <s v="Sustainability Awareness Drive"/>
  </r>
  <r>
    <x v="154"/>
    <x v="2"/>
    <d v="2024-12-21T00:00:00"/>
    <x v="0"/>
    <x v="0"/>
    <n v="12453"/>
    <n v="376"/>
    <n v="320"/>
    <n v="2546"/>
    <n v="22617"/>
    <n v="90138"/>
    <s v="Sustainability Awareness Drive"/>
  </r>
  <r>
    <x v="154"/>
    <x v="2"/>
    <d v="2024-12-21T00:00:00"/>
    <x v="0"/>
    <x v="1"/>
    <n v="12453"/>
    <n v="376"/>
    <n v="320"/>
    <n v="2546"/>
    <n v="22617"/>
    <n v="90138"/>
    <s v="Sustainability Awareness Drive"/>
  </r>
  <r>
    <x v="155"/>
    <x v="3"/>
    <d v="2024-10-22T00:00:00"/>
    <x v="1"/>
    <x v="9"/>
    <n v="12478"/>
    <n v="484"/>
    <n v="332"/>
    <n v="2734"/>
    <n v="43338"/>
    <n v="213895"/>
    <s v="iPhone 16 Launch"/>
  </r>
  <r>
    <x v="155"/>
    <x v="3"/>
    <d v="2024-10-22T00:00:00"/>
    <x v="1"/>
    <x v="10"/>
    <n v="12478"/>
    <n v="484"/>
    <n v="332"/>
    <n v="2734"/>
    <n v="43338"/>
    <n v="213895"/>
    <s v="iPhone 16 Launch"/>
  </r>
  <r>
    <x v="156"/>
    <x v="0"/>
    <d v="2024-07-23T00:00:00"/>
    <x v="2"/>
    <x v="15"/>
    <n v="24877"/>
    <n v="262"/>
    <n v="513"/>
    <n v="648"/>
    <n v="47544"/>
    <n v="208280"/>
    <s v="Sustainability Awareness Drive"/>
  </r>
  <r>
    <x v="156"/>
    <x v="0"/>
    <d v="2024-07-23T00:00:00"/>
    <x v="2"/>
    <x v="8"/>
    <n v="24877"/>
    <n v="262"/>
    <n v="513"/>
    <n v="648"/>
    <n v="47544"/>
    <n v="208280"/>
    <s v="Sustainability Awareness Drive"/>
  </r>
  <r>
    <x v="157"/>
    <x v="3"/>
    <d v="2024-08-11T00:00:00"/>
    <x v="3"/>
    <x v="2"/>
    <n v="14394"/>
    <n v="1202"/>
    <n v="188"/>
    <n v="1259"/>
    <n v="21925"/>
    <n v="94061"/>
    <s v="iPhone 16 Launch"/>
  </r>
  <r>
    <x v="157"/>
    <x v="3"/>
    <d v="2024-08-11T00:00:00"/>
    <x v="3"/>
    <x v="3"/>
    <n v="14394"/>
    <n v="1202"/>
    <n v="188"/>
    <n v="1259"/>
    <n v="21925"/>
    <n v="94061"/>
    <s v="iPhone 16 Launch"/>
  </r>
  <r>
    <x v="158"/>
    <x v="2"/>
    <d v="2025-10-05T00:00:00"/>
    <x v="1"/>
    <x v="9"/>
    <n v="21262"/>
    <n v="861"/>
    <n v="676"/>
    <n v="2263"/>
    <n v="12085"/>
    <n v="201731"/>
    <s v="Apple Event September 2025"/>
  </r>
  <r>
    <x v="158"/>
    <x v="2"/>
    <d v="2025-10-05T00:00:00"/>
    <x v="1"/>
    <x v="10"/>
    <n v="21262"/>
    <n v="861"/>
    <n v="676"/>
    <n v="2263"/>
    <n v="12085"/>
    <n v="201731"/>
    <s v="Apple Event September 2025"/>
  </r>
  <r>
    <x v="159"/>
    <x v="1"/>
    <d v="2024-08-24T00:00:00"/>
    <x v="1"/>
    <x v="15"/>
    <n v="22527"/>
    <n v="865"/>
    <n v="646"/>
    <n v="992"/>
    <n v="18654"/>
    <n v="141376"/>
    <s v="MacBook Air M3 Campaign"/>
  </r>
  <r>
    <x v="159"/>
    <x v="1"/>
    <d v="2024-08-24T00:00:00"/>
    <x v="1"/>
    <x v="8"/>
    <n v="22527"/>
    <n v="865"/>
    <n v="646"/>
    <n v="992"/>
    <n v="18654"/>
    <n v="141376"/>
    <s v="MacBook Air M3 Campaign"/>
  </r>
  <r>
    <x v="160"/>
    <x v="0"/>
    <d v="2025-10-06T00:00:00"/>
    <x v="2"/>
    <x v="4"/>
    <n v="22028"/>
    <n v="355"/>
    <n v="665"/>
    <n v="1859"/>
    <n v="50565"/>
    <n v="202962"/>
    <s v="Apple Event September 2025"/>
  </r>
  <r>
    <x v="160"/>
    <x v="0"/>
    <d v="2025-10-06T00:00:00"/>
    <x v="2"/>
    <x v="5"/>
    <n v="22028"/>
    <n v="355"/>
    <n v="665"/>
    <n v="1859"/>
    <n v="50565"/>
    <n v="202962"/>
    <s v="Apple Event September 2025"/>
  </r>
  <r>
    <x v="161"/>
    <x v="2"/>
    <d v="2025-04-01T00:00:00"/>
    <x v="0"/>
    <x v="9"/>
    <n v="6432"/>
    <n v="1272"/>
    <n v="498"/>
    <n v="677"/>
    <n v="47305"/>
    <n v="119134"/>
    <s v="Apple Watch Ultra 2 Launch"/>
  </r>
  <r>
    <x v="161"/>
    <x v="2"/>
    <d v="2025-04-01T00:00:00"/>
    <x v="0"/>
    <x v="10"/>
    <n v="6432"/>
    <n v="1272"/>
    <n v="498"/>
    <n v="677"/>
    <n v="47305"/>
    <n v="119134"/>
    <s v="Apple Watch Ultra 2 Launch"/>
  </r>
  <r>
    <x v="162"/>
    <x v="1"/>
    <d v="2025-04-08T00:00:00"/>
    <x v="2"/>
    <x v="0"/>
    <n v="15568"/>
    <n v="1166"/>
    <n v="546"/>
    <n v="826"/>
    <n v="21836"/>
    <n v="87055"/>
    <s v="Apple Watch Ultra 2 Launch"/>
  </r>
  <r>
    <x v="162"/>
    <x v="1"/>
    <d v="2025-04-08T00:00:00"/>
    <x v="2"/>
    <x v="1"/>
    <n v="15568"/>
    <n v="1166"/>
    <n v="546"/>
    <n v="826"/>
    <n v="21836"/>
    <n v="87055"/>
    <s v="Apple Watch Ultra 2 Launch"/>
  </r>
  <r>
    <x v="163"/>
    <x v="1"/>
    <d v="2025-02-27T00:00:00"/>
    <x v="0"/>
    <x v="2"/>
    <n v="16178"/>
    <n v="1048"/>
    <n v="871"/>
    <n v="2553"/>
    <n v="39025"/>
    <n v="59508"/>
    <s v="Apple Watch Ultra 2 Launch"/>
  </r>
  <r>
    <x v="163"/>
    <x v="1"/>
    <d v="2025-02-27T00:00:00"/>
    <x v="0"/>
    <x v="3"/>
    <n v="16178"/>
    <n v="1048"/>
    <n v="871"/>
    <n v="2553"/>
    <n v="39025"/>
    <n v="59508"/>
    <s v="Apple Watch Ultra 2 Launch"/>
  </r>
  <r>
    <x v="164"/>
    <x v="3"/>
    <d v="2025-10-07T00:00:00"/>
    <x v="3"/>
    <x v="11"/>
    <n v="19660"/>
    <n v="1307"/>
    <n v="310"/>
    <n v="2802"/>
    <n v="22171"/>
    <n v="213359"/>
    <s v="Apple Event September 2025"/>
  </r>
  <r>
    <x v="164"/>
    <x v="3"/>
    <d v="2025-10-07T00:00:00"/>
    <x v="3"/>
    <x v="12"/>
    <n v="19660"/>
    <n v="1307"/>
    <n v="310"/>
    <n v="2802"/>
    <n v="22171"/>
    <n v="213359"/>
    <s v="Apple Event September 2025"/>
  </r>
  <r>
    <x v="165"/>
    <x v="2"/>
    <d v="2025-02-16T00:00:00"/>
    <x v="1"/>
    <x v="6"/>
    <n v="24195"/>
    <n v="888"/>
    <n v="165"/>
    <n v="1559"/>
    <n v="11596"/>
    <n v="249988"/>
    <s v="Sustainability Awareness Drive"/>
  </r>
  <r>
    <x v="165"/>
    <x v="2"/>
    <d v="2025-02-16T00:00:00"/>
    <x v="1"/>
    <x v="14"/>
    <n v="24195"/>
    <n v="888"/>
    <n v="165"/>
    <n v="1559"/>
    <n v="11596"/>
    <n v="249988"/>
    <s v="Sustainability Awareness Drive"/>
  </r>
  <r>
    <x v="166"/>
    <x v="1"/>
    <d v="2024-11-28T00:00:00"/>
    <x v="3"/>
    <x v="6"/>
    <n v="2302"/>
    <n v="347"/>
    <n v="642"/>
    <n v="2175"/>
    <n v="56378"/>
    <n v="198056"/>
    <s v="MacBook Air M3 Campaign"/>
  </r>
  <r>
    <x v="166"/>
    <x v="1"/>
    <d v="2024-11-28T00:00:00"/>
    <x v="3"/>
    <x v="14"/>
    <n v="2302"/>
    <n v="347"/>
    <n v="642"/>
    <n v="2175"/>
    <n v="56378"/>
    <n v="198056"/>
    <s v="MacBook Air M3 Campaign"/>
  </r>
  <r>
    <x v="167"/>
    <x v="0"/>
    <d v="2024-11-12T00:00:00"/>
    <x v="0"/>
    <x v="2"/>
    <n v="19022"/>
    <n v="541"/>
    <n v="575"/>
    <n v="2063"/>
    <n v="42743"/>
    <n v="150169"/>
    <s v="Apple Watch Ultra 2 Launch"/>
  </r>
  <r>
    <x v="167"/>
    <x v="0"/>
    <d v="2024-11-12T00:00:00"/>
    <x v="0"/>
    <x v="3"/>
    <n v="19022"/>
    <n v="541"/>
    <n v="575"/>
    <n v="2063"/>
    <n v="42743"/>
    <n v="150169"/>
    <s v="Apple Watch Ultra 2 Launch"/>
  </r>
  <r>
    <x v="168"/>
    <x v="0"/>
    <d v="2024-12-03T00:00:00"/>
    <x v="0"/>
    <x v="9"/>
    <n v="2055"/>
    <n v="675"/>
    <n v="257"/>
    <n v="820"/>
    <n v="33534"/>
    <n v="48125"/>
    <s v="Apple Watch Ultra 2 Launch"/>
  </r>
  <r>
    <x v="168"/>
    <x v="0"/>
    <d v="2024-12-03T00:00:00"/>
    <x v="0"/>
    <x v="10"/>
    <n v="2055"/>
    <n v="675"/>
    <n v="257"/>
    <n v="820"/>
    <n v="33534"/>
    <n v="48125"/>
    <s v="Apple Watch Ultra 2 Launch"/>
  </r>
  <r>
    <x v="169"/>
    <x v="3"/>
    <d v="2025-04-28T00:00:00"/>
    <x v="3"/>
    <x v="15"/>
    <n v="15013"/>
    <n v="1286"/>
    <n v="599"/>
    <n v="2001"/>
    <n v="67839"/>
    <n v="76059"/>
    <s v="Apple Watch Ultra 2 Launch"/>
  </r>
  <r>
    <x v="169"/>
    <x v="3"/>
    <d v="2025-04-28T00:00:00"/>
    <x v="3"/>
    <x v="8"/>
    <n v="15013"/>
    <n v="1286"/>
    <n v="599"/>
    <n v="2001"/>
    <n v="67839"/>
    <n v="76059"/>
    <s v="Apple Watch Ultra 2 Launch"/>
  </r>
  <r>
    <x v="170"/>
    <x v="1"/>
    <d v="2024-12-31T00:00:00"/>
    <x v="0"/>
    <x v="0"/>
    <n v="10717"/>
    <n v="760"/>
    <n v="460"/>
    <n v="1316"/>
    <n v="18164"/>
    <n v="240641"/>
    <s v="MacBook Air M3 Campaign"/>
  </r>
  <r>
    <x v="170"/>
    <x v="1"/>
    <d v="2024-12-31T00:00:00"/>
    <x v="0"/>
    <x v="1"/>
    <n v="10717"/>
    <n v="760"/>
    <n v="460"/>
    <n v="1316"/>
    <n v="18164"/>
    <n v="240641"/>
    <s v="MacBook Air M3 Campaign"/>
  </r>
  <r>
    <x v="171"/>
    <x v="2"/>
    <d v="2024-08-14T00:00:00"/>
    <x v="3"/>
    <x v="17"/>
    <n v="10150"/>
    <n v="526"/>
    <n v="888"/>
    <n v="1313"/>
    <n v="51605"/>
    <n v="143409"/>
    <s v="Apple Watch Ultra 2 Launch"/>
  </r>
  <r>
    <x v="171"/>
    <x v="2"/>
    <d v="2024-08-14T00:00:00"/>
    <x v="3"/>
    <x v="18"/>
    <n v="10150"/>
    <n v="526"/>
    <n v="888"/>
    <n v="1313"/>
    <n v="51605"/>
    <n v="143409"/>
    <s v="Apple Watch Ultra 2 Launch"/>
  </r>
  <r>
    <x v="172"/>
    <x v="0"/>
    <d v="2024-12-05T00:00:00"/>
    <x v="1"/>
    <x v="6"/>
    <n v="4125"/>
    <n v="1364"/>
    <n v="319"/>
    <n v="2848"/>
    <n v="15379"/>
    <n v="188159"/>
    <s v="MacBook Air M3 Campaign"/>
  </r>
  <r>
    <x v="172"/>
    <x v="0"/>
    <d v="2024-12-05T00:00:00"/>
    <x v="1"/>
    <x v="14"/>
    <n v="4125"/>
    <n v="1364"/>
    <n v="319"/>
    <n v="2848"/>
    <n v="15379"/>
    <n v="188159"/>
    <s v="MacBook Air M3 Campaign"/>
  </r>
  <r>
    <x v="173"/>
    <x v="1"/>
    <d v="2024-06-22T00:00:00"/>
    <x v="3"/>
    <x v="0"/>
    <n v="13479"/>
    <n v="1189"/>
    <n v="695"/>
    <n v="416"/>
    <n v="30229"/>
    <n v="45704"/>
    <s v="Apple Watch Ultra 2 Launch"/>
  </r>
  <r>
    <x v="173"/>
    <x v="1"/>
    <d v="2024-06-22T00:00:00"/>
    <x v="3"/>
    <x v="1"/>
    <n v="13479"/>
    <n v="1189"/>
    <n v="695"/>
    <n v="416"/>
    <n v="30229"/>
    <n v="45704"/>
    <s v="Apple Watch Ultra 2 Launch"/>
  </r>
  <r>
    <x v="174"/>
    <x v="1"/>
    <d v="2025-10-08T00:00:00"/>
    <x v="1"/>
    <x v="6"/>
    <n v="17745"/>
    <n v="414"/>
    <n v="563"/>
    <n v="2733"/>
    <n v="995"/>
    <n v="231648"/>
    <s v="Apple Event September 2025"/>
  </r>
  <r>
    <x v="174"/>
    <x v="1"/>
    <d v="2025-10-08T00:00:00"/>
    <x v="1"/>
    <x v="14"/>
    <n v="17745"/>
    <n v="414"/>
    <n v="563"/>
    <n v="2733"/>
    <n v="995"/>
    <n v="231648"/>
    <s v="Apple Event September 2025"/>
  </r>
  <r>
    <x v="175"/>
    <x v="3"/>
    <d v="2025-10-09T00:00:00"/>
    <x v="3"/>
    <x v="4"/>
    <n v="18748"/>
    <n v="634"/>
    <n v="400"/>
    <n v="1667"/>
    <n v="75813"/>
    <n v="244456"/>
    <s v="Apple Event September 2025"/>
  </r>
  <r>
    <x v="175"/>
    <x v="3"/>
    <d v="2025-10-09T00:00:00"/>
    <x v="3"/>
    <x v="5"/>
    <n v="18748"/>
    <n v="634"/>
    <n v="400"/>
    <n v="1667"/>
    <n v="75813"/>
    <n v="244456"/>
    <s v="Apple Event September 2025"/>
  </r>
  <r>
    <x v="176"/>
    <x v="0"/>
    <d v="2024-07-10T00:00:00"/>
    <x v="0"/>
    <x v="15"/>
    <n v="8809"/>
    <n v="1151"/>
    <n v="908"/>
    <n v="883"/>
    <n v="42921"/>
    <n v="151279"/>
    <s v="MacBook Air M3 Campaign"/>
  </r>
  <r>
    <x v="176"/>
    <x v="0"/>
    <d v="2024-07-10T00:00:00"/>
    <x v="0"/>
    <x v="8"/>
    <n v="8809"/>
    <n v="1151"/>
    <n v="908"/>
    <n v="883"/>
    <n v="42921"/>
    <n v="151279"/>
    <s v="MacBook Air M3 Campaign"/>
  </r>
  <r>
    <x v="177"/>
    <x v="0"/>
    <d v="2025-10-10T00:00:00"/>
    <x v="3"/>
    <x v="4"/>
    <n v="6621"/>
    <n v="922"/>
    <n v="930"/>
    <n v="694"/>
    <n v="839"/>
    <n v="243532"/>
    <s v="Apple Event September 2025"/>
  </r>
  <r>
    <x v="177"/>
    <x v="0"/>
    <d v="2025-10-10T00:00:00"/>
    <x v="3"/>
    <x v="5"/>
    <n v="6621"/>
    <n v="922"/>
    <n v="930"/>
    <n v="694"/>
    <n v="839"/>
    <n v="243532"/>
    <s v="Apple Event September 2025"/>
  </r>
  <r>
    <x v="178"/>
    <x v="2"/>
    <d v="2024-07-15T00:00:00"/>
    <x v="0"/>
    <x v="6"/>
    <n v="17034"/>
    <n v="231"/>
    <n v="290"/>
    <n v="1387"/>
    <n v="63550"/>
    <n v="198280"/>
    <s v="MacBook Air M3 Campaign"/>
  </r>
  <r>
    <x v="178"/>
    <x v="2"/>
    <d v="2024-07-15T00:00:00"/>
    <x v="0"/>
    <x v="14"/>
    <n v="17034"/>
    <n v="231"/>
    <n v="290"/>
    <n v="1387"/>
    <n v="63550"/>
    <n v="198280"/>
    <s v="MacBook Air M3 Campaign"/>
  </r>
  <r>
    <x v="179"/>
    <x v="0"/>
    <d v="2025-10-11T00:00:00"/>
    <x v="3"/>
    <x v="11"/>
    <n v="15623"/>
    <n v="869"/>
    <n v="423"/>
    <n v="371"/>
    <n v="47579"/>
    <n v="158516"/>
    <s v="Apple Event September 2025"/>
  </r>
  <r>
    <x v="179"/>
    <x v="0"/>
    <d v="2025-10-11T00:00:00"/>
    <x v="3"/>
    <x v="12"/>
    <n v="15623"/>
    <n v="869"/>
    <n v="423"/>
    <n v="371"/>
    <n v="47579"/>
    <n v="158516"/>
    <s v="Apple Event September 2025"/>
  </r>
  <r>
    <x v="180"/>
    <x v="2"/>
    <d v="2025-10-12T00:00:00"/>
    <x v="3"/>
    <x v="11"/>
    <n v="7126"/>
    <n v="484"/>
    <n v="565"/>
    <n v="573"/>
    <n v="7389"/>
    <n v="237096"/>
    <s v="Apple Event September 2025"/>
  </r>
  <r>
    <x v="180"/>
    <x v="2"/>
    <d v="2025-10-12T00:00:00"/>
    <x v="3"/>
    <x v="12"/>
    <n v="7126"/>
    <n v="484"/>
    <n v="565"/>
    <n v="573"/>
    <n v="7389"/>
    <n v="237096"/>
    <s v="Apple Event September 2025"/>
  </r>
  <r>
    <x v="181"/>
    <x v="0"/>
    <d v="2024-07-31T00:00:00"/>
    <x v="2"/>
    <x v="4"/>
    <n v="7122"/>
    <n v="628"/>
    <n v="757"/>
    <n v="2313"/>
    <n v="50924"/>
    <n v="210954"/>
    <s v="MacBook Air M3 Campaign"/>
  </r>
  <r>
    <x v="181"/>
    <x v="0"/>
    <d v="2024-07-31T00:00:00"/>
    <x v="2"/>
    <x v="5"/>
    <n v="7122"/>
    <n v="628"/>
    <n v="757"/>
    <n v="2313"/>
    <n v="50924"/>
    <n v="210954"/>
    <s v="MacBook Air M3 Campaign"/>
  </r>
  <r>
    <x v="182"/>
    <x v="3"/>
    <d v="2024-12-17T00:00:00"/>
    <x v="0"/>
    <x v="11"/>
    <n v="20030"/>
    <n v="485"/>
    <n v="888"/>
    <n v="1643"/>
    <n v="4322"/>
    <n v="196995"/>
    <s v="Sustainability Awareness Drive"/>
  </r>
  <r>
    <x v="182"/>
    <x v="3"/>
    <d v="2024-12-17T00:00:00"/>
    <x v="0"/>
    <x v="12"/>
    <n v="20030"/>
    <n v="485"/>
    <n v="888"/>
    <n v="1643"/>
    <n v="4322"/>
    <n v="196995"/>
    <s v="Sustainability Awareness Drive"/>
  </r>
  <r>
    <x v="183"/>
    <x v="0"/>
    <d v="2025-10-13T00:00:00"/>
    <x v="2"/>
    <x v="6"/>
    <n v="19302"/>
    <n v="1367"/>
    <n v="188"/>
    <n v="637"/>
    <n v="31404"/>
    <n v="154044"/>
    <s v="Apple Event September 2025"/>
  </r>
  <r>
    <x v="183"/>
    <x v="0"/>
    <d v="2025-10-13T00:00:00"/>
    <x v="2"/>
    <x v="14"/>
    <n v="19302"/>
    <n v="1367"/>
    <n v="188"/>
    <n v="637"/>
    <n v="31404"/>
    <n v="154044"/>
    <s v="Apple Event September 2025"/>
  </r>
  <r>
    <x v="184"/>
    <x v="2"/>
    <d v="2025-01-11T00:00:00"/>
    <x v="0"/>
    <x v="2"/>
    <n v="21181"/>
    <n v="1242"/>
    <n v="963"/>
    <n v="1689"/>
    <n v="49329"/>
    <n v="69165"/>
    <s v="Apple Watch Ultra 2 Launch"/>
  </r>
  <r>
    <x v="184"/>
    <x v="2"/>
    <d v="2025-01-11T00:00:00"/>
    <x v="0"/>
    <x v="3"/>
    <n v="21181"/>
    <n v="1242"/>
    <n v="963"/>
    <n v="1689"/>
    <n v="49329"/>
    <n v="69165"/>
    <s v="Apple Watch Ultra 2 Launch"/>
  </r>
  <r>
    <x v="185"/>
    <x v="2"/>
    <d v="2024-08-24T00:00:00"/>
    <x v="2"/>
    <x v="4"/>
    <n v="24890"/>
    <n v="217"/>
    <n v="178"/>
    <n v="906"/>
    <n v="54826"/>
    <n v="107203"/>
    <s v="Sustainability Awareness Drive"/>
  </r>
  <r>
    <x v="185"/>
    <x v="2"/>
    <d v="2024-08-24T00:00:00"/>
    <x v="2"/>
    <x v="5"/>
    <n v="24890"/>
    <n v="217"/>
    <n v="178"/>
    <n v="906"/>
    <n v="54826"/>
    <n v="107203"/>
    <s v="Sustainability Awareness Drive"/>
  </r>
  <r>
    <x v="186"/>
    <x v="3"/>
    <d v="2024-12-22T00:00:00"/>
    <x v="1"/>
    <x v="17"/>
    <n v="7870"/>
    <n v="968"/>
    <n v="626"/>
    <n v="465"/>
    <n v="27184"/>
    <n v="44114"/>
    <s v="MacBook Air M3 Campaign"/>
  </r>
  <r>
    <x v="186"/>
    <x v="3"/>
    <d v="2024-12-22T00:00:00"/>
    <x v="1"/>
    <x v="18"/>
    <n v="7870"/>
    <n v="968"/>
    <n v="626"/>
    <n v="465"/>
    <n v="27184"/>
    <n v="44114"/>
    <s v="MacBook Air M3 Campaign"/>
  </r>
  <r>
    <x v="187"/>
    <x v="0"/>
    <d v="2024-06-06T00:00:00"/>
    <x v="3"/>
    <x v="17"/>
    <n v="3531"/>
    <n v="789"/>
    <n v="467"/>
    <n v="1867"/>
    <n v="40816"/>
    <n v="236037"/>
    <s v="Sustainability Awareness Drive"/>
  </r>
  <r>
    <x v="187"/>
    <x v="0"/>
    <d v="2024-06-06T00:00:00"/>
    <x v="3"/>
    <x v="18"/>
    <n v="3531"/>
    <n v="789"/>
    <n v="467"/>
    <n v="1867"/>
    <n v="40816"/>
    <n v="236037"/>
    <s v="Sustainability Awareness Drive"/>
  </r>
  <r>
    <x v="188"/>
    <x v="0"/>
    <d v="2025-03-24T00:00:00"/>
    <x v="0"/>
    <x v="8"/>
    <n v="10172"/>
    <n v="1398"/>
    <n v="394"/>
    <n v="2358"/>
    <n v="59610"/>
    <n v="76321"/>
    <s v="iPhone 16 Launch"/>
  </r>
  <r>
    <x v="189"/>
    <x v="3"/>
    <d v="2024-10-04T00:00:00"/>
    <x v="0"/>
    <x v="9"/>
    <n v="21729"/>
    <n v="1209"/>
    <n v="897"/>
    <n v="1624"/>
    <n v="38771"/>
    <n v="113297"/>
    <s v="iPhone 16 Launch"/>
  </r>
  <r>
    <x v="189"/>
    <x v="3"/>
    <d v="2024-10-04T00:00:00"/>
    <x v="0"/>
    <x v="10"/>
    <n v="21729"/>
    <n v="1209"/>
    <n v="897"/>
    <n v="1624"/>
    <n v="38771"/>
    <n v="113297"/>
    <s v="iPhone 16 Launch"/>
  </r>
  <r>
    <x v="190"/>
    <x v="0"/>
    <d v="2025-10-14T00:00:00"/>
    <x v="3"/>
    <x v="15"/>
    <n v="9673"/>
    <n v="393"/>
    <n v="846"/>
    <n v="1028"/>
    <n v="55556"/>
    <n v="136652"/>
    <s v="Apple Event September 2025"/>
  </r>
  <r>
    <x v="190"/>
    <x v="0"/>
    <d v="2025-10-14T00:00:00"/>
    <x v="3"/>
    <x v="8"/>
    <n v="9673"/>
    <n v="393"/>
    <n v="846"/>
    <n v="1028"/>
    <n v="55556"/>
    <n v="136652"/>
    <s v="Apple Event September 2025"/>
  </r>
  <r>
    <x v="191"/>
    <x v="0"/>
    <d v="2025-10-15T00:00:00"/>
    <x v="0"/>
    <x v="11"/>
    <n v="8882"/>
    <n v="701"/>
    <n v="421"/>
    <n v="2343"/>
    <n v="13588"/>
    <n v="139304"/>
    <s v="Apple Event September 2025"/>
  </r>
  <r>
    <x v="191"/>
    <x v="0"/>
    <d v="2025-10-15T00:00:00"/>
    <x v="0"/>
    <x v="12"/>
    <n v="8882"/>
    <n v="701"/>
    <n v="421"/>
    <n v="2343"/>
    <n v="13588"/>
    <n v="139304"/>
    <s v="Apple Event September 2025"/>
  </r>
  <r>
    <x v="192"/>
    <x v="2"/>
    <d v="2024-09-11T00:00:00"/>
    <x v="0"/>
    <x v="11"/>
    <n v="3906"/>
    <n v="1187"/>
    <n v="589"/>
    <n v="401"/>
    <n v="52687"/>
    <n v="196498"/>
    <s v="Apple Watch Ultra 2 Launch"/>
  </r>
  <r>
    <x v="192"/>
    <x v="2"/>
    <d v="2024-09-11T00:00:00"/>
    <x v="0"/>
    <x v="12"/>
    <n v="3906"/>
    <n v="1187"/>
    <n v="589"/>
    <n v="401"/>
    <n v="52687"/>
    <n v="196498"/>
    <s v="Apple Watch Ultra 2 Launch"/>
  </r>
  <r>
    <x v="193"/>
    <x v="0"/>
    <d v="2024-10-02T00:00:00"/>
    <x v="2"/>
    <x v="9"/>
    <n v="5086"/>
    <n v="1336"/>
    <n v="897"/>
    <n v="1715"/>
    <n v="60592"/>
    <n v="57772"/>
    <s v="Sustainability Awareness Drive"/>
  </r>
  <r>
    <x v="193"/>
    <x v="0"/>
    <d v="2024-10-02T00:00:00"/>
    <x v="2"/>
    <x v="10"/>
    <n v="5086"/>
    <n v="1336"/>
    <n v="897"/>
    <n v="1715"/>
    <n v="60592"/>
    <n v="57772"/>
    <s v="Sustainability Awareness Drive"/>
  </r>
  <r>
    <x v="194"/>
    <x v="0"/>
    <d v="2024-08-15T00:00:00"/>
    <x v="0"/>
    <x v="13"/>
    <n v="15503"/>
    <n v="313"/>
    <n v="388"/>
    <n v="1078"/>
    <n v="11500"/>
    <n v="143754"/>
    <s v="iPhone 16 Launch"/>
  </r>
  <r>
    <x v="194"/>
    <x v="0"/>
    <d v="2024-08-15T00:00:00"/>
    <x v="0"/>
    <x v="6"/>
    <n v="15503"/>
    <n v="313"/>
    <n v="388"/>
    <n v="1078"/>
    <n v="11500"/>
    <n v="143754"/>
    <s v="iPhone 16 Launch"/>
  </r>
  <r>
    <x v="195"/>
    <x v="3"/>
    <d v="2025-09-18T00:00:00"/>
    <x v="1"/>
    <x v="16"/>
    <n v="10152"/>
    <n v="1445"/>
    <n v="526"/>
    <n v="513"/>
    <n v="18959"/>
    <n v="43712"/>
    <s v="Apple Event September 2025"/>
  </r>
  <r>
    <x v="196"/>
    <x v="3"/>
    <d v="2024-10-22T00:00:00"/>
    <x v="1"/>
    <x v="4"/>
    <n v="7750"/>
    <n v="1146"/>
    <n v="415"/>
    <n v="1411"/>
    <n v="85339"/>
    <n v="172439"/>
    <s v="Sustainability Awareness Drive"/>
  </r>
  <r>
    <x v="196"/>
    <x v="3"/>
    <d v="2024-10-22T00:00:00"/>
    <x v="1"/>
    <x v="5"/>
    <n v="7750"/>
    <n v="1146"/>
    <n v="415"/>
    <n v="1411"/>
    <n v="85339"/>
    <n v="172439"/>
    <s v="Sustainability Awareness Drive"/>
  </r>
  <r>
    <x v="197"/>
    <x v="1"/>
    <d v="2025-09-19T00:00:00"/>
    <x v="3"/>
    <x v="6"/>
    <n v="14772"/>
    <n v="1030"/>
    <n v="508"/>
    <n v="1876"/>
    <n v="8882"/>
    <n v="155142"/>
    <s v="Apple Event September 2025"/>
  </r>
  <r>
    <x v="197"/>
    <x v="1"/>
    <d v="2025-09-19T00:00:00"/>
    <x v="3"/>
    <x v="7"/>
    <n v="14772"/>
    <n v="1030"/>
    <n v="508"/>
    <n v="1876"/>
    <n v="8882"/>
    <n v="155142"/>
    <s v="Apple Event September 2025"/>
  </r>
  <r>
    <x v="198"/>
    <x v="2"/>
    <d v="2025-09-20T00:00:00"/>
    <x v="0"/>
    <x v="11"/>
    <n v="12267"/>
    <n v="1487"/>
    <n v="489"/>
    <n v="2748"/>
    <n v="34685"/>
    <n v="131736"/>
    <s v="Apple Event September 2025"/>
  </r>
  <r>
    <x v="198"/>
    <x v="2"/>
    <d v="2025-09-20T00:00:00"/>
    <x v="0"/>
    <x v="12"/>
    <n v="12267"/>
    <n v="1487"/>
    <n v="489"/>
    <n v="2748"/>
    <n v="34685"/>
    <n v="131736"/>
    <s v="Apple Event September 2025"/>
  </r>
  <r>
    <x v="199"/>
    <x v="0"/>
    <d v="2025-04-07T00:00:00"/>
    <x v="3"/>
    <x v="15"/>
    <n v="3062"/>
    <n v="1124"/>
    <n v="538"/>
    <n v="2935"/>
    <n v="69749"/>
    <n v="91924"/>
    <s v="iPhone 16 Launch"/>
  </r>
  <r>
    <x v="199"/>
    <x v="0"/>
    <d v="2025-04-07T00:00:00"/>
    <x v="3"/>
    <x v="8"/>
    <n v="3062"/>
    <n v="1124"/>
    <n v="538"/>
    <n v="2935"/>
    <n v="69749"/>
    <n v="91924"/>
    <s v="iPhone 16 Launch"/>
  </r>
  <r>
    <x v="200"/>
    <x v="0"/>
    <d v="2025-01-15T00:00:00"/>
    <x v="1"/>
    <x v="8"/>
    <n v="20360"/>
    <n v="254"/>
    <n v="726"/>
    <n v="1995"/>
    <n v="14280"/>
    <n v="43726"/>
    <s v="iPhone 16 Launch"/>
  </r>
  <r>
    <x v="201"/>
    <x v="1"/>
    <d v="2025-09-21T00:00:00"/>
    <x v="0"/>
    <x v="17"/>
    <n v="19680"/>
    <n v="999"/>
    <n v="838"/>
    <n v="891"/>
    <n v="29576"/>
    <n v="129152"/>
    <s v="Apple Event September 2025"/>
  </r>
  <r>
    <x v="201"/>
    <x v="1"/>
    <d v="2025-09-21T00:00:00"/>
    <x v="0"/>
    <x v="18"/>
    <n v="19680"/>
    <n v="999"/>
    <n v="838"/>
    <n v="891"/>
    <n v="29576"/>
    <n v="129152"/>
    <s v="Apple Event September 2025"/>
  </r>
  <r>
    <x v="202"/>
    <x v="0"/>
    <d v="2024-11-21T00:00:00"/>
    <x v="0"/>
    <x v="11"/>
    <n v="8229"/>
    <n v="977"/>
    <n v="152"/>
    <n v="1633"/>
    <n v="71447"/>
    <n v="67723"/>
    <s v="MacBook Air M3 Campaign"/>
  </r>
  <r>
    <x v="202"/>
    <x v="0"/>
    <d v="2024-11-21T00:00:00"/>
    <x v="0"/>
    <x v="12"/>
    <n v="8229"/>
    <n v="977"/>
    <n v="152"/>
    <n v="1633"/>
    <n v="71447"/>
    <n v="67723"/>
    <s v="MacBook Air M3 Campaign"/>
  </r>
  <r>
    <x v="203"/>
    <x v="2"/>
    <d v="2025-09-22T00:00:00"/>
    <x v="3"/>
    <x v="8"/>
    <n v="18509"/>
    <n v="361"/>
    <n v="578"/>
    <n v="1409"/>
    <n v="10569"/>
    <n v="166969"/>
    <s v="Apple Event September 2025"/>
  </r>
  <r>
    <x v="204"/>
    <x v="1"/>
    <d v="2025-09-23T00:00:00"/>
    <x v="1"/>
    <x v="6"/>
    <n v="17147"/>
    <n v="286"/>
    <n v="291"/>
    <n v="2439"/>
    <n v="45631"/>
    <n v="140494"/>
    <s v="Apple Event September 2025"/>
  </r>
  <r>
    <x v="204"/>
    <x v="1"/>
    <d v="2025-09-23T00:00:00"/>
    <x v="1"/>
    <x v="14"/>
    <n v="17147"/>
    <n v="286"/>
    <n v="291"/>
    <n v="2439"/>
    <n v="45631"/>
    <n v="140494"/>
    <s v="Apple Event September 2025"/>
  </r>
  <r>
    <x v="205"/>
    <x v="2"/>
    <d v="2024-06-24T00:00:00"/>
    <x v="0"/>
    <x v="6"/>
    <n v="6632"/>
    <n v="254"/>
    <n v="525"/>
    <n v="1013"/>
    <n v="13838"/>
    <n v="180180"/>
    <s v="Apple Watch Ultra 2 Launch"/>
  </r>
  <r>
    <x v="205"/>
    <x v="2"/>
    <d v="2024-06-24T00:00:00"/>
    <x v="0"/>
    <x v="14"/>
    <n v="6632"/>
    <n v="254"/>
    <n v="525"/>
    <n v="1013"/>
    <n v="13838"/>
    <n v="180180"/>
    <s v="Apple Watch Ultra 2 Launch"/>
  </r>
  <r>
    <x v="206"/>
    <x v="1"/>
    <d v="2024-12-29T00:00:00"/>
    <x v="3"/>
    <x v="16"/>
    <n v="8288"/>
    <n v="1401"/>
    <n v="819"/>
    <n v="1235"/>
    <n v="33446"/>
    <n v="248786"/>
    <s v="Apple Watch Ultra 2 Launch"/>
  </r>
  <r>
    <x v="207"/>
    <x v="1"/>
    <d v="2024-06-24T00:00:00"/>
    <x v="1"/>
    <x v="2"/>
    <n v="5596"/>
    <n v="1231"/>
    <n v="473"/>
    <n v="2251"/>
    <n v="43705"/>
    <n v="75643"/>
    <s v="Apple Watch Ultra 2 Launch"/>
  </r>
  <r>
    <x v="207"/>
    <x v="1"/>
    <d v="2024-06-24T00:00:00"/>
    <x v="1"/>
    <x v="3"/>
    <n v="5596"/>
    <n v="1231"/>
    <n v="473"/>
    <n v="2251"/>
    <n v="43705"/>
    <n v="75643"/>
    <s v="Apple Watch Ultra 2 Launch"/>
  </r>
  <r>
    <x v="208"/>
    <x v="3"/>
    <d v="2025-03-19T00:00:00"/>
    <x v="3"/>
    <x v="6"/>
    <n v="13475"/>
    <n v="1032"/>
    <n v="295"/>
    <n v="541"/>
    <n v="43666"/>
    <n v="202396"/>
    <s v="MacBook Air M3 Campaign"/>
  </r>
  <r>
    <x v="208"/>
    <x v="3"/>
    <d v="2025-03-19T00:00:00"/>
    <x v="3"/>
    <x v="7"/>
    <n v="13475"/>
    <n v="1032"/>
    <n v="295"/>
    <n v="541"/>
    <n v="43666"/>
    <n v="202396"/>
    <s v="MacBook Air M3 Campaign"/>
  </r>
  <r>
    <x v="209"/>
    <x v="2"/>
    <d v="2025-02-19T00:00:00"/>
    <x v="2"/>
    <x v="13"/>
    <n v="8168"/>
    <n v="512"/>
    <n v="442"/>
    <n v="2343"/>
    <n v="2753"/>
    <n v="143896"/>
    <s v="MacBook Air M3 Campaign"/>
  </r>
  <r>
    <x v="209"/>
    <x v="2"/>
    <d v="2025-02-19T00:00:00"/>
    <x v="2"/>
    <x v="6"/>
    <n v="8168"/>
    <n v="512"/>
    <n v="442"/>
    <n v="2343"/>
    <n v="2753"/>
    <n v="143896"/>
    <s v="MacBook Air M3 Campaign"/>
  </r>
  <r>
    <x v="210"/>
    <x v="0"/>
    <d v="2025-09-24T00:00:00"/>
    <x v="0"/>
    <x v="16"/>
    <n v="11795"/>
    <n v="958"/>
    <n v="814"/>
    <n v="301"/>
    <n v="12564"/>
    <n v="179999"/>
    <s v="Apple Event September 2025"/>
  </r>
  <r>
    <x v="211"/>
    <x v="0"/>
    <d v="2025-03-03T00:00:00"/>
    <x v="2"/>
    <x v="0"/>
    <n v="9561"/>
    <n v="642"/>
    <n v="581"/>
    <n v="2572"/>
    <n v="38552"/>
    <n v="133680"/>
    <s v="Apple Watch Ultra 2 Launch"/>
  </r>
  <r>
    <x v="211"/>
    <x v="0"/>
    <d v="2025-03-03T00:00:00"/>
    <x v="2"/>
    <x v="1"/>
    <n v="9561"/>
    <n v="642"/>
    <n v="581"/>
    <n v="2572"/>
    <n v="38552"/>
    <n v="133680"/>
    <s v="Apple Watch Ultra 2 Launch"/>
  </r>
  <r>
    <x v="212"/>
    <x v="2"/>
    <d v="2025-05-01T00:00:00"/>
    <x v="1"/>
    <x v="13"/>
    <n v="10258"/>
    <n v="527"/>
    <n v="854"/>
    <n v="2068"/>
    <n v="45632"/>
    <n v="136546"/>
    <s v="MacBook Air M3 Campaign"/>
  </r>
  <r>
    <x v="212"/>
    <x v="2"/>
    <d v="2025-05-01T00:00:00"/>
    <x v="1"/>
    <x v="6"/>
    <n v="10258"/>
    <n v="527"/>
    <n v="854"/>
    <n v="2068"/>
    <n v="45632"/>
    <n v="136546"/>
    <s v="MacBook Air M3 Campaign"/>
  </r>
  <r>
    <x v="213"/>
    <x v="0"/>
    <d v="2024-12-23T00:00:00"/>
    <x v="2"/>
    <x v="4"/>
    <n v="18616"/>
    <n v="1277"/>
    <n v="734"/>
    <n v="2249"/>
    <n v="3399"/>
    <n v="193515"/>
    <s v="iPhone 16 Launch"/>
  </r>
  <r>
    <x v="213"/>
    <x v="0"/>
    <d v="2024-12-23T00:00:00"/>
    <x v="2"/>
    <x v="5"/>
    <n v="18616"/>
    <n v="1277"/>
    <n v="734"/>
    <n v="2249"/>
    <n v="3399"/>
    <n v="193515"/>
    <s v="iPhone 16 Launch"/>
  </r>
  <r>
    <x v="214"/>
    <x v="0"/>
    <d v="2025-09-25T00:00:00"/>
    <x v="2"/>
    <x v="15"/>
    <n v="8371"/>
    <n v="960"/>
    <n v="548"/>
    <n v="2936"/>
    <n v="82543"/>
    <n v="119973"/>
    <s v="Apple Event September 2025"/>
  </r>
  <r>
    <x v="214"/>
    <x v="0"/>
    <d v="2025-09-25T00:00:00"/>
    <x v="2"/>
    <x v="8"/>
    <n v="8371"/>
    <n v="960"/>
    <n v="548"/>
    <n v="2936"/>
    <n v="82543"/>
    <n v="119973"/>
    <s v="Apple Event September 2025"/>
  </r>
  <r>
    <x v="215"/>
    <x v="2"/>
    <d v="2024-07-29T00:00:00"/>
    <x v="1"/>
    <x v="0"/>
    <n v="22590"/>
    <n v="1462"/>
    <n v="966"/>
    <n v="2463"/>
    <n v="29689"/>
    <n v="103449"/>
    <s v="Sustainability Awareness Drive"/>
  </r>
  <r>
    <x v="215"/>
    <x v="2"/>
    <d v="2024-07-29T00:00:00"/>
    <x v="1"/>
    <x v="1"/>
    <n v="22590"/>
    <n v="1462"/>
    <n v="966"/>
    <n v="2463"/>
    <n v="29689"/>
    <n v="103449"/>
    <s v="Sustainability Awareness Drive"/>
  </r>
  <r>
    <x v="216"/>
    <x v="1"/>
    <d v="2025-09-26T00:00:00"/>
    <x v="3"/>
    <x v="0"/>
    <n v="16369"/>
    <n v="1452"/>
    <n v="493"/>
    <n v="1217"/>
    <n v="91440"/>
    <n v="149834"/>
    <s v="Apple Event September 2025"/>
  </r>
  <r>
    <x v="216"/>
    <x v="1"/>
    <d v="2025-09-26T00:00:00"/>
    <x v="3"/>
    <x v="1"/>
    <n v="16369"/>
    <n v="1452"/>
    <n v="493"/>
    <n v="1217"/>
    <n v="91440"/>
    <n v="149834"/>
    <s v="Apple Event September 2025"/>
  </r>
  <r>
    <x v="217"/>
    <x v="2"/>
    <d v="2024-06-11T00:00:00"/>
    <x v="2"/>
    <x v="16"/>
    <n v="14910"/>
    <n v="778"/>
    <n v="289"/>
    <n v="2541"/>
    <n v="14309"/>
    <n v="247815"/>
    <s v="Sustainability Awareness Drive"/>
  </r>
  <r>
    <x v="218"/>
    <x v="1"/>
    <d v="2025-01-28T00:00:00"/>
    <x v="3"/>
    <x v="9"/>
    <n v="9943"/>
    <n v="1274"/>
    <n v="336"/>
    <n v="389"/>
    <n v="6145"/>
    <n v="231305"/>
    <s v="Apple Watch Ultra 2 Launch"/>
  </r>
  <r>
    <x v="218"/>
    <x v="1"/>
    <d v="2025-01-28T00:00:00"/>
    <x v="3"/>
    <x v="10"/>
    <n v="9943"/>
    <n v="1274"/>
    <n v="336"/>
    <n v="389"/>
    <n v="6145"/>
    <n v="231305"/>
    <s v="Apple Watch Ultra 2 Launch"/>
  </r>
  <r>
    <x v="219"/>
    <x v="0"/>
    <d v="2024-06-02T00:00:00"/>
    <x v="2"/>
    <x v="2"/>
    <n v="14199"/>
    <n v="1206"/>
    <n v="954"/>
    <n v="2009"/>
    <n v="8"/>
    <n v="65537"/>
    <s v="Sustainability Awareness Drive"/>
  </r>
  <r>
    <x v="219"/>
    <x v="0"/>
    <d v="2024-06-02T00:00:00"/>
    <x v="2"/>
    <x v="3"/>
    <n v="14199"/>
    <n v="1206"/>
    <n v="954"/>
    <n v="2009"/>
    <n v="8"/>
    <n v="65537"/>
    <s v="Sustainability Awareness Drive"/>
  </r>
  <r>
    <x v="220"/>
    <x v="0"/>
    <d v="2025-03-23T00:00:00"/>
    <x v="3"/>
    <x v="9"/>
    <n v="17728"/>
    <n v="1487"/>
    <n v="210"/>
    <n v="2469"/>
    <n v="30565"/>
    <n v="117576"/>
    <s v="Apple Watch Ultra 2 Launch"/>
  </r>
  <r>
    <x v="220"/>
    <x v="0"/>
    <d v="2025-03-23T00:00:00"/>
    <x v="3"/>
    <x v="10"/>
    <n v="17728"/>
    <n v="1487"/>
    <n v="210"/>
    <n v="2469"/>
    <n v="30565"/>
    <n v="117576"/>
    <s v="Apple Watch Ultra 2 Launch"/>
  </r>
  <r>
    <x v="221"/>
    <x v="0"/>
    <d v="2024-10-08T00:00:00"/>
    <x v="1"/>
    <x v="16"/>
    <n v="8738"/>
    <n v="295"/>
    <n v="529"/>
    <n v="442"/>
    <n v="25286"/>
    <n v="147522"/>
    <s v="iPhone 16 Launch"/>
  </r>
  <r>
    <x v="222"/>
    <x v="3"/>
    <d v="2024-11-12T00:00:00"/>
    <x v="2"/>
    <x v="4"/>
    <n v="17913"/>
    <n v="1311"/>
    <n v="859"/>
    <n v="405"/>
    <n v="59842"/>
    <n v="62612"/>
    <s v="Sustainability Awareness Drive"/>
  </r>
  <r>
    <x v="222"/>
    <x v="3"/>
    <d v="2024-11-12T00:00:00"/>
    <x v="2"/>
    <x v="5"/>
    <n v="17913"/>
    <n v="1311"/>
    <n v="859"/>
    <n v="405"/>
    <n v="59842"/>
    <n v="62612"/>
    <s v="Sustainability Awareness Drive"/>
  </r>
  <r>
    <x v="223"/>
    <x v="1"/>
    <d v="2025-09-07T00:00:00"/>
    <x v="1"/>
    <x v="17"/>
    <n v="4472"/>
    <n v="1301"/>
    <n v="956"/>
    <n v="1186"/>
    <n v="3363"/>
    <n v="46471"/>
    <s v="Apple Event September 2025"/>
  </r>
  <r>
    <x v="223"/>
    <x v="1"/>
    <d v="2025-09-07T00:00:00"/>
    <x v="1"/>
    <x v="18"/>
    <n v="4472"/>
    <n v="1301"/>
    <n v="956"/>
    <n v="1186"/>
    <n v="3363"/>
    <n v="46471"/>
    <s v="Apple Event September 2025"/>
  </r>
  <r>
    <x v="224"/>
    <x v="3"/>
    <d v="2024-06-20T00:00:00"/>
    <x v="2"/>
    <x v="11"/>
    <n v="21123"/>
    <n v="1343"/>
    <n v="589"/>
    <n v="727"/>
    <n v="87833"/>
    <n v="206703"/>
    <s v="Apple Watch Ultra 2 Launch"/>
  </r>
  <r>
    <x v="224"/>
    <x v="3"/>
    <d v="2024-06-20T00:00:00"/>
    <x v="2"/>
    <x v="12"/>
    <n v="21123"/>
    <n v="1343"/>
    <n v="589"/>
    <n v="727"/>
    <n v="87833"/>
    <n v="206703"/>
    <s v="Apple Watch Ultra 2 Launch"/>
  </r>
  <r>
    <x v="225"/>
    <x v="3"/>
    <d v="2025-09-08T00:00:00"/>
    <x v="1"/>
    <x v="11"/>
    <n v="23785"/>
    <n v="1013"/>
    <n v="468"/>
    <n v="1628"/>
    <n v="8272"/>
    <n v="71348"/>
    <s v="Apple Event September 2025"/>
  </r>
  <r>
    <x v="225"/>
    <x v="3"/>
    <d v="2025-09-08T00:00:00"/>
    <x v="1"/>
    <x v="12"/>
    <n v="23785"/>
    <n v="1013"/>
    <n v="468"/>
    <n v="1628"/>
    <n v="8272"/>
    <n v="71348"/>
    <s v="Apple Event September 2025"/>
  </r>
  <r>
    <x v="226"/>
    <x v="2"/>
    <d v="2024-06-12T00:00:00"/>
    <x v="1"/>
    <x v="2"/>
    <n v="17679"/>
    <n v="690"/>
    <n v="451"/>
    <n v="2195"/>
    <n v="4390"/>
    <n v="235804"/>
    <s v="MacBook Air M3 Campaign"/>
  </r>
  <r>
    <x v="226"/>
    <x v="2"/>
    <d v="2024-06-12T00:00:00"/>
    <x v="1"/>
    <x v="3"/>
    <n v="17679"/>
    <n v="690"/>
    <n v="451"/>
    <n v="2195"/>
    <n v="4390"/>
    <n v="235804"/>
    <s v="MacBook Air M3 Campaign"/>
  </r>
  <r>
    <x v="227"/>
    <x v="3"/>
    <d v="2024-07-01T00:00:00"/>
    <x v="2"/>
    <x v="4"/>
    <n v="3761"/>
    <n v="651"/>
    <n v="493"/>
    <n v="2294"/>
    <n v="71696"/>
    <n v="41177"/>
    <s v="Apple Watch Ultra 2 Launch"/>
  </r>
  <r>
    <x v="227"/>
    <x v="3"/>
    <d v="2024-07-01T00:00:00"/>
    <x v="2"/>
    <x v="5"/>
    <n v="3761"/>
    <n v="651"/>
    <n v="493"/>
    <n v="2294"/>
    <n v="71696"/>
    <n v="41177"/>
    <s v="Apple Watch Ultra 2 Launch"/>
  </r>
  <r>
    <x v="228"/>
    <x v="2"/>
    <d v="2024-07-03T00:00:00"/>
    <x v="2"/>
    <x v="2"/>
    <n v="12167"/>
    <n v="364"/>
    <n v="160"/>
    <n v="616"/>
    <n v="42228"/>
    <n v="175832"/>
    <s v="Sustainability Awareness Drive"/>
  </r>
  <r>
    <x v="228"/>
    <x v="2"/>
    <d v="2024-07-03T00:00:00"/>
    <x v="2"/>
    <x v="3"/>
    <n v="12167"/>
    <n v="364"/>
    <n v="160"/>
    <n v="616"/>
    <n v="42228"/>
    <n v="175832"/>
    <s v="Sustainability Awareness Drive"/>
  </r>
  <r>
    <x v="229"/>
    <x v="2"/>
    <d v="2024-07-15T00:00:00"/>
    <x v="2"/>
    <x v="8"/>
    <n v="12554"/>
    <n v="381"/>
    <n v="211"/>
    <n v="2286"/>
    <n v="50567"/>
    <n v="72779"/>
    <s v="Apple Watch Ultra 2 Launch"/>
  </r>
  <r>
    <x v="230"/>
    <x v="3"/>
    <d v="2025-09-09T00:00:00"/>
    <x v="0"/>
    <x v="9"/>
    <n v="19260"/>
    <n v="668"/>
    <n v="994"/>
    <n v="934"/>
    <n v="20509"/>
    <n v="61636"/>
    <s v="Apple Event September 2025"/>
  </r>
  <r>
    <x v="230"/>
    <x v="3"/>
    <d v="2025-09-09T00:00:00"/>
    <x v="0"/>
    <x v="10"/>
    <n v="19260"/>
    <n v="668"/>
    <n v="994"/>
    <n v="934"/>
    <n v="20509"/>
    <n v="61636"/>
    <s v="Apple Event September 2025"/>
  </r>
  <r>
    <x v="231"/>
    <x v="1"/>
    <d v="2025-04-29T00:00:00"/>
    <x v="3"/>
    <x v="11"/>
    <n v="16277"/>
    <n v="1109"/>
    <n v="375"/>
    <n v="2225"/>
    <n v="1044"/>
    <n v="121889"/>
    <s v="iPhone 16 Launch"/>
  </r>
  <r>
    <x v="231"/>
    <x v="1"/>
    <d v="2025-04-29T00:00:00"/>
    <x v="3"/>
    <x v="12"/>
    <n v="16277"/>
    <n v="1109"/>
    <n v="375"/>
    <n v="2225"/>
    <n v="1044"/>
    <n v="121889"/>
    <s v="iPhone 16 Launch"/>
  </r>
  <r>
    <x v="232"/>
    <x v="1"/>
    <d v="2025-03-08T00:00:00"/>
    <x v="0"/>
    <x v="0"/>
    <n v="5812"/>
    <n v="934"/>
    <n v="302"/>
    <n v="2356"/>
    <n v="37437"/>
    <n v="93551"/>
    <s v="Apple Watch Ultra 2 Launch"/>
  </r>
  <r>
    <x v="232"/>
    <x v="1"/>
    <d v="2025-03-08T00:00:00"/>
    <x v="0"/>
    <x v="1"/>
    <n v="5812"/>
    <n v="934"/>
    <n v="302"/>
    <n v="2356"/>
    <n v="37437"/>
    <n v="93551"/>
    <s v="Apple Watch Ultra 2 Launch"/>
  </r>
  <r>
    <x v="233"/>
    <x v="1"/>
    <d v="2024-06-01T00:00:00"/>
    <x v="0"/>
    <x v="9"/>
    <n v="19844"/>
    <n v="1022"/>
    <n v="860"/>
    <n v="2570"/>
    <n v="23719"/>
    <n v="182628"/>
    <s v="Sustainability Awareness Drive"/>
  </r>
  <r>
    <x v="233"/>
    <x v="1"/>
    <d v="2024-06-01T00:00:00"/>
    <x v="0"/>
    <x v="10"/>
    <n v="19844"/>
    <n v="1022"/>
    <n v="860"/>
    <n v="2570"/>
    <n v="23719"/>
    <n v="182628"/>
    <s v="Sustainability Awareness Drive"/>
  </r>
  <r>
    <x v="234"/>
    <x v="1"/>
    <d v="2024-12-22T00:00:00"/>
    <x v="1"/>
    <x v="6"/>
    <n v="20117"/>
    <n v="1143"/>
    <n v="713"/>
    <n v="1739"/>
    <n v="34444"/>
    <n v="198670"/>
    <s v="MacBook Air M3 Campaign"/>
  </r>
  <r>
    <x v="234"/>
    <x v="1"/>
    <d v="2024-12-22T00:00:00"/>
    <x v="1"/>
    <x v="7"/>
    <n v="20117"/>
    <n v="1143"/>
    <n v="713"/>
    <n v="1739"/>
    <n v="34444"/>
    <n v="198670"/>
    <s v="MacBook Air M3 Campaign"/>
  </r>
  <r>
    <x v="235"/>
    <x v="1"/>
    <d v="2024-08-19T00:00:00"/>
    <x v="2"/>
    <x v="15"/>
    <n v="3605"/>
    <n v="206"/>
    <n v="921"/>
    <n v="852"/>
    <n v="11660"/>
    <n v="182635"/>
    <s v="iPhone 16 Launch"/>
  </r>
  <r>
    <x v="235"/>
    <x v="1"/>
    <d v="2024-08-19T00:00:00"/>
    <x v="2"/>
    <x v="8"/>
    <n v="3605"/>
    <n v="206"/>
    <n v="921"/>
    <n v="852"/>
    <n v="11660"/>
    <n v="182635"/>
    <s v="iPhone 16 Launch"/>
  </r>
  <r>
    <x v="236"/>
    <x v="3"/>
    <d v="2024-10-22T00:00:00"/>
    <x v="3"/>
    <x v="4"/>
    <n v="7622"/>
    <n v="529"/>
    <n v="720"/>
    <n v="1015"/>
    <n v="71322"/>
    <n v="86819"/>
    <s v="MacBook Air M3 Campaign"/>
  </r>
  <r>
    <x v="236"/>
    <x v="3"/>
    <d v="2024-10-22T00:00:00"/>
    <x v="3"/>
    <x v="5"/>
    <n v="7622"/>
    <n v="529"/>
    <n v="720"/>
    <n v="1015"/>
    <n v="71322"/>
    <n v="86819"/>
    <s v="MacBook Air M3 Campaign"/>
  </r>
  <r>
    <x v="237"/>
    <x v="3"/>
    <d v="2024-07-16T00:00:00"/>
    <x v="1"/>
    <x v="13"/>
    <n v="8767"/>
    <n v="974"/>
    <n v="733"/>
    <n v="1587"/>
    <n v="74927"/>
    <n v="113770"/>
    <s v="Apple Watch Ultra 2 Launch"/>
  </r>
  <r>
    <x v="237"/>
    <x v="3"/>
    <d v="2024-07-16T00:00:00"/>
    <x v="1"/>
    <x v="6"/>
    <n v="8767"/>
    <n v="974"/>
    <n v="733"/>
    <n v="1587"/>
    <n v="74927"/>
    <n v="113770"/>
    <s v="Apple Watch Ultra 2 Launch"/>
  </r>
  <r>
    <x v="238"/>
    <x v="0"/>
    <d v="2025-09-10T00:00:00"/>
    <x v="0"/>
    <x v="2"/>
    <n v="13613"/>
    <n v="350"/>
    <n v="809"/>
    <n v="2013"/>
    <n v="20471"/>
    <n v="198038"/>
    <s v="Apple Event September 2025"/>
  </r>
  <r>
    <x v="238"/>
    <x v="0"/>
    <d v="2025-09-10T00:00:00"/>
    <x v="0"/>
    <x v="3"/>
    <n v="13613"/>
    <n v="350"/>
    <n v="809"/>
    <n v="2013"/>
    <n v="20471"/>
    <n v="198038"/>
    <s v="Apple Event September 2025"/>
  </r>
  <r>
    <x v="239"/>
    <x v="1"/>
    <d v="2025-09-11T00:00:00"/>
    <x v="2"/>
    <x v="9"/>
    <n v="21901"/>
    <n v="1308"/>
    <n v="724"/>
    <n v="2183"/>
    <n v="15996"/>
    <n v="230961"/>
    <s v="Apple Event September 2025"/>
  </r>
  <r>
    <x v="239"/>
    <x v="1"/>
    <d v="2025-09-11T00:00:00"/>
    <x v="2"/>
    <x v="10"/>
    <n v="21901"/>
    <n v="1308"/>
    <n v="724"/>
    <n v="2183"/>
    <n v="15996"/>
    <n v="230961"/>
    <s v="Apple Event September 2025"/>
  </r>
  <r>
    <x v="240"/>
    <x v="3"/>
    <d v="2025-01-18T00:00:00"/>
    <x v="1"/>
    <x v="15"/>
    <n v="12589"/>
    <n v="346"/>
    <n v="459"/>
    <n v="1407"/>
    <n v="29254"/>
    <n v="198059"/>
    <s v="Sustainability Awareness Drive"/>
  </r>
  <r>
    <x v="240"/>
    <x v="3"/>
    <d v="2025-01-18T00:00:00"/>
    <x v="1"/>
    <x v="8"/>
    <n v="12589"/>
    <n v="346"/>
    <n v="459"/>
    <n v="1407"/>
    <n v="29254"/>
    <n v="198059"/>
    <s v="Sustainability Awareness Drive"/>
  </r>
  <r>
    <x v="241"/>
    <x v="0"/>
    <d v="2025-09-12T00:00:00"/>
    <x v="2"/>
    <x v="9"/>
    <n v="15918"/>
    <n v="1114"/>
    <n v="392"/>
    <n v="1641"/>
    <n v="28044"/>
    <n v="118714"/>
    <s v="Apple Event September 2025"/>
  </r>
  <r>
    <x v="241"/>
    <x v="0"/>
    <d v="2025-09-12T00:00:00"/>
    <x v="2"/>
    <x v="10"/>
    <n v="15918"/>
    <n v="1114"/>
    <n v="392"/>
    <n v="1641"/>
    <n v="28044"/>
    <n v="118714"/>
    <s v="Apple Event September 2025"/>
  </r>
  <r>
    <x v="242"/>
    <x v="1"/>
    <d v="2025-03-06T00:00:00"/>
    <x v="1"/>
    <x v="13"/>
    <n v="22119"/>
    <n v="899"/>
    <n v="642"/>
    <n v="410"/>
    <n v="49490"/>
    <n v="229420"/>
    <s v="iPhone 16 Launch"/>
  </r>
  <r>
    <x v="242"/>
    <x v="1"/>
    <d v="2025-03-06T00:00:00"/>
    <x v="1"/>
    <x v="6"/>
    <n v="22119"/>
    <n v="899"/>
    <n v="642"/>
    <n v="410"/>
    <n v="49490"/>
    <n v="229420"/>
    <s v="iPhone 16 Launch"/>
  </r>
  <r>
    <x v="243"/>
    <x v="2"/>
    <d v="2025-09-13T00:00:00"/>
    <x v="2"/>
    <x v="15"/>
    <n v="15046"/>
    <n v="281"/>
    <n v="515"/>
    <n v="550"/>
    <n v="22583"/>
    <n v="64596"/>
    <s v="Apple Event September 2025"/>
  </r>
  <r>
    <x v="243"/>
    <x v="2"/>
    <d v="2025-09-13T00:00:00"/>
    <x v="2"/>
    <x v="8"/>
    <n v="15046"/>
    <n v="281"/>
    <n v="515"/>
    <n v="550"/>
    <n v="22583"/>
    <n v="64596"/>
    <s v="Apple Event September 2025"/>
  </r>
  <r>
    <x v="244"/>
    <x v="0"/>
    <d v="2025-01-12T00:00:00"/>
    <x v="0"/>
    <x v="6"/>
    <n v="4590"/>
    <n v="713"/>
    <n v="479"/>
    <n v="2730"/>
    <n v="41050"/>
    <n v="204246"/>
    <s v="Sustainability Awareness Drive"/>
  </r>
  <r>
    <x v="244"/>
    <x v="0"/>
    <d v="2025-01-12T00:00:00"/>
    <x v="0"/>
    <x v="7"/>
    <n v="4590"/>
    <n v="713"/>
    <n v="479"/>
    <n v="2730"/>
    <n v="41050"/>
    <n v="204246"/>
    <s v="Sustainability Awareness Drive"/>
  </r>
  <r>
    <x v="245"/>
    <x v="3"/>
    <d v="2024-10-11T00:00:00"/>
    <x v="3"/>
    <x v="13"/>
    <n v="19447"/>
    <n v="1014"/>
    <n v="256"/>
    <n v="2354"/>
    <n v="5472"/>
    <n v="104106"/>
    <s v="Apple Watch Ultra 2 Launch"/>
  </r>
  <r>
    <x v="245"/>
    <x v="3"/>
    <d v="2024-10-11T00:00:00"/>
    <x v="3"/>
    <x v="6"/>
    <n v="19447"/>
    <n v="1014"/>
    <n v="256"/>
    <n v="2354"/>
    <n v="5472"/>
    <n v="104106"/>
    <s v="Apple Watch Ultra 2 Launch"/>
  </r>
  <r>
    <x v="246"/>
    <x v="2"/>
    <d v="2024-08-27T00:00:00"/>
    <x v="0"/>
    <x v="16"/>
    <n v="6324"/>
    <n v="908"/>
    <n v="375"/>
    <n v="758"/>
    <n v="34850"/>
    <n v="241039"/>
    <s v="Apple Watch Ultra 2 Launch"/>
  </r>
  <r>
    <x v="247"/>
    <x v="2"/>
    <d v="2025-09-14T00:00:00"/>
    <x v="3"/>
    <x v="6"/>
    <n v="12787"/>
    <n v="945"/>
    <n v="974"/>
    <n v="1407"/>
    <n v="4037"/>
    <n v="99182"/>
    <s v="Apple Event September 2025"/>
  </r>
  <r>
    <x v="247"/>
    <x v="2"/>
    <d v="2025-09-14T00:00:00"/>
    <x v="3"/>
    <x v="14"/>
    <n v="12787"/>
    <n v="945"/>
    <n v="974"/>
    <n v="1407"/>
    <n v="4037"/>
    <n v="99182"/>
    <s v="Apple Event September 2025"/>
  </r>
  <r>
    <x v="248"/>
    <x v="2"/>
    <d v="2024-07-18T00:00:00"/>
    <x v="2"/>
    <x v="16"/>
    <n v="11111"/>
    <n v="1222"/>
    <n v="367"/>
    <n v="507"/>
    <n v="14129"/>
    <n v="127163"/>
    <s v="MacBook Air M3 Campaign"/>
  </r>
  <r>
    <x v="249"/>
    <x v="0"/>
    <d v="2024-06-22T00:00:00"/>
    <x v="1"/>
    <x v="11"/>
    <n v="7342"/>
    <n v="906"/>
    <n v="902"/>
    <n v="1199"/>
    <n v="68488"/>
    <n v="79310"/>
    <s v="Apple Watch Ultra 2 Launch"/>
  </r>
  <r>
    <x v="249"/>
    <x v="0"/>
    <d v="2024-06-22T00:00:00"/>
    <x v="1"/>
    <x v="12"/>
    <n v="7342"/>
    <n v="906"/>
    <n v="902"/>
    <n v="1199"/>
    <n v="68488"/>
    <n v="79310"/>
    <s v="Apple Watch Ultra 2 Launch"/>
  </r>
  <r>
    <x v="250"/>
    <x v="3"/>
    <d v="2025-09-15T00:00:00"/>
    <x v="0"/>
    <x v="9"/>
    <n v="18389"/>
    <n v="670"/>
    <n v="655"/>
    <n v="321"/>
    <n v="21869"/>
    <n v="96088"/>
    <s v="Apple Event September 2025"/>
  </r>
  <r>
    <x v="250"/>
    <x v="3"/>
    <d v="2025-09-15T00:00:00"/>
    <x v="0"/>
    <x v="10"/>
    <n v="18389"/>
    <n v="670"/>
    <n v="655"/>
    <n v="321"/>
    <n v="21869"/>
    <n v="96088"/>
    <s v="Apple Event September 2025"/>
  </r>
  <r>
    <x v="251"/>
    <x v="2"/>
    <d v="2025-04-28T00:00:00"/>
    <x v="3"/>
    <x v="6"/>
    <n v="10659"/>
    <n v="1342"/>
    <n v="408"/>
    <n v="709"/>
    <n v="16309"/>
    <n v="168803"/>
    <s v="Sustainability Awareness Drive"/>
  </r>
  <r>
    <x v="251"/>
    <x v="2"/>
    <d v="2025-04-28T00:00:00"/>
    <x v="3"/>
    <x v="14"/>
    <n v="10659"/>
    <n v="1342"/>
    <n v="408"/>
    <n v="709"/>
    <n v="16309"/>
    <n v="168803"/>
    <s v="Sustainability Awareness Drive"/>
  </r>
  <r>
    <x v="252"/>
    <x v="1"/>
    <d v="2025-09-16T00:00:00"/>
    <x v="0"/>
    <x v="16"/>
    <n v="16043"/>
    <n v="595"/>
    <n v="923"/>
    <n v="1194"/>
    <n v="52613"/>
    <n v="179978"/>
    <s v="Apple Event September 2025"/>
  </r>
  <r>
    <x v="253"/>
    <x v="2"/>
    <d v="2025-01-14T00:00:00"/>
    <x v="3"/>
    <x v="6"/>
    <n v="24350"/>
    <n v="460"/>
    <n v="666"/>
    <n v="814"/>
    <n v="21120"/>
    <n v="76914"/>
    <s v="Apple Watch Ultra 2 Launch"/>
  </r>
  <r>
    <x v="253"/>
    <x v="2"/>
    <d v="2025-01-14T00:00:00"/>
    <x v="3"/>
    <x v="14"/>
    <n v="24350"/>
    <n v="460"/>
    <n v="666"/>
    <n v="814"/>
    <n v="21120"/>
    <n v="76914"/>
    <s v="Apple Watch Ultra 2 Launch"/>
  </r>
  <r>
    <x v="254"/>
    <x v="2"/>
    <d v="2025-04-03T00:00:00"/>
    <x v="0"/>
    <x v="17"/>
    <n v="10837"/>
    <n v="1004"/>
    <n v="922"/>
    <n v="1108"/>
    <n v="36807"/>
    <n v="150350"/>
    <s v="Sustainability Awareness Drive"/>
  </r>
  <r>
    <x v="254"/>
    <x v="2"/>
    <d v="2025-04-03T00:00:00"/>
    <x v="0"/>
    <x v="18"/>
    <n v="10837"/>
    <n v="1004"/>
    <n v="922"/>
    <n v="1108"/>
    <n v="36807"/>
    <n v="150350"/>
    <s v="Sustainability Awareness Drive"/>
  </r>
  <r>
    <x v="255"/>
    <x v="0"/>
    <d v="2025-09-17T00:00:00"/>
    <x v="3"/>
    <x v="9"/>
    <n v="2117"/>
    <n v="1133"/>
    <n v="203"/>
    <n v="1173"/>
    <n v="40125"/>
    <n v="85379"/>
    <s v="Apple Event September 2025"/>
  </r>
  <r>
    <x v="255"/>
    <x v="0"/>
    <d v="2025-09-17T00:00:00"/>
    <x v="3"/>
    <x v="10"/>
    <n v="2117"/>
    <n v="1133"/>
    <n v="203"/>
    <n v="1173"/>
    <n v="40125"/>
    <n v="85379"/>
    <s v="Apple Event September 2025"/>
  </r>
  <r>
    <x v="256"/>
    <x v="0"/>
    <d v="2025-04-06T00:00:00"/>
    <x v="3"/>
    <x v="6"/>
    <n v="15917"/>
    <n v="1479"/>
    <n v="196"/>
    <n v="313"/>
    <n v="48524"/>
    <n v="249684"/>
    <s v="iPhone 16 Launch"/>
  </r>
  <r>
    <x v="256"/>
    <x v="0"/>
    <d v="2025-04-06T00:00:00"/>
    <x v="3"/>
    <x v="14"/>
    <n v="15917"/>
    <n v="1479"/>
    <n v="196"/>
    <n v="313"/>
    <n v="48524"/>
    <n v="249684"/>
    <s v="iPhone 16 Launch"/>
  </r>
  <r>
    <x v="257"/>
    <x v="3"/>
    <d v="2024-08-05T00:00:00"/>
    <x v="2"/>
    <x v="0"/>
    <n v="20935"/>
    <n v="1104"/>
    <n v="876"/>
    <n v="1270"/>
    <n v="21454"/>
    <n v="208722"/>
    <s v="Sustainability Awareness Drive"/>
  </r>
  <r>
    <x v="257"/>
    <x v="3"/>
    <d v="2024-08-05T00:00:00"/>
    <x v="2"/>
    <x v="1"/>
    <n v="20935"/>
    <n v="1104"/>
    <n v="876"/>
    <n v="1270"/>
    <n v="21454"/>
    <n v="208722"/>
    <s v="Sustainability Awareness Drive"/>
  </r>
  <r>
    <x v="258"/>
    <x v="1"/>
    <d v="2025-02-10T00:00:00"/>
    <x v="3"/>
    <x v="2"/>
    <n v="16309"/>
    <n v="1449"/>
    <n v="838"/>
    <n v="2434"/>
    <n v="2940"/>
    <n v="217953"/>
    <s v="iPhone 16 Launch"/>
  </r>
  <r>
    <x v="258"/>
    <x v="1"/>
    <d v="2025-02-10T00:00:00"/>
    <x v="3"/>
    <x v="3"/>
    <n v="16309"/>
    <n v="1449"/>
    <n v="838"/>
    <n v="2434"/>
    <n v="2940"/>
    <n v="217953"/>
    <s v="iPhone 16 Launch"/>
  </r>
  <r>
    <x v="259"/>
    <x v="0"/>
    <d v="2025-02-12T00:00:00"/>
    <x v="2"/>
    <x v="2"/>
    <n v="15234"/>
    <n v="1276"/>
    <n v="670"/>
    <n v="1860"/>
    <n v="60397"/>
    <n v="86413"/>
    <s v="MacBook Air M3 Campaign"/>
  </r>
  <r>
    <x v="259"/>
    <x v="0"/>
    <d v="2025-02-12T00:00:00"/>
    <x v="2"/>
    <x v="3"/>
    <n v="15234"/>
    <n v="1276"/>
    <n v="670"/>
    <n v="1860"/>
    <n v="60397"/>
    <n v="86413"/>
    <s v="MacBook Air M3 Campaign"/>
  </r>
  <r>
    <x v="260"/>
    <x v="2"/>
    <d v="2024-10-27T00:00:00"/>
    <x v="3"/>
    <x v="0"/>
    <n v="7560"/>
    <n v="1139"/>
    <n v="248"/>
    <n v="1624"/>
    <n v="72237"/>
    <n v="177084"/>
    <s v="Sustainability Awareness Drive"/>
  </r>
  <r>
    <x v="260"/>
    <x v="2"/>
    <d v="2024-10-27T00:00:00"/>
    <x v="3"/>
    <x v="1"/>
    <n v="7560"/>
    <n v="1139"/>
    <n v="248"/>
    <n v="1624"/>
    <n v="72237"/>
    <n v="177084"/>
    <s v="Sustainability Awareness Drive"/>
  </r>
  <r>
    <x v="261"/>
    <x v="3"/>
    <d v="2025-01-18T00:00:00"/>
    <x v="1"/>
    <x v="15"/>
    <n v="22673"/>
    <n v="1053"/>
    <n v="169"/>
    <n v="1566"/>
    <n v="9417"/>
    <n v="221187"/>
    <s v="iPhone 16 Launch"/>
  </r>
  <r>
    <x v="261"/>
    <x v="3"/>
    <d v="2025-01-18T00:00:00"/>
    <x v="1"/>
    <x v="8"/>
    <n v="22673"/>
    <n v="1053"/>
    <n v="169"/>
    <n v="1566"/>
    <n v="9417"/>
    <n v="221187"/>
    <s v="iPhone 16 Launch"/>
  </r>
  <r>
    <x v="262"/>
    <x v="2"/>
    <d v="2024-08-20T00:00:00"/>
    <x v="1"/>
    <x v="8"/>
    <n v="2846"/>
    <n v="792"/>
    <n v="902"/>
    <n v="2469"/>
    <n v="12130"/>
    <n v="47151"/>
    <s v="Apple Watch Ultra 2 Launch"/>
  </r>
  <r>
    <x v="263"/>
    <x v="2"/>
    <d v="2025-01-30T00:00:00"/>
    <x v="1"/>
    <x v="15"/>
    <n v="12954"/>
    <n v="913"/>
    <n v="722"/>
    <n v="1049"/>
    <n v="475"/>
    <n v="97716"/>
    <s v="Apple Watch Ultra 2 Launch"/>
  </r>
  <r>
    <x v="263"/>
    <x v="2"/>
    <d v="2025-01-30T00:00:00"/>
    <x v="1"/>
    <x v="8"/>
    <n v="12954"/>
    <n v="913"/>
    <n v="722"/>
    <n v="1049"/>
    <n v="475"/>
    <n v="97716"/>
    <s v="Apple Watch Ultra 2 Launch"/>
  </r>
  <r>
    <x v="264"/>
    <x v="0"/>
    <d v="2025-02-20T00:00:00"/>
    <x v="3"/>
    <x v="13"/>
    <n v="15703"/>
    <n v="1381"/>
    <n v="639"/>
    <n v="984"/>
    <n v="10967"/>
    <n v="133747"/>
    <s v="MacBook Air M3 Campaign"/>
  </r>
  <r>
    <x v="264"/>
    <x v="0"/>
    <d v="2025-02-20T00:00:00"/>
    <x v="3"/>
    <x v="6"/>
    <n v="15703"/>
    <n v="1381"/>
    <n v="639"/>
    <n v="984"/>
    <n v="10967"/>
    <n v="133747"/>
    <s v="MacBook Air M3 Campaign"/>
  </r>
  <r>
    <x v="265"/>
    <x v="3"/>
    <d v="2024-11-25T00:00:00"/>
    <x v="2"/>
    <x v="13"/>
    <n v="17385"/>
    <n v="831"/>
    <n v="568"/>
    <n v="2227"/>
    <n v="49351"/>
    <n v="207450"/>
    <s v="Sustainability Awareness Drive"/>
  </r>
  <r>
    <x v="265"/>
    <x v="3"/>
    <d v="2024-11-25T00:00:00"/>
    <x v="2"/>
    <x v="6"/>
    <n v="17385"/>
    <n v="831"/>
    <n v="568"/>
    <n v="2227"/>
    <n v="49351"/>
    <n v="207450"/>
    <s v="Sustainability Awareness Drive"/>
  </r>
  <r>
    <x v="266"/>
    <x v="1"/>
    <d v="2024-10-04T00:00:00"/>
    <x v="2"/>
    <x v="6"/>
    <n v="15746"/>
    <n v="258"/>
    <n v="839"/>
    <n v="2656"/>
    <n v="66614"/>
    <n v="213724"/>
    <s v="Sustainability Awareness Drive"/>
  </r>
  <r>
    <x v="266"/>
    <x v="1"/>
    <d v="2024-10-04T00:00:00"/>
    <x v="2"/>
    <x v="14"/>
    <n v="15746"/>
    <n v="258"/>
    <n v="839"/>
    <n v="2656"/>
    <n v="66614"/>
    <n v="213724"/>
    <s v="Sustainability Awareness Drive"/>
  </r>
  <r>
    <x v="267"/>
    <x v="1"/>
    <d v="2025-04-13T00:00:00"/>
    <x v="3"/>
    <x v="16"/>
    <n v="24700"/>
    <n v="327"/>
    <n v="999"/>
    <n v="994"/>
    <n v="59400"/>
    <n v="243502"/>
    <s v="Sustainability Awareness Drive"/>
  </r>
  <r>
    <x v="268"/>
    <x v="0"/>
    <d v="2024-11-05T00:00:00"/>
    <x v="1"/>
    <x v="16"/>
    <n v="8469"/>
    <n v="935"/>
    <n v="211"/>
    <n v="2635"/>
    <n v="21890"/>
    <n v="184539"/>
    <s v="MacBook Air M3 Campaign"/>
  </r>
  <r>
    <x v="269"/>
    <x v="0"/>
    <d v="2025-01-15T00:00:00"/>
    <x v="1"/>
    <x v="2"/>
    <n v="11333"/>
    <n v="920"/>
    <n v="294"/>
    <n v="606"/>
    <n v="59490"/>
    <n v="202082"/>
    <s v="Sustainability Awareness Drive"/>
  </r>
  <r>
    <x v="269"/>
    <x v="0"/>
    <d v="2025-01-15T00:00:00"/>
    <x v="1"/>
    <x v="3"/>
    <n v="11333"/>
    <n v="920"/>
    <n v="294"/>
    <n v="606"/>
    <n v="59490"/>
    <n v="202082"/>
    <s v="Sustainability Awareness Drive"/>
  </r>
  <r>
    <x v="270"/>
    <x v="3"/>
    <d v="2024-10-17T00:00:00"/>
    <x v="2"/>
    <x v="4"/>
    <n v="18608"/>
    <n v="1338"/>
    <n v="365"/>
    <n v="2289"/>
    <n v="20785"/>
    <n v="161999"/>
    <s v="Apple Watch Ultra 2 Launch"/>
  </r>
  <r>
    <x v="270"/>
    <x v="3"/>
    <d v="2024-10-17T00:00:00"/>
    <x v="2"/>
    <x v="5"/>
    <n v="18608"/>
    <n v="1338"/>
    <n v="365"/>
    <n v="2289"/>
    <n v="20785"/>
    <n v="161999"/>
    <s v="Apple Watch Ultra 2 Launch"/>
  </r>
  <r>
    <x v="271"/>
    <x v="1"/>
    <d v="2025-03-27T00:00:00"/>
    <x v="1"/>
    <x v="15"/>
    <n v="14819"/>
    <n v="1432"/>
    <n v="152"/>
    <n v="961"/>
    <n v="39154"/>
    <n v="154793"/>
    <s v="iPhone 16 Launch"/>
  </r>
  <r>
    <x v="271"/>
    <x v="1"/>
    <d v="2025-03-27T00:00:00"/>
    <x v="1"/>
    <x v="8"/>
    <n v="14819"/>
    <n v="1432"/>
    <n v="152"/>
    <n v="961"/>
    <n v="39154"/>
    <n v="154793"/>
    <s v="iPhone 16 Launch"/>
  </r>
  <r>
    <x v="272"/>
    <x v="1"/>
    <d v="2024-10-12T00:00:00"/>
    <x v="0"/>
    <x v="17"/>
    <n v="6208"/>
    <n v="725"/>
    <n v="309"/>
    <n v="848"/>
    <n v="39319"/>
    <n v="225763"/>
    <s v="Apple Watch Ultra 2 Launch"/>
  </r>
  <r>
    <x v="272"/>
    <x v="1"/>
    <d v="2024-10-12T00:00:00"/>
    <x v="0"/>
    <x v="18"/>
    <n v="6208"/>
    <n v="725"/>
    <n v="309"/>
    <n v="848"/>
    <n v="39319"/>
    <n v="225763"/>
    <s v="Apple Watch Ultra 2 Launch"/>
  </r>
  <r>
    <x v="273"/>
    <x v="1"/>
    <d v="2025-01-01T00:00:00"/>
    <x v="2"/>
    <x v="9"/>
    <n v="8283"/>
    <n v="720"/>
    <n v="888"/>
    <n v="611"/>
    <n v="52791"/>
    <n v="235229"/>
    <s v="Apple Watch Ultra 2 Launch"/>
  </r>
  <r>
    <x v="273"/>
    <x v="1"/>
    <d v="2025-01-01T00:00:00"/>
    <x v="2"/>
    <x v="10"/>
    <n v="8283"/>
    <n v="720"/>
    <n v="888"/>
    <n v="611"/>
    <n v="52791"/>
    <n v="235229"/>
    <s v="Apple Watch Ultra 2 Launch"/>
  </r>
  <r>
    <x v="274"/>
    <x v="2"/>
    <d v="2024-08-05T00:00:00"/>
    <x v="1"/>
    <x v="11"/>
    <n v="4048"/>
    <n v="751"/>
    <n v="930"/>
    <n v="1382"/>
    <n v="16844"/>
    <n v="148177"/>
    <s v="iPhone 16 Launch"/>
  </r>
  <r>
    <x v="274"/>
    <x v="2"/>
    <d v="2024-08-05T00:00:00"/>
    <x v="1"/>
    <x v="12"/>
    <n v="4048"/>
    <n v="751"/>
    <n v="930"/>
    <n v="1382"/>
    <n v="16844"/>
    <n v="148177"/>
    <s v="iPhone 16 Launch"/>
  </r>
  <r>
    <x v="275"/>
    <x v="1"/>
    <d v="2024-06-07T00:00:00"/>
    <x v="2"/>
    <x v="6"/>
    <n v="8233"/>
    <n v="436"/>
    <n v="269"/>
    <n v="2037"/>
    <n v="8875"/>
    <n v="52289"/>
    <s v="Apple Watch Ultra 2 Launch"/>
  </r>
  <r>
    <x v="275"/>
    <x v="1"/>
    <d v="2024-06-07T00:00:00"/>
    <x v="2"/>
    <x v="7"/>
    <n v="8233"/>
    <n v="436"/>
    <n v="269"/>
    <n v="2037"/>
    <n v="8875"/>
    <n v="52289"/>
    <s v="Apple Watch Ultra 2 Launch"/>
  </r>
  <r>
    <x v="276"/>
    <x v="2"/>
    <d v="2025-04-06T00:00:00"/>
    <x v="0"/>
    <x v="16"/>
    <n v="14941"/>
    <n v="1424"/>
    <n v="238"/>
    <n v="1054"/>
    <n v="20516"/>
    <n v="216048"/>
    <s v="MacBook Air M3 Campaign"/>
  </r>
  <r>
    <x v="277"/>
    <x v="3"/>
    <d v="2024-11-26T00:00:00"/>
    <x v="2"/>
    <x v="9"/>
    <n v="14607"/>
    <n v="1458"/>
    <n v="478"/>
    <n v="334"/>
    <n v="49257"/>
    <n v="214668"/>
    <s v="iPhone 16 Launch"/>
  </r>
  <r>
    <x v="277"/>
    <x v="3"/>
    <d v="2024-11-26T00:00:00"/>
    <x v="2"/>
    <x v="10"/>
    <n v="14607"/>
    <n v="1458"/>
    <n v="478"/>
    <n v="334"/>
    <n v="49257"/>
    <n v="214668"/>
    <s v="iPhone 16 Launch"/>
  </r>
  <r>
    <x v="278"/>
    <x v="2"/>
    <d v="2024-09-02T00:00:00"/>
    <x v="2"/>
    <x v="6"/>
    <n v="11765"/>
    <n v="693"/>
    <n v="729"/>
    <n v="744"/>
    <n v="97772"/>
    <n v="194243"/>
    <s v="Apple Watch Ultra 2 Launch"/>
  </r>
  <r>
    <x v="278"/>
    <x v="2"/>
    <d v="2024-09-02T00:00:00"/>
    <x v="2"/>
    <x v="7"/>
    <n v="11765"/>
    <n v="693"/>
    <n v="729"/>
    <n v="744"/>
    <n v="97772"/>
    <n v="194243"/>
    <s v="Apple Watch Ultra 2 Launch"/>
  </r>
  <r>
    <x v="279"/>
    <x v="3"/>
    <d v="2025-09-18T00:00:00"/>
    <x v="2"/>
    <x v="9"/>
    <n v="3828"/>
    <n v="203"/>
    <n v="506"/>
    <n v="2440"/>
    <n v="63650"/>
    <n v="126365"/>
    <s v="Apple Event September 2025"/>
  </r>
  <r>
    <x v="279"/>
    <x v="3"/>
    <d v="2025-09-18T00:00:00"/>
    <x v="2"/>
    <x v="10"/>
    <n v="3828"/>
    <n v="203"/>
    <n v="506"/>
    <n v="2440"/>
    <n v="63650"/>
    <n v="126365"/>
    <s v="Apple Event September 2025"/>
  </r>
  <r>
    <x v="280"/>
    <x v="1"/>
    <d v="2025-03-22T00:00:00"/>
    <x v="2"/>
    <x v="6"/>
    <n v="3917"/>
    <n v="865"/>
    <n v="759"/>
    <n v="2282"/>
    <n v="56125"/>
    <n v="154014"/>
    <s v="Apple Watch Ultra 2 Launch"/>
  </r>
  <r>
    <x v="280"/>
    <x v="1"/>
    <d v="2025-03-22T00:00:00"/>
    <x v="2"/>
    <x v="14"/>
    <n v="3917"/>
    <n v="865"/>
    <n v="759"/>
    <n v="2282"/>
    <n v="56125"/>
    <n v="154014"/>
    <s v="Apple Watch Ultra 2 Launch"/>
  </r>
  <r>
    <x v="281"/>
    <x v="1"/>
    <d v="2024-10-03T00:00:00"/>
    <x v="0"/>
    <x v="6"/>
    <n v="22618"/>
    <n v="641"/>
    <n v="416"/>
    <n v="1530"/>
    <n v="18395"/>
    <n v="215211"/>
    <s v="MacBook Air M3 Campaign"/>
  </r>
  <r>
    <x v="281"/>
    <x v="1"/>
    <d v="2024-10-03T00:00:00"/>
    <x v="0"/>
    <x v="7"/>
    <n v="22618"/>
    <n v="641"/>
    <n v="416"/>
    <n v="1530"/>
    <n v="18395"/>
    <n v="215211"/>
    <s v="MacBook Air M3 Campaign"/>
  </r>
  <r>
    <x v="282"/>
    <x v="3"/>
    <d v="2025-05-09T00:00:00"/>
    <x v="3"/>
    <x v="11"/>
    <n v="8988"/>
    <n v="228"/>
    <n v="766"/>
    <n v="652"/>
    <n v="63789"/>
    <n v="219785"/>
    <s v="Sustainability Awareness Drive"/>
  </r>
  <r>
    <x v="282"/>
    <x v="3"/>
    <d v="2025-05-09T00:00:00"/>
    <x v="3"/>
    <x v="12"/>
    <n v="8988"/>
    <n v="228"/>
    <n v="766"/>
    <n v="652"/>
    <n v="63789"/>
    <n v="219785"/>
    <s v="Sustainability Awareness Drive"/>
  </r>
  <r>
    <x v="283"/>
    <x v="0"/>
    <d v="2024-09-17T00:00:00"/>
    <x v="2"/>
    <x v="9"/>
    <n v="20410"/>
    <n v="1332"/>
    <n v="472"/>
    <n v="1202"/>
    <n v="9418"/>
    <n v="200806"/>
    <s v="Apple Watch Ultra 2 Launch"/>
  </r>
  <r>
    <x v="283"/>
    <x v="0"/>
    <d v="2024-09-17T00:00:00"/>
    <x v="2"/>
    <x v="10"/>
    <n v="20410"/>
    <n v="1332"/>
    <n v="472"/>
    <n v="1202"/>
    <n v="9418"/>
    <n v="200806"/>
    <s v="Apple Watch Ultra 2 Launch"/>
  </r>
  <r>
    <x v="284"/>
    <x v="3"/>
    <d v="2024-07-18T00:00:00"/>
    <x v="2"/>
    <x v="0"/>
    <n v="16594"/>
    <n v="809"/>
    <n v="784"/>
    <n v="1655"/>
    <n v="35505"/>
    <n v="112588"/>
    <s v="Sustainability Awareness Drive"/>
  </r>
  <r>
    <x v="284"/>
    <x v="3"/>
    <d v="2024-07-18T00:00:00"/>
    <x v="2"/>
    <x v="1"/>
    <n v="16594"/>
    <n v="809"/>
    <n v="784"/>
    <n v="1655"/>
    <n v="35505"/>
    <n v="112588"/>
    <s v="Sustainability Awareness Drive"/>
  </r>
  <r>
    <x v="285"/>
    <x v="0"/>
    <d v="2025-09-19T00:00:00"/>
    <x v="1"/>
    <x v="11"/>
    <n v="22128"/>
    <n v="1004"/>
    <n v="690"/>
    <n v="2048"/>
    <n v="19443"/>
    <n v="103646"/>
    <s v="Apple Event September 2025"/>
  </r>
  <r>
    <x v="285"/>
    <x v="0"/>
    <d v="2025-09-19T00:00:00"/>
    <x v="1"/>
    <x v="12"/>
    <n v="22128"/>
    <n v="1004"/>
    <n v="690"/>
    <n v="2048"/>
    <n v="19443"/>
    <n v="103646"/>
    <s v="Apple Event September 2025"/>
  </r>
  <r>
    <x v="286"/>
    <x v="2"/>
    <d v="2024-08-15T00:00:00"/>
    <x v="2"/>
    <x v="6"/>
    <n v="14977"/>
    <n v="274"/>
    <n v="798"/>
    <n v="458"/>
    <n v="6636"/>
    <n v="43654"/>
    <s v="Apple Watch Ultra 2 Launch"/>
  </r>
  <r>
    <x v="286"/>
    <x v="2"/>
    <d v="2024-08-15T00:00:00"/>
    <x v="2"/>
    <x v="7"/>
    <n v="14977"/>
    <n v="274"/>
    <n v="798"/>
    <n v="458"/>
    <n v="6636"/>
    <n v="43654"/>
    <s v="Apple Watch Ultra 2 Launch"/>
  </r>
  <r>
    <x v="287"/>
    <x v="2"/>
    <d v="2025-04-17T00:00:00"/>
    <x v="1"/>
    <x v="11"/>
    <n v="2009"/>
    <n v="1037"/>
    <n v="344"/>
    <n v="2277"/>
    <n v="85743"/>
    <n v="58743"/>
    <s v="iPhone 16 Launch"/>
  </r>
  <r>
    <x v="287"/>
    <x v="2"/>
    <d v="2025-04-17T00:00:00"/>
    <x v="1"/>
    <x v="12"/>
    <n v="2009"/>
    <n v="1037"/>
    <n v="344"/>
    <n v="2277"/>
    <n v="85743"/>
    <n v="58743"/>
    <s v="iPhone 16 Launch"/>
  </r>
  <r>
    <x v="288"/>
    <x v="2"/>
    <d v="2024-11-28T00:00:00"/>
    <x v="3"/>
    <x v="9"/>
    <n v="18644"/>
    <n v="1369"/>
    <n v="887"/>
    <n v="1256"/>
    <n v="43415"/>
    <n v="88368"/>
    <s v="Sustainability Awareness Drive"/>
  </r>
  <r>
    <x v="288"/>
    <x v="2"/>
    <d v="2024-11-28T00:00:00"/>
    <x v="3"/>
    <x v="10"/>
    <n v="18644"/>
    <n v="1369"/>
    <n v="887"/>
    <n v="1256"/>
    <n v="43415"/>
    <n v="88368"/>
    <s v="Sustainability Awareness Drive"/>
  </r>
  <r>
    <x v="289"/>
    <x v="1"/>
    <d v="2025-09-20T00:00:00"/>
    <x v="0"/>
    <x v="8"/>
    <n v="24422"/>
    <n v="327"/>
    <n v="481"/>
    <n v="2371"/>
    <n v="35340"/>
    <n v="245244"/>
    <s v="Apple Event September 2025"/>
  </r>
  <r>
    <x v="290"/>
    <x v="2"/>
    <d v="2024-11-06T00:00:00"/>
    <x v="0"/>
    <x v="9"/>
    <n v="11865"/>
    <n v="241"/>
    <n v="319"/>
    <n v="703"/>
    <n v="69596"/>
    <n v="177513"/>
    <s v="iPhone 16 Launch"/>
  </r>
  <r>
    <x v="290"/>
    <x v="2"/>
    <d v="2024-11-06T00:00:00"/>
    <x v="0"/>
    <x v="10"/>
    <n v="11865"/>
    <n v="241"/>
    <n v="319"/>
    <n v="703"/>
    <n v="69596"/>
    <n v="177513"/>
    <s v="iPhone 16 Launch"/>
  </r>
  <r>
    <x v="291"/>
    <x v="0"/>
    <d v="2024-11-17T00:00:00"/>
    <x v="3"/>
    <x v="9"/>
    <n v="4219"/>
    <n v="240"/>
    <n v="670"/>
    <n v="815"/>
    <n v="11978"/>
    <n v="159735"/>
    <s v="iPhone 16 Launch"/>
  </r>
  <r>
    <x v="291"/>
    <x v="0"/>
    <d v="2024-11-17T00:00:00"/>
    <x v="3"/>
    <x v="10"/>
    <n v="4219"/>
    <n v="240"/>
    <n v="670"/>
    <n v="815"/>
    <n v="11978"/>
    <n v="159735"/>
    <s v="iPhone 16 Launch"/>
  </r>
  <r>
    <x v="292"/>
    <x v="2"/>
    <d v="2025-05-14T00:00:00"/>
    <x v="0"/>
    <x v="6"/>
    <n v="9041"/>
    <n v="1133"/>
    <n v="612"/>
    <n v="1687"/>
    <n v="28102"/>
    <n v="195683"/>
    <s v="iPhone 16 Launch"/>
  </r>
  <r>
    <x v="292"/>
    <x v="2"/>
    <d v="2025-05-14T00:00:00"/>
    <x v="0"/>
    <x v="14"/>
    <n v="9041"/>
    <n v="1133"/>
    <n v="612"/>
    <n v="1687"/>
    <n v="28102"/>
    <n v="195683"/>
    <s v="iPhone 16 Launch"/>
  </r>
  <r>
    <x v="293"/>
    <x v="3"/>
    <d v="2024-06-19T00:00:00"/>
    <x v="3"/>
    <x v="15"/>
    <n v="20444"/>
    <n v="233"/>
    <n v="189"/>
    <n v="2879"/>
    <n v="28185"/>
    <n v="159891"/>
    <s v="iPhone 16 Launch"/>
  </r>
  <r>
    <x v="293"/>
    <x v="3"/>
    <d v="2024-06-19T00:00:00"/>
    <x v="3"/>
    <x v="8"/>
    <n v="20444"/>
    <n v="233"/>
    <n v="189"/>
    <n v="2879"/>
    <n v="28185"/>
    <n v="159891"/>
    <s v="iPhone 16 Launch"/>
  </r>
  <r>
    <x v="294"/>
    <x v="3"/>
    <d v="2025-05-06T00:00:00"/>
    <x v="3"/>
    <x v="0"/>
    <n v="7287"/>
    <n v="1240"/>
    <n v="686"/>
    <n v="1255"/>
    <n v="15403"/>
    <n v="147971"/>
    <s v="Apple Watch Ultra 2 Launch"/>
  </r>
  <r>
    <x v="294"/>
    <x v="3"/>
    <d v="2025-05-06T00:00:00"/>
    <x v="3"/>
    <x v="1"/>
    <n v="7287"/>
    <n v="1240"/>
    <n v="686"/>
    <n v="1255"/>
    <n v="15403"/>
    <n v="147971"/>
    <s v="Apple Watch Ultra 2 Launch"/>
  </r>
  <r>
    <x v="295"/>
    <x v="1"/>
    <d v="2025-02-11T00:00:00"/>
    <x v="3"/>
    <x v="17"/>
    <n v="3619"/>
    <n v="1376"/>
    <n v="410"/>
    <n v="2499"/>
    <n v="58146"/>
    <n v="52149"/>
    <s v="Apple Watch Ultra 2 Launch"/>
  </r>
  <r>
    <x v="295"/>
    <x v="1"/>
    <d v="2025-02-11T00:00:00"/>
    <x v="3"/>
    <x v="18"/>
    <n v="3619"/>
    <n v="1376"/>
    <n v="410"/>
    <n v="2499"/>
    <n v="58146"/>
    <n v="52149"/>
    <s v="Apple Watch Ultra 2 Launch"/>
  </r>
  <r>
    <x v="296"/>
    <x v="3"/>
    <d v="2024-12-24T00:00:00"/>
    <x v="0"/>
    <x v="16"/>
    <n v="10512"/>
    <n v="1197"/>
    <n v="544"/>
    <n v="2012"/>
    <n v="10245"/>
    <n v="140102"/>
    <s v="Apple Watch Ultra 2 Launch"/>
  </r>
  <r>
    <x v="297"/>
    <x v="0"/>
    <d v="2025-09-24T00:00:00"/>
    <x v="1"/>
    <x v="13"/>
    <n v="3342"/>
    <n v="787"/>
    <n v="375"/>
    <n v="907"/>
    <n v="85823"/>
    <n v="99189"/>
    <s v="Apple Event September 2025"/>
  </r>
  <r>
    <x v="297"/>
    <x v="0"/>
    <d v="2025-09-24T00:00:00"/>
    <x v="1"/>
    <x v="6"/>
    <n v="3342"/>
    <n v="787"/>
    <n v="375"/>
    <n v="907"/>
    <n v="85823"/>
    <n v="99189"/>
    <s v="Apple Event September 2025"/>
  </r>
  <r>
    <x v="298"/>
    <x v="2"/>
    <d v="2025-09-25T00:00:00"/>
    <x v="3"/>
    <x v="15"/>
    <n v="12568"/>
    <n v="541"/>
    <n v="273"/>
    <n v="2767"/>
    <n v="22331"/>
    <n v="192747"/>
    <s v="Apple Event September 2025"/>
  </r>
  <r>
    <x v="298"/>
    <x v="2"/>
    <d v="2025-09-25T00:00:00"/>
    <x v="3"/>
    <x v="8"/>
    <n v="12568"/>
    <n v="541"/>
    <n v="273"/>
    <n v="2767"/>
    <n v="22331"/>
    <n v="192747"/>
    <s v="Apple Event September 2025"/>
  </r>
  <r>
    <x v="299"/>
    <x v="1"/>
    <d v="2025-09-26T00:00:00"/>
    <x v="2"/>
    <x v="13"/>
    <n v="21216"/>
    <n v="226"/>
    <n v="187"/>
    <n v="1573"/>
    <n v="62688"/>
    <n v="111031"/>
    <s v="Apple Event September 2025"/>
  </r>
  <r>
    <x v="299"/>
    <x v="1"/>
    <d v="2025-09-26T00:00:00"/>
    <x v="2"/>
    <x v="6"/>
    <n v="21216"/>
    <n v="226"/>
    <n v="187"/>
    <n v="1573"/>
    <n v="62688"/>
    <n v="111031"/>
    <s v="Apple Event September 202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7">
  <r>
    <s v="A82"/>
    <s v="LinkedIn"/>
    <d v="2024-07-24T00:00:00"/>
    <s v="Video"/>
    <x v="0"/>
    <n v="22914"/>
    <n v="954"/>
    <n v="584"/>
    <n v="1519"/>
    <n v="13637"/>
    <n v="49847"/>
    <s v="Apple Watch Ultra 2 Launch"/>
    <n v="0.49054105563022848"/>
  </r>
  <r>
    <s v="A82"/>
    <s v="LinkedIn"/>
    <d v="2024-07-24T00:00:00"/>
    <s v="Video"/>
    <x v="1"/>
    <n v="22914"/>
    <n v="954"/>
    <n v="584"/>
    <n v="1519"/>
    <n v="13637"/>
    <n v="49847"/>
    <s v="Apple Watch Ultra 2 Launch"/>
    <n v="0.49054105563022848"/>
  </r>
  <r>
    <s v="A201"/>
    <s v="YouTube"/>
    <d v="2025-01-15T00:00:00"/>
    <s v="Tweet"/>
    <x v="2"/>
    <n v="20360"/>
    <n v="254"/>
    <n v="726"/>
    <n v="1995"/>
    <n v="14280"/>
    <n v="43726"/>
    <s v="iPhone 16 Launch"/>
    <n v="0.48803915290673738"/>
  </r>
  <r>
    <s v="A121"/>
    <s v="LinkedIn"/>
    <d v="2024-07-29T00:00:00"/>
    <s v="Video"/>
    <x v="3"/>
    <n v="19144"/>
    <n v="1182"/>
    <n v="860"/>
    <n v="1398"/>
    <n v="4185"/>
    <n v="46570"/>
    <s v="Apple Watch Ultra 2 Launch"/>
    <n v="0.454928065278076"/>
  </r>
  <r>
    <s v="A121"/>
    <s v="LinkedIn"/>
    <d v="2024-07-29T00:00:00"/>
    <s v="Video"/>
    <x v="4"/>
    <n v="19144"/>
    <n v="1182"/>
    <n v="860"/>
    <n v="1398"/>
    <n v="4185"/>
    <n v="46570"/>
    <s v="Apple Watch Ultra 2 Launch"/>
    <n v="0.454928065278076"/>
  </r>
  <r>
    <s v="A127"/>
    <s v="Twitter"/>
    <d v="2025-01-27T00:00:00"/>
    <s v="Image"/>
    <x v="5"/>
    <n v="24415"/>
    <n v="860"/>
    <n v="931"/>
    <n v="320"/>
    <n v="65049"/>
    <n v="62911"/>
    <s v="Apple Watch Ultra 2 Launch"/>
    <n v="0.41655672298962027"/>
  </r>
  <r>
    <s v="A127"/>
    <s v="Twitter"/>
    <d v="2025-01-27T00:00:00"/>
    <s v="Image"/>
    <x v="6"/>
    <n v="24415"/>
    <n v="860"/>
    <n v="931"/>
    <n v="320"/>
    <n v="65049"/>
    <n v="62911"/>
    <s v="Apple Watch Ultra 2 Launch"/>
    <n v="0.41655672298962027"/>
  </r>
  <r>
    <s v="A13"/>
    <s v="YouTube"/>
    <d v="2024-11-18T00:00:00"/>
    <s v="Carousel"/>
    <x v="0"/>
    <n v="21255"/>
    <n v="1452"/>
    <n v="625"/>
    <n v="1624"/>
    <n v="21282"/>
    <n v="57778"/>
    <s v="MacBook Air M3 Campaign"/>
    <n v="0.40382152376337016"/>
  </r>
  <r>
    <s v="A13"/>
    <s v="YouTube"/>
    <d v="2024-11-18T00:00:00"/>
    <s v="Carousel"/>
    <x v="1"/>
    <n v="21255"/>
    <n v="1452"/>
    <n v="625"/>
    <n v="1624"/>
    <n v="21282"/>
    <n v="57778"/>
    <s v="MacBook Air M3 Campaign"/>
    <n v="0.40382152376337016"/>
  </r>
  <r>
    <s v="A123"/>
    <s v="Twitter"/>
    <d v="2024-06-14T00:00:00"/>
    <s v="Video"/>
    <x v="5"/>
    <n v="17183"/>
    <n v="1224"/>
    <n v="943"/>
    <n v="2010"/>
    <n v="21481"/>
    <n v="49110"/>
    <s v="Sustainability Awareness Drive"/>
    <n v="0.39401343921808185"/>
  </r>
  <r>
    <s v="A123"/>
    <s v="Twitter"/>
    <d v="2024-06-14T00:00:00"/>
    <s v="Video"/>
    <x v="6"/>
    <n v="17183"/>
    <n v="1224"/>
    <n v="943"/>
    <n v="2010"/>
    <n v="21481"/>
    <n v="49110"/>
    <s v="Sustainability Awareness Drive"/>
    <n v="0.39401343921808185"/>
  </r>
  <r>
    <s v="A287"/>
    <s v="Instagram"/>
    <d v="2024-08-15T00:00:00"/>
    <s v="Video"/>
    <x v="5"/>
    <n v="14977"/>
    <n v="274"/>
    <n v="798"/>
    <n v="458"/>
    <n v="6636"/>
    <n v="43654"/>
    <s v="Apple Watch Ultra 2 Launch"/>
    <n v="0.36764099509781462"/>
  </r>
  <r>
    <s v="A287"/>
    <s v="Instagram"/>
    <d v="2024-08-15T00:00:00"/>
    <s v="Video"/>
    <x v="7"/>
    <n v="14977"/>
    <n v="274"/>
    <n v="798"/>
    <n v="458"/>
    <n v="6636"/>
    <n v="43654"/>
    <s v="Apple Watch Ultra 2 Launch"/>
    <n v="0.36764099509781462"/>
  </r>
  <r>
    <s v="A226"/>
    <s v="Twitter"/>
    <d v="2025-09-08T00:00:00"/>
    <s v="Tweet"/>
    <x v="8"/>
    <n v="23785"/>
    <n v="1013"/>
    <n v="468"/>
    <n v="1628"/>
    <n v="8272"/>
    <n v="71348"/>
    <s v="Apple Event September 2025"/>
    <n v="0.35412345125301342"/>
  </r>
  <r>
    <s v="A226"/>
    <s v="Twitter"/>
    <d v="2025-09-08T00:00:00"/>
    <s v="Tweet"/>
    <x v="9"/>
    <n v="23785"/>
    <n v="1013"/>
    <n v="468"/>
    <n v="1628"/>
    <n v="8272"/>
    <n v="71348"/>
    <s v="Apple Event September 2025"/>
    <n v="0.35412345125301342"/>
  </r>
  <r>
    <s v="A231"/>
    <s v="Twitter"/>
    <d v="2025-09-09T00:00:00"/>
    <s v="Image"/>
    <x v="0"/>
    <n v="19260"/>
    <n v="668"/>
    <n v="994"/>
    <n v="934"/>
    <n v="20509"/>
    <n v="61636"/>
    <s v="Apple Event September 2025"/>
    <n v="0.33944448049841003"/>
  </r>
  <r>
    <s v="A231"/>
    <s v="Twitter"/>
    <d v="2025-09-09T00:00:00"/>
    <s v="Image"/>
    <x v="1"/>
    <n v="19260"/>
    <n v="668"/>
    <n v="994"/>
    <n v="934"/>
    <n v="20509"/>
    <n v="61636"/>
    <s v="Apple Event September 2025"/>
    <n v="0.33944448049841003"/>
  </r>
  <r>
    <s v="A185"/>
    <s v="Instagram"/>
    <d v="2025-01-11T00:00:00"/>
    <s v="Image"/>
    <x v="10"/>
    <n v="21181"/>
    <n v="1242"/>
    <n v="963"/>
    <n v="1689"/>
    <n v="49329"/>
    <n v="69165"/>
    <s v="Apple Watch Ultra 2 Launch"/>
    <n v="0.33811899081905589"/>
  </r>
  <r>
    <s v="A185"/>
    <s v="Instagram"/>
    <d v="2025-01-11T00:00:00"/>
    <s v="Image"/>
    <x v="11"/>
    <n v="21181"/>
    <n v="1242"/>
    <n v="963"/>
    <n v="1689"/>
    <n v="49329"/>
    <n v="69165"/>
    <s v="Apple Watch Ultra 2 Launch"/>
    <n v="0.33811899081905589"/>
  </r>
  <r>
    <s v="A106"/>
    <s v="Twitter"/>
    <d v="2025-02-04T00:00:00"/>
    <s v="Carousel"/>
    <x v="8"/>
    <n v="23833"/>
    <n v="555"/>
    <n v="523"/>
    <n v="1330"/>
    <n v="69141"/>
    <n v="73997"/>
    <s v="iPhone 16 Launch"/>
    <n v="0.33664878305877266"/>
  </r>
  <r>
    <s v="A106"/>
    <s v="Twitter"/>
    <d v="2025-02-04T00:00:00"/>
    <s v="Carousel"/>
    <x v="9"/>
    <n v="23833"/>
    <n v="555"/>
    <n v="523"/>
    <n v="1330"/>
    <n v="69141"/>
    <n v="73997"/>
    <s v="iPhone 16 Launch"/>
    <n v="0.33664878305877266"/>
  </r>
  <r>
    <s v="A174"/>
    <s v="LinkedIn"/>
    <d v="2024-06-22T00:00:00"/>
    <s v="Carousel"/>
    <x v="3"/>
    <n v="13479"/>
    <n v="1189"/>
    <n v="695"/>
    <n v="416"/>
    <n v="30229"/>
    <n v="45704"/>
    <s v="Apple Watch Ultra 2 Launch"/>
    <n v="0.33614125678277612"/>
  </r>
  <r>
    <s v="A174"/>
    <s v="LinkedIn"/>
    <d v="2024-06-22T00:00:00"/>
    <s v="Carousel"/>
    <x v="4"/>
    <n v="13479"/>
    <n v="1189"/>
    <n v="695"/>
    <n v="416"/>
    <n v="30229"/>
    <n v="45704"/>
    <s v="Apple Watch Ultra 2 Launch"/>
    <n v="0.33614125678277612"/>
  </r>
  <r>
    <s v="A254"/>
    <s v="Instagram"/>
    <d v="2025-01-14T00:00:00"/>
    <s v="Carousel"/>
    <x v="5"/>
    <n v="24350"/>
    <n v="460"/>
    <n v="666"/>
    <n v="814"/>
    <n v="21120"/>
    <n v="76914"/>
    <s v="Apple Watch Ultra 2 Launch"/>
    <n v="0.33122708479600593"/>
  </r>
  <r>
    <s v="A254"/>
    <s v="Instagram"/>
    <d v="2025-01-14T00:00:00"/>
    <s v="Carousel"/>
    <x v="6"/>
    <n v="24350"/>
    <n v="460"/>
    <n v="666"/>
    <n v="814"/>
    <n v="21120"/>
    <n v="76914"/>
    <s v="Apple Watch Ultra 2 Launch"/>
    <n v="0.33122708479600593"/>
  </r>
  <r>
    <s v="A223"/>
    <s v="Twitter"/>
    <d v="2024-11-12T00:00:00"/>
    <s v="Video"/>
    <x v="12"/>
    <n v="17913"/>
    <n v="1311"/>
    <n v="859"/>
    <n v="405"/>
    <n v="59842"/>
    <n v="62612"/>
    <s v="Sustainability Awareness Drive"/>
    <n v="0.32075321024723696"/>
  </r>
  <r>
    <s v="A223"/>
    <s v="Twitter"/>
    <d v="2024-11-12T00:00:00"/>
    <s v="Video"/>
    <x v="13"/>
    <n v="17913"/>
    <n v="1311"/>
    <n v="859"/>
    <n v="405"/>
    <n v="59842"/>
    <n v="62612"/>
    <s v="Sustainability Awareness Drive"/>
    <n v="0.32075321024723696"/>
  </r>
  <r>
    <s v="A164"/>
    <s v="LinkedIn"/>
    <d v="2025-02-27T00:00:00"/>
    <s v="Image"/>
    <x v="10"/>
    <n v="16178"/>
    <n v="1048"/>
    <n v="871"/>
    <n v="2553"/>
    <n v="39025"/>
    <n v="59508"/>
    <s v="Apple Watch Ultra 2 Launch"/>
    <n v="0.30411037171472743"/>
  </r>
  <r>
    <s v="A164"/>
    <s v="LinkedIn"/>
    <d v="2025-02-27T00:00:00"/>
    <s v="Image"/>
    <x v="11"/>
    <n v="16178"/>
    <n v="1048"/>
    <n v="871"/>
    <n v="2553"/>
    <n v="39025"/>
    <n v="59508"/>
    <s v="Apple Watch Ultra 2 Launch"/>
    <n v="0.30411037171472743"/>
  </r>
  <r>
    <s v="A151"/>
    <s v="YouTube"/>
    <d v="2024-07-26T00:00:00"/>
    <s v="Video"/>
    <x v="14"/>
    <n v="18282"/>
    <n v="224"/>
    <n v="962"/>
    <n v="890"/>
    <n v="35105"/>
    <n v="64089"/>
    <s v="iPhone 16 Launch"/>
    <n v="0.30376507669022768"/>
  </r>
  <r>
    <s v="A140"/>
    <s v="Instagram"/>
    <d v="2024-07-15T00:00:00"/>
    <s v="Tweet"/>
    <x v="0"/>
    <n v="14891"/>
    <n v="674"/>
    <n v="521"/>
    <n v="1091"/>
    <n v="18101"/>
    <n v="53669"/>
    <s v="Apple Watch Ultra 2 Launch"/>
    <n v="0.29972609886526674"/>
  </r>
  <r>
    <s v="A140"/>
    <s v="Instagram"/>
    <d v="2024-07-15T00:00:00"/>
    <s v="Tweet"/>
    <x v="1"/>
    <n v="14891"/>
    <n v="674"/>
    <n v="521"/>
    <n v="1091"/>
    <n v="18101"/>
    <n v="53669"/>
    <s v="Apple Watch Ultra 2 Launch"/>
    <n v="0.29972609886526674"/>
  </r>
  <r>
    <s v="A83"/>
    <s v="Instagram"/>
    <d v="2024-10-15T00:00:00"/>
    <s v="Carousel"/>
    <x v="2"/>
    <n v="17781"/>
    <n v="993"/>
    <n v="627"/>
    <n v="2187"/>
    <n v="9609"/>
    <n v="66155"/>
    <s v="iPhone 16 Launch"/>
    <n v="0.29326581513113142"/>
  </r>
  <r>
    <s v="A196"/>
    <s v="Twitter"/>
    <d v="2025-09-18T00:00:00"/>
    <s v="Tweet"/>
    <x v="14"/>
    <n v="10152"/>
    <n v="1445"/>
    <n v="526"/>
    <n v="513"/>
    <n v="18959"/>
    <n v="43712"/>
    <s v="Apple Event September 2025"/>
    <n v="0.27733803074670571"/>
  </r>
  <r>
    <s v="A136"/>
    <s v="Instagram"/>
    <d v="2025-10-02T00:00:00"/>
    <s v="Carousel"/>
    <x v="12"/>
    <n v="12161"/>
    <n v="736"/>
    <n v="876"/>
    <n v="1233"/>
    <n v="21337"/>
    <n v="50225"/>
    <s v="Apple Event September 2025"/>
    <n v="0.27422598307615731"/>
  </r>
  <r>
    <s v="A136"/>
    <s v="Instagram"/>
    <d v="2025-10-02T00:00:00"/>
    <s v="Carousel"/>
    <x v="13"/>
    <n v="12161"/>
    <n v="736"/>
    <n v="876"/>
    <n v="1233"/>
    <n v="21337"/>
    <n v="50225"/>
    <s v="Apple Event September 2025"/>
    <n v="0.27422598307615731"/>
  </r>
  <r>
    <s v="A5"/>
    <s v="YouTube"/>
    <d v="2025-09-04T00:00:00"/>
    <s v="Video"/>
    <x v="3"/>
    <n v="21708"/>
    <n v="435"/>
    <n v="317"/>
    <n v="1213"/>
    <n v="70701"/>
    <n v="83585"/>
    <s v="Apple Event September 2025"/>
    <n v="0.26870850032900639"/>
  </r>
  <r>
    <s v="A5"/>
    <s v="YouTube"/>
    <d v="2025-09-04T00:00:00"/>
    <s v="Video"/>
    <x v="4"/>
    <n v="21708"/>
    <n v="435"/>
    <n v="317"/>
    <n v="1213"/>
    <n v="70701"/>
    <n v="83585"/>
    <s v="Apple Event September 2025"/>
    <n v="0.26870850032900639"/>
  </r>
  <r>
    <s v="A80"/>
    <s v="LinkedIn"/>
    <d v="2024-06-13T00:00:00"/>
    <s v="Image"/>
    <x v="3"/>
    <n v="14173"/>
    <n v="294"/>
    <n v="257"/>
    <n v="1288"/>
    <n v="39466"/>
    <n v="55563"/>
    <s v="MacBook Air M3 Campaign"/>
    <n v="0.26499649047027696"/>
  </r>
  <r>
    <s v="A80"/>
    <s v="LinkedIn"/>
    <d v="2024-06-13T00:00:00"/>
    <s v="Image"/>
    <x v="4"/>
    <n v="14173"/>
    <n v="294"/>
    <n v="257"/>
    <n v="1288"/>
    <n v="39466"/>
    <n v="55563"/>
    <s v="MacBook Air M3 Campaign"/>
    <n v="0.26499649047027696"/>
  </r>
  <r>
    <s v="A150"/>
    <s v="LinkedIn"/>
    <d v="2024-08-22T00:00:00"/>
    <s v="Video"/>
    <x v="15"/>
    <n v="16124"/>
    <n v="863"/>
    <n v="337"/>
    <n v="819"/>
    <n v="85788"/>
    <n v="68625"/>
    <s v="iPhone 16 Launch"/>
    <n v="0.25244444444444447"/>
  </r>
  <r>
    <s v="A150"/>
    <s v="LinkedIn"/>
    <d v="2024-08-22T00:00:00"/>
    <s v="Video"/>
    <x v="2"/>
    <n v="16124"/>
    <n v="863"/>
    <n v="337"/>
    <n v="819"/>
    <n v="85788"/>
    <n v="68625"/>
    <s v="iPhone 16 Launch"/>
    <n v="0.25244444444444447"/>
  </r>
  <r>
    <s v="A220"/>
    <s v="YouTube"/>
    <d v="2024-06-02T00:00:00"/>
    <s v="Video"/>
    <x v="10"/>
    <n v="14199"/>
    <n v="1206"/>
    <n v="954"/>
    <n v="2009"/>
    <n v="8"/>
    <n v="65537"/>
    <s v="Sustainability Awareness Drive"/>
    <n v="0.24961472145505592"/>
  </r>
  <r>
    <s v="A220"/>
    <s v="YouTube"/>
    <d v="2024-06-02T00:00:00"/>
    <s v="Video"/>
    <x v="11"/>
    <n v="14199"/>
    <n v="1206"/>
    <n v="954"/>
    <n v="2009"/>
    <n v="8"/>
    <n v="65537"/>
    <s v="Sustainability Awareness Drive"/>
    <n v="0.24961472145505592"/>
  </r>
  <r>
    <s v="A21"/>
    <s v="Twitter"/>
    <d v="2025-09-08T00:00:00"/>
    <s v="Carousel"/>
    <x v="15"/>
    <n v="22309"/>
    <n v="773"/>
    <n v="854"/>
    <n v="2387"/>
    <n v="72396"/>
    <n v="97056"/>
    <s v="Apple Event September 2025"/>
    <n v="0.24662050774810418"/>
  </r>
  <r>
    <s v="A21"/>
    <s v="Twitter"/>
    <d v="2025-09-08T00:00:00"/>
    <s v="Carousel"/>
    <x v="2"/>
    <n v="22309"/>
    <n v="773"/>
    <n v="854"/>
    <n v="2387"/>
    <n v="72396"/>
    <n v="97056"/>
    <s v="Apple Event September 2025"/>
    <n v="0.24662050774810418"/>
  </r>
  <r>
    <s v="A244"/>
    <s v="Instagram"/>
    <d v="2025-09-13T00:00:00"/>
    <s v="Video"/>
    <x v="15"/>
    <n v="15046"/>
    <n v="281"/>
    <n v="515"/>
    <n v="550"/>
    <n v="22583"/>
    <n v="64596"/>
    <s v="Apple Event September 2025"/>
    <n v="0.24524738373893121"/>
  </r>
  <r>
    <s v="A244"/>
    <s v="Instagram"/>
    <d v="2025-09-13T00:00:00"/>
    <s v="Video"/>
    <x v="2"/>
    <n v="15046"/>
    <n v="281"/>
    <n v="515"/>
    <n v="550"/>
    <n v="22583"/>
    <n v="64596"/>
    <s v="Apple Event September 2025"/>
    <n v="0.24524738373893121"/>
  </r>
  <r>
    <s v="A76"/>
    <s v="Twitter"/>
    <d v="2024-11-07T00:00:00"/>
    <s v="Carousel"/>
    <x v="2"/>
    <n v="17254"/>
    <n v="246"/>
    <n v="952"/>
    <n v="871"/>
    <n v="14957"/>
    <n v="75946"/>
    <s v="MacBook Air M3 Campaign"/>
    <n v="0.24296210465330631"/>
  </r>
  <r>
    <s v="A216"/>
    <s v="Instagram"/>
    <d v="2024-07-29T00:00:00"/>
    <s v="Tweet"/>
    <x v="3"/>
    <n v="22590"/>
    <n v="1462"/>
    <n v="966"/>
    <n v="2463"/>
    <n v="29689"/>
    <n v="103449"/>
    <s v="Sustainability Awareness Drive"/>
    <n v="0.24183897379385011"/>
  </r>
  <r>
    <s v="A216"/>
    <s v="Instagram"/>
    <d v="2024-07-29T00:00:00"/>
    <s v="Tweet"/>
    <x v="4"/>
    <n v="22590"/>
    <n v="1462"/>
    <n v="966"/>
    <n v="2463"/>
    <n v="29689"/>
    <n v="103449"/>
    <s v="Sustainability Awareness Drive"/>
    <n v="0.24183897379385011"/>
  </r>
  <r>
    <s v="A51"/>
    <s v="YouTube"/>
    <d v="2024-06-13T00:00:00"/>
    <s v="Carousel"/>
    <x v="8"/>
    <n v="23164"/>
    <n v="1122"/>
    <n v="900"/>
    <n v="888"/>
    <n v="36938"/>
    <n v="104674"/>
    <s v="Apple Watch Ultra 2 Launch"/>
    <n v="0.24061371496264594"/>
  </r>
  <r>
    <s v="A51"/>
    <s v="YouTube"/>
    <d v="2024-06-13T00:00:00"/>
    <s v="Carousel"/>
    <x v="9"/>
    <n v="23164"/>
    <n v="1122"/>
    <n v="900"/>
    <n v="888"/>
    <n v="36938"/>
    <n v="104674"/>
    <s v="Apple Watch Ultra 2 Launch"/>
    <n v="0.24061371496264594"/>
  </r>
  <r>
    <s v="A6"/>
    <s v="LinkedIn"/>
    <d v="2025-09-05T00:00:00"/>
    <s v="Image"/>
    <x v="2"/>
    <n v="14677"/>
    <n v="533"/>
    <n v="759"/>
    <n v="753"/>
    <n v="23275"/>
    <n v="66958"/>
    <s v="Apple Event September 2025"/>
    <n v="0.23849278652289496"/>
  </r>
  <r>
    <s v="A289"/>
    <s v="Instagram"/>
    <d v="2024-11-28T00:00:00"/>
    <s v="Carousel"/>
    <x v="0"/>
    <n v="18644"/>
    <n v="1369"/>
    <n v="887"/>
    <n v="1256"/>
    <n v="43415"/>
    <n v="88368"/>
    <s v="Sustainability Awareness Drive"/>
    <n v="0.23651095419156257"/>
  </r>
  <r>
    <s v="A289"/>
    <s v="Instagram"/>
    <d v="2024-11-28T00:00:00"/>
    <s v="Carousel"/>
    <x v="1"/>
    <n v="18644"/>
    <n v="1369"/>
    <n v="887"/>
    <n v="1256"/>
    <n v="43415"/>
    <n v="88368"/>
    <s v="Sustainability Awareness Drive"/>
    <n v="0.23651095419156257"/>
  </r>
  <r>
    <s v="A186"/>
    <s v="Instagram"/>
    <d v="2024-08-24T00:00:00"/>
    <s v="Video"/>
    <x v="12"/>
    <n v="24890"/>
    <n v="217"/>
    <n v="178"/>
    <n v="906"/>
    <n v="54826"/>
    <n v="107203"/>
    <s v="Sustainability Awareness Drive"/>
    <n v="0.23586093672751696"/>
  </r>
  <r>
    <s v="A186"/>
    <s v="Instagram"/>
    <d v="2024-08-24T00:00:00"/>
    <s v="Video"/>
    <x v="13"/>
    <n v="24890"/>
    <n v="217"/>
    <n v="178"/>
    <n v="906"/>
    <n v="54826"/>
    <n v="107203"/>
    <s v="Sustainability Awareness Drive"/>
    <n v="0.23586093672751696"/>
  </r>
  <r>
    <s v="A61"/>
    <s v="YouTube"/>
    <d v="2024-09-05T00:00:00"/>
    <s v="Carousel"/>
    <x v="14"/>
    <n v="16489"/>
    <n v="395"/>
    <n v="350"/>
    <n v="2364"/>
    <n v="43239"/>
    <n v="73397"/>
    <s v="MacBook Air M3 Campaign"/>
    <n v="0.23480523727127811"/>
  </r>
  <r>
    <s v="A286"/>
    <s v="YouTube"/>
    <d v="2025-09-19T00:00:00"/>
    <s v="Tweet"/>
    <x v="8"/>
    <n v="22128"/>
    <n v="1004"/>
    <n v="690"/>
    <n v="2048"/>
    <n v="19443"/>
    <n v="103646"/>
    <s v="Apple Event September 2025"/>
    <n v="0.22984003241803833"/>
  </r>
  <r>
    <s v="A286"/>
    <s v="YouTube"/>
    <d v="2025-09-19T00:00:00"/>
    <s v="Tweet"/>
    <x v="9"/>
    <n v="22128"/>
    <n v="1004"/>
    <n v="690"/>
    <n v="2048"/>
    <n v="19443"/>
    <n v="103646"/>
    <s v="Apple Event September 2025"/>
    <n v="0.22984003241803833"/>
  </r>
  <r>
    <s v="A105"/>
    <s v="Twitter"/>
    <d v="2024-06-14T00:00:00"/>
    <s v="Carousel"/>
    <x v="16"/>
    <n v="21856"/>
    <n v="1203"/>
    <n v="634"/>
    <n v="2807"/>
    <n v="3647"/>
    <n v="104178"/>
    <s v="iPhone 16 Launch"/>
    <n v="0.22742805582752595"/>
  </r>
  <r>
    <s v="A105"/>
    <s v="Twitter"/>
    <d v="2024-06-14T00:00:00"/>
    <s v="Carousel"/>
    <x v="5"/>
    <n v="21856"/>
    <n v="1203"/>
    <n v="634"/>
    <n v="2807"/>
    <n v="3647"/>
    <n v="104178"/>
    <s v="iPhone 16 Launch"/>
    <n v="0.22742805582752595"/>
  </r>
  <r>
    <s v="A119"/>
    <s v="LinkedIn"/>
    <d v="2025-02-07T00:00:00"/>
    <s v="Carousel"/>
    <x v="17"/>
    <n v="20290"/>
    <n v="619"/>
    <n v="927"/>
    <n v="1186"/>
    <n v="8924"/>
    <n v="96503"/>
    <s v="MacBook Air M3 Campaign"/>
    <n v="0.22627275835984373"/>
  </r>
  <r>
    <s v="A119"/>
    <s v="LinkedIn"/>
    <d v="2025-02-07T00:00:00"/>
    <s v="Carousel"/>
    <x v="18"/>
    <n v="20290"/>
    <n v="619"/>
    <n v="927"/>
    <n v="1186"/>
    <n v="8924"/>
    <n v="96503"/>
    <s v="MacBook Air M3 Campaign"/>
    <n v="0.22627275835984373"/>
  </r>
  <r>
    <s v="A170"/>
    <s v="Twitter"/>
    <d v="2025-04-28T00:00:00"/>
    <s v="Carousel"/>
    <x v="15"/>
    <n v="15013"/>
    <n v="1286"/>
    <n v="599"/>
    <n v="2001"/>
    <n v="67839"/>
    <n v="76059"/>
    <s v="Apple Watch Ultra 2 Launch"/>
    <n v="0.22216963147030594"/>
  </r>
  <r>
    <s v="A170"/>
    <s v="Twitter"/>
    <d v="2025-04-28T00:00:00"/>
    <s v="Carousel"/>
    <x v="2"/>
    <n v="15013"/>
    <n v="1286"/>
    <n v="599"/>
    <n v="2001"/>
    <n v="67839"/>
    <n v="76059"/>
    <s v="Apple Watch Ultra 2 Launch"/>
    <n v="0.22216963147030594"/>
  </r>
  <r>
    <s v="A46"/>
    <s v="LinkedIn"/>
    <d v="2025-05-02T00:00:00"/>
    <s v="Tweet"/>
    <x v="5"/>
    <n v="17444"/>
    <n v="1402"/>
    <n v="218"/>
    <n v="725"/>
    <n v="8710"/>
    <n v="85893"/>
    <s v="MacBook Air M3 Campaign"/>
    <n v="0.22195056640238436"/>
  </r>
  <r>
    <s v="A46"/>
    <s v="LinkedIn"/>
    <d v="2025-05-02T00:00:00"/>
    <s v="Tweet"/>
    <x v="6"/>
    <n v="17444"/>
    <n v="1402"/>
    <n v="218"/>
    <n v="725"/>
    <n v="8710"/>
    <n v="85893"/>
    <s v="MacBook Air M3 Campaign"/>
    <n v="0.22195056640238436"/>
  </r>
  <r>
    <s v="A187"/>
    <s v="Twitter"/>
    <d v="2024-12-22T00:00:00"/>
    <s v="Tweet"/>
    <x v="17"/>
    <n v="7870"/>
    <n v="968"/>
    <n v="626"/>
    <n v="465"/>
    <n v="27184"/>
    <n v="44114"/>
    <s v="MacBook Air M3 Campaign"/>
    <n v="0.2145350682323072"/>
  </r>
  <r>
    <s v="A187"/>
    <s v="Twitter"/>
    <d v="2024-12-22T00:00:00"/>
    <s v="Tweet"/>
    <x v="18"/>
    <n v="7870"/>
    <n v="968"/>
    <n v="626"/>
    <n v="465"/>
    <n v="27184"/>
    <n v="44114"/>
    <s v="MacBook Air M3 Campaign"/>
    <n v="0.2145350682323072"/>
  </r>
  <r>
    <s v="A190"/>
    <s v="Twitter"/>
    <d v="2024-10-04T00:00:00"/>
    <s v="Image"/>
    <x v="0"/>
    <n v="21729"/>
    <n v="1209"/>
    <n v="897"/>
    <n v="1624"/>
    <n v="38771"/>
    <n v="113297"/>
    <s v="iPhone 16 Launch"/>
    <n v="0.21037626768581694"/>
  </r>
  <r>
    <s v="A190"/>
    <s v="Twitter"/>
    <d v="2024-10-04T00:00:00"/>
    <s v="Image"/>
    <x v="1"/>
    <n v="21729"/>
    <n v="1209"/>
    <n v="897"/>
    <n v="1624"/>
    <n v="38771"/>
    <n v="113297"/>
    <s v="iPhone 16 Launch"/>
    <n v="0.21037626768581694"/>
  </r>
  <r>
    <s v="A251"/>
    <s v="Twitter"/>
    <d v="2025-09-15T00:00:00"/>
    <s v="Image"/>
    <x v="0"/>
    <n v="18389"/>
    <n v="670"/>
    <n v="655"/>
    <n v="321"/>
    <n v="21869"/>
    <n v="96088"/>
    <s v="Apple Event September 2025"/>
    <n v="0.2051660977437349"/>
  </r>
  <r>
    <s v="A251"/>
    <s v="Twitter"/>
    <d v="2025-09-15T00:00:00"/>
    <s v="Image"/>
    <x v="1"/>
    <n v="18389"/>
    <n v="670"/>
    <n v="655"/>
    <n v="321"/>
    <n v="21869"/>
    <n v="96088"/>
    <s v="Apple Event September 2025"/>
    <n v="0.2051660977437349"/>
  </r>
  <r>
    <s v="A74"/>
    <s v="Twitter"/>
    <d v="2024-10-28T00:00:00"/>
    <s v="Carousel"/>
    <x v="5"/>
    <n v="21198"/>
    <n v="1484"/>
    <n v="174"/>
    <n v="1293"/>
    <n v="16330"/>
    <n v="111635"/>
    <s v="iPhone 16 Launch"/>
    <n v="0.20473865723115511"/>
  </r>
  <r>
    <s v="A74"/>
    <s v="Twitter"/>
    <d v="2024-10-28T00:00:00"/>
    <s v="Carousel"/>
    <x v="7"/>
    <n v="21198"/>
    <n v="1484"/>
    <n v="174"/>
    <n v="1293"/>
    <n v="16330"/>
    <n v="111635"/>
    <s v="iPhone 16 Launch"/>
    <n v="0.20473865723115511"/>
  </r>
  <r>
    <s v="A42"/>
    <s v="YouTube"/>
    <d v="2025-03-05T00:00:00"/>
    <s v="Carousel"/>
    <x v="5"/>
    <n v="12916"/>
    <n v="1262"/>
    <n v="772"/>
    <n v="856"/>
    <n v="11496"/>
    <n v="75046"/>
    <s v="Sustainability Awareness Drive"/>
    <n v="0.19921115049436347"/>
  </r>
  <r>
    <s v="A42"/>
    <s v="YouTube"/>
    <d v="2025-03-05T00:00:00"/>
    <s v="Carousel"/>
    <x v="6"/>
    <n v="12916"/>
    <n v="1262"/>
    <n v="772"/>
    <n v="856"/>
    <n v="11496"/>
    <n v="75046"/>
    <s v="Sustainability Awareness Drive"/>
    <n v="0.19921115049436347"/>
  </r>
  <r>
    <s v="A246"/>
    <s v="Twitter"/>
    <d v="2024-10-11T00:00:00"/>
    <s v="Carousel"/>
    <x v="16"/>
    <n v="19447"/>
    <n v="1014"/>
    <n v="256"/>
    <n v="2354"/>
    <n v="5472"/>
    <n v="104106"/>
    <s v="Apple Watch Ultra 2 Launch"/>
    <n v="0.19899909707413599"/>
  </r>
  <r>
    <s v="A246"/>
    <s v="Twitter"/>
    <d v="2024-10-11T00:00:00"/>
    <s v="Carousel"/>
    <x v="5"/>
    <n v="19447"/>
    <n v="1014"/>
    <n v="256"/>
    <n v="2354"/>
    <n v="5472"/>
    <n v="104106"/>
    <s v="Apple Watch Ultra 2 Launch"/>
    <n v="0.19899909707413599"/>
  </r>
  <r>
    <s v="A260"/>
    <s v="YouTube"/>
    <d v="2025-02-12T00:00:00"/>
    <s v="Video"/>
    <x v="10"/>
    <n v="15234"/>
    <n v="1276"/>
    <n v="670"/>
    <n v="1860"/>
    <n v="60397"/>
    <n v="86413"/>
    <s v="MacBook Air M3 Campaign"/>
    <n v="0.19881267864788862"/>
  </r>
  <r>
    <s v="A260"/>
    <s v="YouTube"/>
    <d v="2025-02-12T00:00:00"/>
    <s v="Video"/>
    <x v="11"/>
    <n v="15234"/>
    <n v="1276"/>
    <n v="670"/>
    <n v="1860"/>
    <n v="60397"/>
    <n v="86413"/>
    <s v="MacBook Air M3 Campaign"/>
    <n v="0.19881267864788862"/>
  </r>
  <r>
    <s v="A93"/>
    <s v="Twitter"/>
    <d v="2024-12-11T00:00:00"/>
    <s v="Carousel"/>
    <x v="16"/>
    <n v="22645"/>
    <n v="545"/>
    <n v="972"/>
    <n v="321"/>
    <n v="8396"/>
    <n v="121537"/>
    <s v="MacBook Air M3 Campaign"/>
    <n v="0.19880365649966678"/>
  </r>
  <r>
    <s v="A93"/>
    <s v="Twitter"/>
    <d v="2024-12-11T00:00:00"/>
    <s v="Carousel"/>
    <x v="5"/>
    <n v="22645"/>
    <n v="545"/>
    <n v="972"/>
    <n v="321"/>
    <n v="8396"/>
    <n v="121537"/>
    <s v="MacBook Air M3 Campaign"/>
    <n v="0.19880365649966678"/>
  </r>
  <r>
    <s v="A163"/>
    <s v="LinkedIn"/>
    <d v="2025-04-08T00:00:00"/>
    <s v="Video"/>
    <x v="3"/>
    <n v="15568"/>
    <n v="1166"/>
    <n v="546"/>
    <n v="826"/>
    <n v="21836"/>
    <n v="87055"/>
    <s v="Apple Watch Ultra 2 Launch"/>
    <n v="0.19849520418126471"/>
  </r>
  <r>
    <s v="A163"/>
    <s v="LinkedIn"/>
    <d v="2025-04-08T00:00:00"/>
    <s v="Video"/>
    <x v="4"/>
    <n v="15568"/>
    <n v="1166"/>
    <n v="546"/>
    <n v="826"/>
    <n v="21836"/>
    <n v="87055"/>
    <s v="Apple Watch Ultra 2 Launch"/>
    <n v="0.19849520418126471"/>
  </r>
  <r>
    <s v="A300"/>
    <s v="LinkedIn"/>
    <d v="2025-09-26T00:00:00"/>
    <s v="Video"/>
    <x v="16"/>
    <n v="21216"/>
    <n v="226"/>
    <n v="187"/>
    <n v="1573"/>
    <n v="62688"/>
    <n v="111031"/>
    <s v="Apple Event September 2025"/>
    <n v="0.19480145184678152"/>
  </r>
  <r>
    <s v="A300"/>
    <s v="LinkedIn"/>
    <d v="2025-09-26T00:00:00"/>
    <s v="Video"/>
    <x v="5"/>
    <n v="21216"/>
    <n v="226"/>
    <n v="187"/>
    <n v="1573"/>
    <n v="62688"/>
    <n v="111031"/>
    <s v="Apple Event September 2025"/>
    <n v="0.19480145184678152"/>
  </r>
  <r>
    <s v="A68"/>
    <s v="Instagram"/>
    <d v="2024-12-08T00:00:00"/>
    <s v="Video"/>
    <x v="10"/>
    <n v="10427"/>
    <n v="1014"/>
    <n v="166"/>
    <n v="1649"/>
    <n v="15145"/>
    <n v="59816"/>
    <s v="Sustainability Awareness Drive"/>
    <n v="0.19404507155276179"/>
  </r>
  <r>
    <s v="A68"/>
    <s v="Instagram"/>
    <d v="2024-12-08T00:00:00"/>
    <s v="Video"/>
    <x v="11"/>
    <n v="10427"/>
    <n v="1014"/>
    <n v="166"/>
    <n v="1649"/>
    <n v="15145"/>
    <n v="59816"/>
    <s v="Sustainability Awareness Drive"/>
    <n v="0.19404507155276179"/>
  </r>
  <r>
    <s v="A126"/>
    <s v="LinkedIn"/>
    <d v="2025-03-28T00:00:00"/>
    <s v="Image"/>
    <x v="8"/>
    <n v="13637"/>
    <n v="1135"/>
    <n v="540"/>
    <n v="1288"/>
    <n v="45183"/>
    <n v="79062"/>
    <s v="MacBook Air M3 Campaign"/>
    <n v="0.19367079001290127"/>
  </r>
  <r>
    <s v="A126"/>
    <s v="LinkedIn"/>
    <d v="2025-03-28T00:00:00"/>
    <s v="Image"/>
    <x v="9"/>
    <n v="13637"/>
    <n v="1135"/>
    <n v="540"/>
    <n v="1288"/>
    <n v="45183"/>
    <n v="79062"/>
    <s v="MacBook Air M3 Campaign"/>
    <n v="0.19367079001290127"/>
  </r>
  <r>
    <s v="A129"/>
    <s v="LinkedIn"/>
    <d v="2024-07-21T00:00:00"/>
    <s v="Image"/>
    <x v="5"/>
    <n v="11911"/>
    <n v="1360"/>
    <n v="778"/>
    <n v="1168"/>
    <n v="16483"/>
    <n v="72556"/>
    <s v="Sustainability Awareness Drive"/>
    <n v="0.19362974805667346"/>
  </r>
  <r>
    <s v="A129"/>
    <s v="LinkedIn"/>
    <d v="2024-07-21T00:00:00"/>
    <s v="Image"/>
    <x v="7"/>
    <n v="11911"/>
    <n v="1360"/>
    <n v="778"/>
    <n v="1168"/>
    <n v="16483"/>
    <n v="72556"/>
    <s v="Sustainability Awareness Drive"/>
    <n v="0.19362974805667346"/>
  </r>
  <r>
    <s v="A97"/>
    <s v="Twitter"/>
    <d v="2024-08-13T00:00:00"/>
    <s v="Carousel"/>
    <x v="17"/>
    <n v="6854"/>
    <n v="417"/>
    <n v="467"/>
    <n v="1003"/>
    <n v="61333"/>
    <n v="40281"/>
    <s v="Apple Watch Ultra 2 Launch"/>
    <n v="0.19210049402944315"/>
  </r>
  <r>
    <s v="A97"/>
    <s v="Twitter"/>
    <d v="2024-08-13T00:00:00"/>
    <s v="Carousel"/>
    <x v="18"/>
    <n v="6854"/>
    <n v="417"/>
    <n v="467"/>
    <n v="1003"/>
    <n v="61333"/>
    <n v="40281"/>
    <s v="Apple Watch Ultra 2 Launch"/>
    <n v="0.19210049402944315"/>
  </r>
  <r>
    <s v="A47"/>
    <s v="LinkedIn"/>
    <d v="2025-02-24T00:00:00"/>
    <s v="Tweet"/>
    <x v="16"/>
    <n v="24984"/>
    <n v="753"/>
    <n v="461"/>
    <n v="2710"/>
    <n v="20792"/>
    <n v="141520"/>
    <s v="Sustainability Awareness Drive"/>
    <n v="0.18511871113623515"/>
  </r>
  <r>
    <s v="A47"/>
    <s v="LinkedIn"/>
    <d v="2025-02-24T00:00:00"/>
    <s v="Tweet"/>
    <x v="5"/>
    <n v="24984"/>
    <n v="753"/>
    <n v="461"/>
    <n v="2710"/>
    <n v="20792"/>
    <n v="141520"/>
    <s v="Sustainability Awareness Drive"/>
    <n v="0.18511871113623515"/>
  </r>
  <r>
    <s v="A152"/>
    <s v="YouTube"/>
    <d v="2025-10-04T00:00:00"/>
    <s v="Video"/>
    <x v="17"/>
    <n v="12488"/>
    <n v="1403"/>
    <n v="247"/>
    <n v="1350"/>
    <n v="28370"/>
    <n v="76487"/>
    <s v="Apple Event September 2025"/>
    <n v="0.18484186855282597"/>
  </r>
  <r>
    <s v="A152"/>
    <s v="YouTube"/>
    <d v="2025-10-04T00:00:00"/>
    <s v="Video"/>
    <x v="18"/>
    <n v="12488"/>
    <n v="1403"/>
    <n v="247"/>
    <n v="1350"/>
    <n v="28370"/>
    <n v="76487"/>
    <s v="Apple Event September 2025"/>
    <n v="0.18484186855282597"/>
  </r>
  <r>
    <s v="A230"/>
    <s v="Instagram"/>
    <d v="2024-07-15T00:00:00"/>
    <s v="Video"/>
    <x v="2"/>
    <n v="12554"/>
    <n v="381"/>
    <n v="211"/>
    <n v="2286"/>
    <n v="50567"/>
    <n v="72779"/>
    <s v="Apple Watch Ultra 2 Launch"/>
    <n v="0.18062902760411656"/>
  </r>
  <r>
    <s v="A148"/>
    <s v="YouTube"/>
    <d v="2025-04-15T00:00:00"/>
    <s v="Video"/>
    <x v="16"/>
    <n v="20977"/>
    <n v="1402"/>
    <n v="301"/>
    <n v="1284"/>
    <n v="24620"/>
    <n v="128009"/>
    <s v="Apple Watch Ultra 2 Launch"/>
    <n v="0.17717504237983267"/>
  </r>
  <r>
    <s v="A148"/>
    <s v="YouTube"/>
    <d v="2025-04-15T00:00:00"/>
    <s v="Video"/>
    <x v="5"/>
    <n v="20977"/>
    <n v="1402"/>
    <n v="301"/>
    <n v="1284"/>
    <n v="24620"/>
    <n v="128009"/>
    <s v="Apple Watch Ultra 2 Launch"/>
    <n v="0.17717504237983267"/>
  </r>
  <r>
    <s v="A139"/>
    <s v="YouTube"/>
    <d v="2024-10-29T00:00:00"/>
    <s v="Tweet"/>
    <x v="5"/>
    <n v="23969"/>
    <n v="1433"/>
    <n v="372"/>
    <n v="1092"/>
    <n v="32147"/>
    <n v="145823"/>
    <s v="Sustainability Awareness Drive"/>
    <n v="0.17674852389540743"/>
  </r>
  <r>
    <s v="A139"/>
    <s v="YouTube"/>
    <d v="2024-10-29T00:00:00"/>
    <s v="Tweet"/>
    <x v="6"/>
    <n v="23969"/>
    <n v="1433"/>
    <n v="372"/>
    <n v="1092"/>
    <n v="32147"/>
    <n v="145823"/>
    <s v="Sustainability Awareness Drive"/>
    <n v="0.17674852389540743"/>
  </r>
  <r>
    <s v="A23"/>
    <s v="Twitter"/>
    <d v="2024-11-06T00:00:00"/>
    <s v="Carousel"/>
    <x v="5"/>
    <n v="8938"/>
    <n v="800"/>
    <n v="842"/>
    <n v="2072"/>
    <n v="31736"/>
    <n v="59975"/>
    <s v="iPhone 16 Launch"/>
    <n v="0.17640683618174238"/>
  </r>
  <r>
    <s v="A23"/>
    <s v="Twitter"/>
    <d v="2024-11-06T00:00:00"/>
    <s v="Carousel"/>
    <x v="6"/>
    <n v="8938"/>
    <n v="800"/>
    <n v="842"/>
    <n v="2072"/>
    <n v="31736"/>
    <n v="59975"/>
    <s v="iPhone 16 Launch"/>
    <n v="0.17640683618174238"/>
  </r>
  <r>
    <s v="A125"/>
    <s v="Instagram"/>
    <d v="2024-09-08T00:00:00"/>
    <s v="Carousel"/>
    <x v="3"/>
    <n v="8090"/>
    <n v="570"/>
    <n v="399"/>
    <n v="1862"/>
    <n v="34088"/>
    <n v="52115"/>
    <s v="Apple Watch Ultra 2 Launch"/>
    <n v="0.17382711311522595"/>
  </r>
  <r>
    <s v="A125"/>
    <s v="Instagram"/>
    <d v="2024-09-08T00:00:00"/>
    <s v="Carousel"/>
    <x v="4"/>
    <n v="8090"/>
    <n v="570"/>
    <n v="399"/>
    <n v="1862"/>
    <n v="34088"/>
    <n v="52115"/>
    <s v="Apple Watch Ultra 2 Launch"/>
    <n v="0.17382711311522595"/>
  </r>
  <r>
    <s v="A91"/>
    <s v="LinkedIn"/>
    <d v="2025-09-24T00:00:00"/>
    <s v="Tweet"/>
    <x v="0"/>
    <n v="12209"/>
    <n v="222"/>
    <n v="479"/>
    <n v="2748"/>
    <n v="24615"/>
    <n v="74707"/>
    <s v="Apple Event September 2025"/>
    <n v="0.17280843829895459"/>
  </r>
  <r>
    <s v="A91"/>
    <s v="LinkedIn"/>
    <d v="2025-09-24T00:00:00"/>
    <s v="Tweet"/>
    <x v="1"/>
    <n v="12209"/>
    <n v="222"/>
    <n v="479"/>
    <n v="2748"/>
    <n v="24615"/>
    <n v="74707"/>
    <s v="Apple Event September 2025"/>
    <n v="0.17280843829895459"/>
  </r>
  <r>
    <s v="A44"/>
    <s v="LinkedIn"/>
    <d v="2025-03-02T00:00:00"/>
    <s v="Video"/>
    <x v="15"/>
    <n v="22562"/>
    <n v="778"/>
    <n v="907"/>
    <n v="1354"/>
    <n v="34475"/>
    <n v="141459"/>
    <s v="iPhone 16 Launch"/>
    <n v="0.17140655596321194"/>
  </r>
  <r>
    <s v="A44"/>
    <s v="LinkedIn"/>
    <d v="2025-03-02T00:00:00"/>
    <s v="Video"/>
    <x v="2"/>
    <n v="22562"/>
    <n v="778"/>
    <n v="907"/>
    <n v="1354"/>
    <n v="34475"/>
    <n v="141459"/>
    <s v="iPhone 16 Launch"/>
    <n v="0.17140655596321194"/>
  </r>
  <r>
    <s v="A276"/>
    <s v="LinkedIn"/>
    <d v="2024-06-07T00:00:00"/>
    <s v="Video"/>
    <x v="5"/>
    <n v="8233"/>
    <n v="436"/>
    <n v="269"/>
    <n v="2037"/>
    <n v="8875"/>
    <n v="52289"/>
    <s v="Apple Watch Ultra 2 Launch"/>
    <n v="0.17093461339861157"/>
  </r>
  <r>
    <s v="A276"/>
    <s v="LinkedIn"/>
    <d v="2024-06-07T00:00:00"/>
    <s v="Video"/>
    <x v="7"/>
    <n v="8233"/>
    <n v="436"/>
    <n v="269"/>
    <n v="2037"/>
    <n v="8875"/>
    <n v="52289"/>
    <s v="Apple Watch Ultra 2 Launch"/>
    <n v="0.17093461339861157"/>
  </r>
  <r>
    <s v="A160"/>
    <s v="LinkedIn"/>
    <d v="2024-08-24T00:00:00"/>
    <s v="Tweet"/>
    <x v="15"/>
    <n v="22527"/>
    <n v="865"/>
    <n v="646"/>
    <n v="992"/>
    <n v="18654"/>
    <n v="141376"/>
    <s v="MacBook Air M3 Campaign"/>
    <n v="0.17002885921231325"/>
  </r>
  <r>
    <s v="A160"/>
    <s v="LinkedIn"/>
    <d v="2024-08-24T00:00:00"/>
    <s v="Tweet"/>
    <x v="2"/>
    <n v="22527"/>
    <n v="865"/>
    <n v="646"/>
    <n v="992"/>
    <n v="18654"/>
    <n v="141376"/>
    <s v="MacBook Air M3 Campaign"/>
    <n v="0.17002885921231325"/>
  </r>
  <r>
    <s v="A158"/>
    <s v="Twitter"/>
    <d v="2024-08-11T00:00:00"/>
    <s v="Carousel"/>
    <x v="10"/>
    <n v="14394"/>
    <n v="1202"/>
    <n v="188"/>
    <n v="1259"/>
    <n v="21925"/>
    <n v="94061"/>
    <s v="iPhone 16 Launch"/>
    <n v="0.1678059982351878"/>
  </r>
  <r>
    <s v="A158"/>
    <s v="Twitter"/>
    <d v="2024-08-11T00:00:00"/>
    <s v="Carousel"/>
    <x v="11"/>
    <n v="14394"/>
    <n v="1202"/>
    <n v="188"/>
    <n v="1259"/>
    <n v="21925"/>
    <n v="94061"/>
    <s v="iPhone 16 Launch"/>
    <n v="0.1678059982351878"/>
  </r>
  <r>
    <s v="A202"/>
    <s v="LinkedIn"/>
    <d v="2025-09-21T00:00:00"/>
    <s v="Image"/>
    <x v="17"/>
    <n v="19680"/>
    <n v="999"/>
    <n v="838"/>
    <n v="891"/>
    <n v="29576"/>
    <n v="129152"/>
    <s v="Apple Event September 2025"/>
    <n v="0.16660214321110009"/>
  </r>
  <r>
    <s v="A202"/>
    <s v="LinkedIn"/>
    <d v="2025-09-21T00:00:00"/>
    <s v="Image"/>
    <x v="18"/>
    <n v="19680"/>
    <n v="999"/>
    <n v="838"/>
    <n v="891"/>
    <n v="29576"/>
    <n v="129152"/>
    <s v="Apple Event September 2025"/>
    <n v="0.16660214321110009"/>
  </r>
  <r>
    <s v="A73"/>
    <s v="Instagram"/>
    <d v="2025-09-21T00:00:00"/>
    <s v="Video"/>
    <x v="3"/>
    <n v="23103"/>
    <n v="1380"/>
    <n v="191"/>
    <n v="1547"/>
    <n v="77798"/>
    <n v="148856"/>
    <s v="Apple Event September 2025"/>
    <n v="0.16575751061428495"/>
  </r>
  <r>
    <s v="A73"/>
    <s v="Instagram"/>
    <d v="2025-09-21T00:00:00"/>
    <s v="Video"/>
    <x v="4"/>
    <n v="23103"/>
    <n v="1380"/>
    <n v="191"/>
    <n v="1547"/>
    <n v="77798"/>
    <n v="148856"/>
    <s v="Apple Event September 2025"/>
    <n v="0.16575751061428495"/>
  </r>
  <r>
    <s v="A221"/>
    <s v="YouTube"/>
    <d v="2025-03-23T00:00:00"/>
    <s v="Carousel"/>
    <x v="0"/>
    <n v="17728"/>
    <n v="1487"/>
    <n v="210"/>
    <n v="2469"/>
    <n v="30565"/>
    <n v="117576"/>
    <s v="Apple Watch Ultra 2 Launch"/>
    <n v="0.16521228822208614"/>
  </r>
  <r>
    <s v="A221"/>
    <s v="YouTube"/>
    <d v="2025-03-23T00:00:00"/>
    <s v="Carousel"/>
    <x v="1"/>
    <n v="17728"/>
    <n v="1487"/>
    <n v="210"/>
    <n v="2469"/>
    <n v="30565"/>
    <n v="117576"/>
    <s v="Apple Watch Ultra 2 Launch"/>
    <n v="0.16521228822208614"/>
  </r>
  <r>
    <s v="A285"/>
    <s v="Twitter"/>
    <d v="2024-07-18T00:00:00"/>
    <s v="Video"/>
    <x v="3"/>
    <n v="16594"/>
    <n v="809"/>
    <n v="784"/>
    <n v="1655"/>
    <n v="35505"/>
    <n v="112588"/>
    <s v="Sustainability Awareness Drive"/>
    <n v="0.16153586527871533"/>
  </r>
  <r>
    <s v="A285"/>
    <s v="Twitter"/>
    <d v="2024-07-18T00:00:00"/>
    <s v="Video"/>
    <x v="4"/>
    <n v="16594"/>
    <n v="809"/>
    <n v="784"/>
    <n v="1655"/>
    <n v="35505"/>
    <n v="112588"/>
    <s v="Sustainability Awareness Drive"/>
    <n v="0.16153586527871533"/>
  </r>
  <r>
    <s v="A62"/>
    <s v="YouTube"/>
    <d v="2025-09-20T00:00:00"/>
    <s v="Image"/>
    <x v="5"/>
    <n v="18633"/>
    <n v="797"/>
    <n v="303"/>
    <n v="659"/>
    <n v="7"/>
    <n v="122189"/>
    <s v="Apple Event September 2025"/>
    <n v="0.16149571565361859"/>
  </r>
  <r>
    <s v="A62"/>
    <s v="YouTube"/>
    <d v="2025-09-20T00:00:00"/>
    <s v="Image"/>
    <x v="6"/>
    <n v="18633"/>
    <n v="797"/>
    <n v="303"/>
    <n v="659"/>
    <n v="7"/>
    <n v="122189"/>
    <s v="Apple Event September 2025"/>
    <n v="0.16149571565361859"/>
  </r>
  <r>
    <s v="A75"/>
    <s v="Instagram"/>
    <d v="2024-08-01T00:00:00"/>
    <s v="Image"/>
    <x v="12"/>
    <n v="21758"/>
    <n v="1380"/>
    <n v="188"/>
    <n v="1735"/>
    <n v="20998"/>
    <n v="147803"/>
    <s v="MacBook Air M3 Campaign"/>
    <n v="0.15781817689762725"/>
  </r>
  <r>
    <s v="A75"/>
    <s v="Instagram"/>
    <d v="2024-08-01T00:00:00"/>
    <s v="Image"/>
    <x v="13"/>
    <n v="21758"/>
    <n v="1380"/>
    <n v="188"/>
    <n v="1735"/>
    <n v="20998"/>
    <n v="147803"/>
    <s v="MacBook Air M3 Campaign"/>
    <n v="0.15781817689762725"/>
  </r>
  <r>
    <s v="A189"/>
    <s v="YouTube"/>
    <d v="2025-03-24T00:00:00"/>
    <s v="Image"/>
    <x v="2"/>
    <n v="10172"/>
    <n v="1398"/>
    <n v="394"/>
    <n v="2358"/>
    <n v="59610"/>
    <n v="76321"/>
    <s v="iPhone 16 Launch"/>
    <n v="0.15675895231980713"/>
  </r>
  <r>
    <s v="A50"/>
    <s v="Twitter"/>
    <d v="2024-07-03T00:00:00"/>
    <s v="Tweet"/>
    <x v="0"/>
    <n v="14338"/>
    <n v="1454"/>
    <n v="697"/>
    <n v="2703"/>
    <n v="21288"/>
    <n v="107649"/>
    <s v="iPhone 16 Launch"/>
    <n v="0.1531737405828201"/>
  </r>
  <r>
    <s v="A50"/>
    <s v="Twitter"/>
    <d v="2024-07-03T00:00:00"/>
    <s v="Tweet"/>
    <x v="1"/>
    <n v="14338"/>
    <n v="1454"/>
    <n v="697"/>
    <n v="2703"/>
    <n v="21288"/>
    <n v="107649"/>
    <s v="iPhone 16 Launch"/>
    <n v="0.1531737405828201"/>
  </r>
  <r>
    <s v="A132"/>
    <s v="Instagram"/>
    <d v="2025-03-04T00:00:00"/>
    <s v="Video"/>
    <x v="10"/>
    <n v="5266"/>
    <n v="316"/>
    <n v="837"/>
    <n v="2276"/>
    <n v="20967"/>
    <n v="41969"/>
    <s v="MacBook Air M3 Campaign"/>
    <n v="0.1529462222116324"/>
  </r>
  <r>
    <s v="A132"/>
    <s v="Instagram"/>
    <d v="2025-03-04T00:00:00"/>
    <s v="Video"/>
    <x v="11"/>
    <n v="5266"/>
    <n v="316"/>
    <n v="837"/>
    <n v="2276"/>
    <n v="20967"/>
    <n v="41969"/>
    <s v="MacBook Air M3 Campaign"/>
    <n v="0.1529462222116324"/>
  </r>
  <r>
    <s v="A40"/>
    <s v="YouTube"/>
    <d v="2025-09-14T00:00:00"/>
    <s v="Carousel"/>
    <x v="8"/>
    <n v="19844"/>
    <n v="1020"/>
    <n v="247"/>
    <n v="2354"/>
    <n v="37792"/>
    <n v="138317"/>
    <s v="Apple Event September 2025"/>
    <n v="0.15262765965138053"/>
  </r>
  <r>
    <s v="A40"/>
    <s v="YouTube"/>
    <d v="2025-09-14T00:00:00"/>
    <s v="Carousel"/>
    <x v="9"/>
    <n v="19844"/>
    <n v="1020"/>
    <n v="247"/>
    <n v="2354"/>
    <n v="37792"/>
    <n v="138317"/>
    <s v="Apple Event September 2025"/>
    <n v="0.15262765965138053"/>
  </r>
  <r>
    <s v="A77"/>
    <s v="LinkedIn"/>
    <d v="2025-03-04T00:00:00"/>
    <s v="Carousel"/>
    <x v="16"/>
    <n v="13470"/>
    <n v="523"/>
    <n v="280"/>
    <n v="2682"/>
    <n v="8538"/>
    <n v="95204"/>
    <s v="Apple Watch Ultra 2 Launch"/>
    <n v="0.14992017142136885"/>
  </r>
  <r>
    <s v="A77"/>
    <s v="LinkedIn"/>
    <d v="2025-03-04T00:00:00"/>
    <s v="Carousel"/>
    <x v="5"/>
    <n v="13470"/>
    <n v="523"/>
    <n v="280"/>
    <n v="2682"/>
    <n v="8538"/>
    <n v="95204"/>
    <s v="Apple Watch Ultra 2 Launch"/>
    <n v="0.14992017142136885"/>
  </r>
  <r>
    <s v="A264"/>
    <s v="Instagram"/>
    <d v="2025-01-30T00:00:00"/>
    <s v="Tweet"/>
    <x v="15"/>
    <n v="12954"/>
    <n v="913"/>
    <n v="722"/>
    <n v="1049"/>
    <n v="475"/>
    <n v="97716"/>
    <s v="Apple Watch Ultra 2 Launch"/>
    <n v="0.14930001228048631"/>
  </r>
  <r>
    <s v="A264"/>
    <s v="Instagram"/>
    <d v="2025-01-30T00:00:00"/>
    <s v="Tweet"/>
    <x v="2"/>
    <n v="12954"/>
    <n v="913"/>
    <n v="722"/>
    <n v="1049"/>
    <n v="475"/>
    <n v="97716"/>
    <s v="Apple Watch Ultra 2 Launch"/>
    <n v="0.14930001228048631"/>
  </r>
  <r>
    <s v="A108"/>
    <s v="LinkedIn"/>
    <d v="2025-09-28T00:00:00"/>
    <s v="Carousel"/>
    <x v="8"/>
    <n v="21963"/>
    <n v="1356"/>
    <n v="349"/>
    <n v="1206"/>
    <n v="51755"/>
    <n v="159273"/>
    <s v="Apple Event September 2025"/>
    <n v="0.14860020216860359"/>
  </r>
  <r>
    <s v="A108"/>
    <s v="LinkedIn"/>
    <d v="2025-09-28T00:00:00"/>
    <s v="Carousel"/>
    <x v="9"/>
    <n v="21963"/>
    <n v="1356"/>
    <n v="349"/>
    <n v="1206"/>
    <n v="51755"/>
    <n v="159273"/>
    <s v="Apple Event September 2025"/>
    <n v="0.14860020216860359"/>
  </r>
  <r>
    <s v="A248"/>
    <s v="Instagram"/>
    <d v="2025-09-14T00:00:00"/>
    <s v="Carousel"/>
    <x v="5"/>
    <n v="12787"/>
    <n v="945"/>
    <n v="974"/>
    <n v="1407"/>
    <n v="4037"/>
    <n v="99182"/>
    <s v="Apple Event September 2025"/>
    <n v="0.14827287209372669"/>
  </r>
  <r>
    <s v="A248"/>
    <s v="Instagram"/>
    <d v="2025-09-14T00:00:00"/>
    <s v="Carousel"/>
    <x v="6"/>
    <n v="12787"/>
    <n v="945"/>
    <n v="974"/>
    <n v="1407"/>
    <n v="4037"/>
    <n v="99182"/>
    <s v="Apple Event September 2025"/>
    <n v="0.14827287209372669"/>
  </r>
  <r>
    <s v="A104"/>
    <s v="LinkedIn"/>
    <d v="2025-03-23T00:00:00"/>
    <s v="Image"/>
    <x v="12"/>
    <n v="24711"/>
    <n v="882"/>
    <n v="876"/>
    <n v="2728"/>
    <n v="32015"/>
    <n v="180272"/>
    <s v="iPhone 16 Launch"/>
    <n v="0.1468281263867933"/>
  </r>
  <r>
    <s v="A104"/>
    <s v="LinkedIn"/>
    <d v="2025-03-23T00:00:00"/>
    <s v="Image"/>
    <x v="13"/>
    <n v="24711"/>
    <n v="882"/>
    <n v="876"/>
    <n v="2728"/>
    <n v="32015"/>
    <n v="180272"/>
    <s v="iPhone 16 Launch"/>
    <n v="0.1468281263867933"/>
  </r>
  <r>
    <s v="A242"/>
    <s v="YouTube"/>
    <d v="2025-09-12T00:00:00"/>
    <s v="Video"/>
    <x v="0"/>
    <n v="15918"/>
    <n v="1114"/>
    <n v="392"/>
    <n v="1641"/>
    <n v="28044"/>
    <n v="118714"/>
    <s v="Apple Event September 2025"/>
    <n v="0.14677291642097814"/>
  </r>
  <r>
    <s v="A242"/>
    <s v="YouTube"/>
    <d v="2025-09-12T00:00:00"/>
    <s v="Video"/>
    <x v="1"/>
    <n v="15918"/>
    <n v="1114"/>
    <n v="392"/>
    <n v="1641"/>
    <n v="28044"/>
    <n v="118714"/>
    <s v="Apple Event September 2025"/>
    <n v="0.14677291642097814"/>
  </r>
  <r>
    <s v="A155"/>
    <s v="Instagram"/>
    <d v="2024-12-21T00:00:00"/>
    <s v="Image"/>
    <x v="3"/>
    <n v="12453"/>
    <n v="376"/>
    <n v="320"/>
    <n v="2546"/>
    <n v="22617"/>
    <n v="90138"/>
    <s v="Sustainability Awareness Drive"/>
    <n v="0.14587632297144379"/>
  </r>
  <r>
    <s v="A155"/>
    <s v="Instagram"/>
    <d v="2024-12-21T00:00:00"/>
    <s v="Image"/>
    <x v="4"/>
    <n v="12453"/>
    <n v="376"/>
    <n v="320"/>
    <n v="2546"/>
    <n v="22617"/>
    <n v="90138"/>
    <s v="Sustainability Awareness Drive"/>
    <n v="0.14587632297144379"/>
  </r>
  <r>
    <s v="A232"/>
    <s v="LinkedIn"/>
    <d v="2025-04-29T00:00:00"/>
    <s v="Carousel"/>
    <x v="8"/>
    <n v="16277"/>
    <n v="1109"/>
    <n v="375"/>
    <n v="2225"/>
    <n v="1044"/>
    <n v="121889"/>
    <s v="iPhone 16 Launch"/>
    <n v="0.14571454356012437"/>
  </r>
  <r>
    <s v="A232"/>
    <s v="LinkedIn"/>
    <d v="2025-04-29T00:00:00"/>
    <s v="Carousel"/>
    <x v="9"/>
    <n v="16277"/>
    <n v="1109"/>
    <n v="375"/>
    <n v="2225"/>
    <n v="1044"/>
    <n v="121889"/>
    <s v="iPhone 16 Launch"/>
    <n v="0.14571454356012437"/>
  </r>
  <r>
    <s v="A224"/>
    <s v="LinkedIn"/>
    <d v="2025-09-07T00:00:00"/>
    <s v="Tweet"/>
    <x v="17"/>
    <n v="4472"/>
    <n v="1301"/>
    <n v="956"/>
    <n v="1186"/>
    <n v="3363"/>
    <n v="46471"/>
    <s v="Apple Event September 2025"/>
    <n v="0.14479998278496267"/>
  </r>
  <r>
    <s v="A224"/>
    <s v="LinkedIn"/>
    <d v="2025-09-07T00:00:00"/>
    <s v="Tweet"/>
    <x v="18"/>
    <n v="4472"/>
    <n v="1301"/>
    <n v="956"/>
    <n v="1186"/>
    <n v="3363"/>
    <n v="46471"/>
    <s v="Apple Event September 2025"/>
    <n v="0.14479998278496267"/>
  </r>
  <r>
    <s v="A67"/>
    <s v="LinkedIn"/>
    <d v="2025-03-29T00:00:00"/>
    <s v="Video"/>
    <x v="8"/>
    <n v="19461"/>
    <n v="1382"/>
    <n v="445"/>
    <n v="1307"/>
    <n v="84691"/>
    <n v="151453"/>
    <s v="iPhone 16 Launch"/>
    <n v="0.14055845707909384"/>
  </r>
  <r>
    <s v="A67"/>
    <s v="LinkedIn"/>
    <d v="2025-03-29T00:00:00"/>
    <s v="Video"/>
    <x v="9"/>
    <n v="19461"/>
    <n v="1382"/>
    <n v="445"/>
    <n v="1307"/>
    <n v="84691"/>
    <n v="151453"/>
    <s v="iPhone 16 Launch"/>
    <n v="0.14055845707909384"/>
  </r>
  <r>
    <s v="A203"/>
    <s v="YouTube"/>
    <d v="2024-11-21T00:00:00"/>
    <s v="Image"/>
    <x v="8"/>
    <n v="8229"/>
    <n v="977"/>
    <n v="152"/>
    <n v="1633"/>
    <n v="71447"/>
    <n v="67723"/>
    <s v="MacBook Air M3 Campaign"/>
    <n v="0.13818052950991538"/>
  </r>
  <r>
    <s v="A203"/>
    <s v="YouTube"/>
    <d v="2024-11-21T00:00:00"/>
    <s v="Image"/>
    <x v="9"/>
    <n v="8229"/>
    <n v="977"/>
    <n v="152"/>
    <n v="1633"/>
    <n v="71447"/>
    <n v="67723"/>
    <s v="MacBook Air M3 Campaign"/>
    <n v="0.13818052950991538"/>
  </r>
  <r>
    <s v="A184"/>
    <s v="YouTube"/>
    <d v="2025-10-13T00:00:00"/>
    <s v="Video"/>
    <x v="5"/>
    <n v="19302"/>
    <n v="1367"/>
    <n v="188"/>
    <n v="637"/>
    <n v="31404"/>
    <n v="154044"/>
    <s v="Apple Event September 2025"/>
    <n v="0.13539638025499209"/>
  </r>
  <r>
    <s v="A184"/>
    <s v="YouTube"/>
    <d v="2025-10-13T00:00:00"/>
    <s v="Video"/>
    <x v="6"/>
    <n v="19302"/>
    <n v="1367"/>
    <n v="188"/>
    <n v="637"/>
    <n v="31404"/>
    <n v="154044"/>
    <s v="Apple Event September 2025"/>
    <n v="0.13539638025499209"/>
  </r>
  <r>
    <s v="A88"/>
    <s v="Instagram"/>
    <d v="2024-07-07T00:00:00"/>
    <s v="Tweet"/>
    <x v="10"/>
    <n v="24625"/>
    <n v="749"/>
    <n v="193"/>
    <n v="1340"/>
    <n v="4890"/>
    <n v="189381"/>
    <s v="Apple Watch Ultra 2 Launch"/>
    <n v="0.13500298340382616"/>
  </r>
  <r>
    <s v="A88"/>
    <s v="Instagram"/>
    <d v="2024-07-07T00:00:00"/>
    <s v="Tweet"/>
    <x v="11"/>
    <n v="24625"/>
    <n v="749"/>
    <n v="193"/>
    <n v="1340"/>
    <n v="4890"/>
    <n v="189381"/>
    <s v="Apple Watch Ultra 2 Launch"/>
    <n v="0.13500298340382616"/>
  </r>
  <r>
    <s v="A39"/>
    <s v="Instagram"/>
    <d v="2025-09-13T00:00:00"/>
    <s v="Carousel"/>
    <x v="0"/>
    <n v="17106"/>
    <n v="702"/>
    <n v="459"/>
    <n v="999"/>
    <n v="59627"/>
    <n v="136059"/>
    <s v="Apple Event September 2025"/>
    <n v="0.13425793222058077"/>
  </r>
  <r>
    <s v="A39"/>
    <s v="Instagram"/>
    <d v="2025-09-13T00:00:00"/>
    <s v="Carousel"/>
    <x v="1"/>
    <n v="17106"/>
    <n v="702"/>
    <n v="459"/>
    <n v="999"/>
    <n v="59627"/>
    <n v="136059"/>
    <s v="Apple Event September 2025"/>
    <n v="0.13425793222058077"/>
  </r>
  <r>
    <s v="A168"/>
    <s v="YouTube"/>
    <d v="2024-11-12T00:00:00"/>
    <s v="Image"/>
    <x v="10"/>
    <n v="19022"/>
    <n v="541"/>
    <n v="575"/>
    <n v="2063"/>
    <n v="42743"/>
    <n v="150169"/>
    <s v="Apple Watch Ultra 2 Launch"/>
    <n v="0.13410224480418728"/>
  </r>
  <r>
    <s v="A168"/>
    <s v="YouTube"/>
    <d v="2024-11-12T00:00:00"/>
    <s v="Image"/>
    <x v="11"/>
    <n v="19022"/>
    <n v="541"/>
    <n v="575"/>
    <n v="2063"/>
    <n v="42743"/>
    <n v="150169"/>
    <s v="Apple Watch Ultra 2 Launch"/>
    <n v="0.13410224480418728"/>
  </r>
  <r>
    <s v="A60"/>
    <s v="Instagram"/>
    <d v="2025-01-28T00:00:00"/>
    <s v="Tweet"/>
    <x v="8"/>
    <n v="9239"/>
    <n v="1477"/>
    <n v="631"/>
    <n v="1556"/>
    <n v="11580"/>
    <n v="84738"/>
    <s v="Sustainability Awareness Drive"/>
    <n v="0.13390686586891359"/>
  </r>
  <r>
    <s v="A60"/>
    <s v="Instagram"/>
    <d v="2025-01-28T00:00:00"/>
    <s v="Tweet"/>
    <x v="9"/>
    <n v="9239"/>
    <n v="1477"/>
    <n v="631"/>
    <n v="1556"/>
    <n v="11580"/>
    <n v="84738"/>
    <s v="Sustainability Awareness Drive"/>
    <n v="0.13390686586891359"/>
  </r>
  <r>
    <s v="A147"/>
    <s v="YouTube"/>
    <d v="2024-10-21T00:00:00"/>
    <s v="Tweet"/>
    <x v="16"/>
    <n v="20777"/>
    <n v="962"/>
    <n v="308"/>
    <n v="2777"/>
    <n v="25529"/>
    <n v="165354"/>
    <s v="Apple Watch Ultra 2 Launch"/>
    <n v="0.13333212380710477"/>
  </r>
  <r>
    <s v="A147"/>
    <s v="YouTube"/>
    <d v="2024-10-21T00:00:00"/>
    <s v="Tweet"/>
    <x v="5"/>
    <n v="20777"/>
    <n v="962"/>
    <n v="308"/>
    <n v="2777"/>
    <n v="25529"/>
    <n v="165354"/>
    <s v="Apple Watch Ultra 2 Launch"/>
    <n v="0.13333212380710477"/>
  </r>
  <r>
    <s v="A72"/>
    <s v="Twitter"/>
    <d v="2025-03-03T00:00:00"/>
    <s v="Carousel"/>
    <x v="5"/>
    <n v="24928"/>
    <n v="214"/>
    <n v="765"/>
    <n v="1556"/>
    <n v="5239"/>
    <n v="194571"/>
    <s v="MacBook Air M3 Campaign"/>
    <n v="0.13314933880177415"/>
  </r>
  <r>
    <s v="A72"/>
    <s v="Twitter"/>
    <d v="2025-03-03T00:00:00"/>
    <s v="Carousel"/>
    <x v="6"/>
    <n v="24928"/>
    <n v="214"/>
    <n v="765"/>
    <n v="1556"/>
    <n v="5239"/>
    <n v="194571"/>
    <s v="MacBook Air M3 Campaign"/>
    <n v="0.13314933880177415"/>
  </r>
  <r>
    <s v="A265"/>
    <s v="YouTube"/>
    <d v="2025-02-20T00:00:00"/>
    <s v="Carousel"/>
    <x v="16"/>
    <n v="15703"/>
    <n v="1381"/>
    <n v="639"/>
    <n v="984"/>
    <n v="10967"/>
    <n v="133747"/>
    <s v="MacBook Air M3 Campaign"/>
    <n v="0.13251138343289942"/>
  </r>
  <r>
    <s v="A265"/>
    <s v="YouTube"/>
    <d v="2025-02-20T00:00:00"/>
    <s v="Carousel"/>
    <x v="5"/>
    <n v="15703"/>
    <n v="1381"/>
    <n v="639"/>
    <n v="984"/>
    <n v="10967"/>
    <n v="133747"/>
    <s v="MacBook Air M3 Campaign"/>
    <n v="0.13251138343289942"/>
  </r>
  <r>
    <s v="A7"/>
    <s v="Instagram"/>
    <d v="2024-06-24T00:00:00"/>
    <s v="Carousel"/>
    <x v="0"/>
    <n v="7713"/>
    <n v="575"/>
    <n v="417"/>
    <n v="336"/>
    <n v="61660"/>
    <n v="66017"/>
    <s v="iPhone 16 Launch"/>
    <n v="0.13185997546086614"/>
  </r>
  <r>
    <s v="A7"/>
    <s v="Instagram"/>
    <d v="2024-06-24T00:00:00"/>
    <s v="Carousel"/>
    <x v="1"/>
    <n v="7713"/>
    <n v="575"/>
    <n v="417"/>
    <n v="336"/>
    <n v="61660"/>
    <n v="66017"/>
    <s v="iPhone 16 Launch"/>
    <n v="0.13185997546086614"/>
  </r>
  <r>
    <s v="A100"/>
    <s v="Instagram"/>
    <d v="2025-09-25T00:00:00"/>
    <s v="Image"/>
    <x v="2"/>
    <n v="20564"/>
    <n v="1433"/>
    <n v="488"/>
    <n v="1015"/>
    <n v="24333"/>
    <n v="172130"/>
    <s v="Apple Event September 2025"/>
    <n v="0.13062801371056759"/>
  </r>
  <r>
    <s v="A294"/>
    <s v="Twitter"/>
    <d v="2024-06-19T00:00:00"/>
    <s v="Carousel"/>
    <x v="15"/>
    <n v="20444"/>
    <n v="233"/>
    <n v="189"/>
    <n v="2879"/>
    <n v="28185"/>
    <n v="159891"/>
    <s v="iPhone 16 Launch"/>
    <n v="0.13050140408153055"/>
  </r>
  <r>
    <s v="A294"/>
    <s v="Twitter"/>
    <d v="2024-06-19T00:00:00"/>
    <s v="Carousel"/>
    <x v="2"/>
    <n v="20444"/>
    <n v="233"/>
    <n v="189"/>
    <n v="2879"/>
    <n v="28185"/>
    <n v="159891"/>
    <s v="iPhone 16 Launch"/>
    <n v="0.13050140408153055"/>
  </r>
  <r>
    <s v="A1"/>
    <s v="YouTube"/>
    <d v="2024-12-23T00:00:00"/>
    <s v="Image"/>
    <x v="3"/>
    <n v="24516"/>
    <n v="976"/>
    <n v="974"/>
    <n v="2675"/>
    <n v="23275"/>
    <n v="202932"/>
    <s v="Apple Watch Ultra 2 Launch"/>
    <n v="0.13041807107799658"/>
  </r>
  <r>
    <s v="A1"/>
    <s v="YouTube"/>
    <d v="2024-12-23T00:00:00"/>
    <s v="Image"/>
    <x v="4"/>
    <n v="24516"/>
    <n v="976"/>
    <n v="974"/>
    <n v="2675"/>
    <n v="23275"/>
    <n v="202932"/>
    <s v="Apple Watch Ultra 2 Launch"/>
    <n v="0.13041807107799658"/>
  </r>
  <r>
    <s v="A84"/>
    <s v="LinkedIn"/>
    <d v="2024-12-09T00:00:00"/>
    <s v="Image"/>
    <x v="10"/>
    <n v="15051"/>
    <n v="268"/>
    <n v="251"/>
    <n v="783"/>
    <n v="34154"/>
    <n v="119671"/>
    <s v="iPhone 16 Launch"/>
    <n v="0.13010670922779954"/>
  </r>
  <r>
    <s v="A84"/>
    <s v="LinkedIn"/>
    <d v="2024-12-09T00:00:00"/>
    <s v="Image"/>
    <x v="11"/>
    <n v="15051"/>
    <n v="268"/>
    <n v="251"/>
    <n v="783"/>
    <n v="34154"/>
    <n v="119671"/>
    <s v="iPhone 16 Launch"/>
    <n v="0.13010670922779954"/>
  </r>
  <r>
    <s v="A53"/>
    <s v="YouTube"/>
    <d v="2025-02-24T00:00:00"/>
    <s v="Image"/>
    <x v="5"/>
    <n v="23949"/>
    <n v="356"/>
    <n v="616"/>
    <n v="1847"/>
    <n v="3144"/>
    <n v="192999"/>
    <s v="iPhone 16 Launch"/>
    <n v="0.12912502137316773"/>
  </r>
  <r>
    <s v="A53"/>
    <s v="YouTube"/>
    <d v="2025-02-24T00:00:00"/>
    <s v="Image"/>
    <x v="6"/>
    <n v="23949"/>
    <n v="356"/>
    <n v="616"/>
    <n v="1847"/>
    <n v="3144"/>
    <n v="192999"/>
    <s v="iPhone 16 Launch"/>
    <n v="0.12912502137316773"/>
  </r>
  <r>
    <s v="A138"/>
    <s v="Instagram"/>
    <d v="2025-03-29T00:00:00"/>
    <s v="Carousel"/>
    <x v="12"/>
    <n v="23508"/>
    <n v="585"/>
    <n v="743"/>
    <n v="2155"/>
    <n v="3704"/>
    <n v="194268"/>
    <s v="iPhone 16 Launch"/>
    <n v="0.1278440093067309"/>
  </r>
  <r>
    <s v="A138"/>
    <s v="Instagram"/>
    <d v="2025-03-29T00:00:00"/>
    <s v="Carousel"/>
    <x v="13"/>
    <n v="23508"/>
    <n v="585"/>
    <n v="743"/>
    <n v="2155"/>
    <n v="3704"/>
    <n v="194268"/>
    <s v="iPhone 16 Launch"/>
    <n v="0.1278440093067309"/>
  </r>
  <r>
    <s v="A194"/>
    <s v="YouTube"/>
    <d v="2024-10-02T00:00:00"/>
    <s v="Video"/>
    <x v="0"/>
    <n v="5086"/>
    <n v="1336"/>
    <n v="897"/>
    <n v="1715"/>
    <n v="60592"/>
    <n v="57772"/>
    <s v="Sustainability Awareness Drive"/>
    <n v="0.12668766876687668"/>
  </r>
  <r>
    <s v="A194"/>
    <s v="YouTube"/>
    <d v="2024-10-02T00:00:00"/>
    <s v="Video"/>
    <x v="1"/>
    <n v="5086"/>
    <n v="1336"/>
    <n v="897"/>
    <n v="1715"/>
    <n v="60592"/>
    <n v="57772"/>
    <s v="Sustainability Awareness Drive"/>
    <n v="0.12668766876687668"/>
  </r>
  <r>
    <s v="A135"/>
    <s v="YouTube"/>
    <d v="2024-11-28T00:00:00"/>
    <s v="Carousel"/>
    <x v="16"/>
    <n v="19055"/>
    <n v="443"/>
    <n v="976"/>
    <n v="869"/>
    <n v="75437"/>
    <n v="161863"/>
    <s v="Sustainability Awareness Drive"/>
    <n v="0.12648968572187591"/>
  </r>
  <r>
    <s v="A135"/>
    <s v="YouTube"/>
    <d v="2024-11-28T00:00:00"/>
    <s v="Carousel"/>
    <x v="5"/>
    <n v="19055"/>
    <n v="443"/>
    <n v="976"/>
    <n v="869"/>
    <n v="75437"/>
    <n v="161863"/>
    <s v="Sustainability Awareness Drive"/>
    <n v="0.12648968572187591"/>
  </r>
  <r>
    <s v="A205"/>
    <s v="LinkedIn"/>
    <d v="2025-09-23T00:00:00"/>
    <s v="Tweet"/>
    <x v="5"/>
    <n v="17147"/>
    <n v="286"/>
    <n v="291"/>
    <n v="2439"/>
    <n v="45631"/>
    <n v="140494"/>
    <s v="Apple Event September 2025"/>
    <n v="0.12615485358805359"/>
  </r>
  <r>
    <s v="A205"/>
    <s v="LinkedIn"/>
    <d v="2025-09-23T00:00:00"/>
    <s v="Tweet"/>
    <x v="6"/>
    <n v="17147"/>
    <n v="286"/>
    <n v="291"/>
    <n v="2439"/>
    <n v="45631"/>
    <n v="140494"/>
    <s v="Apple Event September 2025"/>
    <n v="0.12615485358805359"/>
  </r>
  <r>
    <s v="A24"/>
    <s v="LinkedIn"/>
    <d v="2025-01-23T00:00:00"/>
    <s v="Video"/>
    <x v="16"/>
    <n v="23168"/>
    <n v="1265"/>
    <n v="441"/>
    <n v="1612"/>
    <n v="66615"/>
    <n v="197795"/>
    <s v="iPhone 16 Launch"/>
    <n v="0.12575646502692181"/>
  </r>
  <r>
    <s v="A24"/>
    <s v="LinkedIn"/>
    <d v="2025-01-23T00:00:00"/>
    <s v="Video"/>
    <x v="5"/>
    <n v="23168"/>
    <n v="1265"/>
    <n v="441"/>
    <n v="1612"/>
    <n v="66615"/>
    <n v="197795"/>
    <s v="iPhone 16 Launch"/>
    <n v="0.12575646502692181"/>
  </r>
  <r>
    <s v="A271"/>
    <s v="Twitter"/>
    <d v="2024-10-17T00:00:00"/>
    <s v="Video"/>
    <x v="12"/>
    <n v="18608"/>
    <n v="1338"/>
    <n v="365"/>
    <n v="2289"/>
    <n v="20785"/>
    <n v="161999"/>
    <s v="Apple Watch Ultra 2 Launch"/>
    <n v="0.12537731714393299"/>
  </r>
  <r>
    <s v="A271"/>
    <s v="Twitter"/>
    <d v="2024-10-17T00:00:00"/>
    <s v="Video"/>
    <x v="13"/>
    <n v="18608"/>
    <n v="1338"/>
    <n v="365"/>
    <n v="2289"/>
    <n v="20785"/>
    <n v="161999"/>
    <s v="Apple Watch Ultra 2 Launch"/>
    <n v="0.12537731714393299"/>
  </r>
  <r>
    <s v="A131"/>
    <s v="LinkedIn"/>
    <d v="2024-10-21T00:00:00"/>
    <s v="Image"/>
    <x v="16"/>
    <n v="20271"/>
    <n v="512"/>
    <n v="286"/>
    <n v="1982"/>
    <n v="43225"/>
    <n v="168335"/>
    <s v="iPhone 16 Launch"/>
    <n v="0.12516113701844536"/>
  </r>
  <r>
    <s v="A131"/>
    <s v="LinkedIn"/>
    <d v="2024-10-21T00:00:00"/>
    <s v="Image"/>
    <x v="5"/>
    <n v="20271"/>
    <n v="512"/>
    <n v="286"/>
    <n v="1982"/>
    <n v="43225"/>
    <n v="168335"/>
    <s v="iPhone 16 Launch"/>
    <n v="0.12516113701844536"/>
  </r>
  <r>
    <s v="A36"/>
    <s v="Instagram"/>
    <d v="2025-04-19T00:00:00"/>
    <s v="Carousel"/>
    <x v="14"/>
    <n v="20384"/>
    <n v="344"/>
    <n v="956"/>
    <n v="655"/>
    <n v="67621"/>
    <n v="175720"/>
    <s v="Sustainability Awareness Drive"/>
    <n v="0.12340086501251991"/>
  </r>
  <r>
    <s v="A144"/>
    <s v="LinkedIn"/>
    <d v="2024-10-28T00:00:00"/>
    <s v="Carousel"/>
    <x v="15"/>
    <n v="8981"/>
    <n v="1138"/>
    <n v="764"/>
    <n v="2555"/>
    <n v="92810"/>
    <n v="88320"/>
    <s v="MacBook Air M3 Campaign"/>
    <n v="0.1232223731884058"/>
  </r>
  <r>
    <s v="A144"/>
    <s v="LinkedIn"/>
    <d v="2024-10-28T00:00:00"/>
    <s v="Carousel"/>
    <x v="2"/>
    <n v="8981"/>
    <n v="1138"/>
    <n v="764"/>
    <n v="2555"/>
    <n v="92810"/>
    <n v="88320"/>
    <s v="MacBook Air M3 Campaign"/>
    <n v="0.1232223731884058"/>
  </r>
  <r>
    <s v="A157"/>
    <s v="YouTube"/>
    <d v="2024-07-23T00:00:00"/>
    <s v="Video"/>
    <x v="15"/>
    <n v="24877"/>
    <n v="262"/>
    <n v="513"/>
    <n v="648"/>
    <n v="47544"/>
    <n v="208280"/>
    <s v="Sustainability Awareness Drive"/>
    <n v="0.12316112924908777"/>
  </r>
  <r>
    <s v="A157"/>
    <s v="YouTube"/>
    <d v="2024-07-23T00:00:00"/>
    <s v="Video"/>
    <x v="2"/>
    <n v="24877"/>
    <n v="262"/>
    <n v="513"/>
    <n v="648"/>
    <n v="47544"/>
    <n v="208280"/>
    <s v="Sustainability Awareness Drive"/>
    <n v="0.12316112924908777"/>
  </r>
  <r>
    <s v="A109"/>
    <s v="Twitter"/>
    <d v="2024-08-08T00:00:00"/>
    <s v="Carousel"/>
    <x v="8"/>
    <n v="24355"/>
    <n v="1087"/>
    <n v="686"/>
    <n v="2426"/>
    <n v="24963"/>
    <n v="212307"/>
    <s v="Apple Watch Ultra 2 Launch"/>
    <n v="0.1230670679723231"/>
  </r>
  <r>
    <s v="A109"/>
    <s v="Twitter"/>
    <d v="2024-08-08T00:00:00"/>
    <s v="Carousel"/>
    <x v="9"/>
    <n v="24355"/>
    <n v="1087"/>
    <n v="686"/>
    <n v="2426"/>
    <n v="24963"/>
    <n v="212307"/>
    <s v="Apple Watch Ultra 2 Launch"/>
    <n v="0.1230670679723231"/>
  </r>
  <r>
    <s v="A217"/>
    <s v="LinkedIn"/>
    <d v="2025-09-26T00:00:00"/>
    <s v="Carousel"/>
    <x v="3"/>
    <n v="16369"/>
    <n v="1452"/>
    <n v="493"/>
    <n v="1217"/>
    <n v="91440"/>
    <n v="149834"/>
    <s v="Apple Event September 2025"/>
    <n v="0.12222859965027964"/>
  </r>
  <r>
    <s v="A217"/>
    <s v="LinkedIn"/>
    <d v="2025-09-26T00:00:00"/>
    <s v="Carousel"/>
    <x v="4"/>
    <n v="16369"/>
    <n v="1452"/>
    <n v="493"/>
    <n v="1217"/>
    <n v="91440"/>
    <n v="149834"/>
    <s v="Apple Event September 2025"/>
    <n v="0.12222859965027964"/>
  </r>
  <r>
    <s v="A66"/>
    <s v="Twitter"/>
    <d v="2024-07-26T00:00:00"/>
    <s v="Tweet"/>
    <x v="8"/>
    <n v="12176"/>
    <n v="1005"/>
    <n v="862"/>
    <n v="974"/>
    <n v="2285"/>
    <n v="116619"/>
    <s v="iPhone 16 Launch"/>
    <n v="0.12041777068916729"/>
  </r>
  <r>
    <s v="A66"/>
    <s v="Twitter"/>
    <d v="2024-07-26T00:00:00"/>
    <s v="Tweet"/>
    <x v="9"/>
    <n v="12176"/>
    <n v="1005"/>
    <n v="862"/>
    <n v="974"/>
    <n v="2285"/>
    <n v="116619"/>
    <s v="iPhone 16 Launch"/>
    <n v="0.12041777068916729"/>
  </r>
  <r>
    <s v="A228"/>
    <s v="Twitter"/>
    <d v="2024-07-01T00:00:00"/>
    <s v="Video"/>
    <x v="12"/>
    <n v="3761"/>
    <n v="651"/>
    <n v="493"/>
    <n v="2294"/>
    <n v="71696"/>
    <n v="41177"/>
    <s v="Apple Watch Ultra 2 Launch"/>
    <n v="0.11911989702989532"/>
  </r>
  <r>
    <s v="A228"/>
    <s v="Twitter"/>
    <d v="2024-07-01T00:00:00"/>
    <s v="Video"/>
    <x v="13"/>
    <n v="3761"/>
    <n v="651"/>
    <n v="493"/>
    <n v="2294"/>
    <n v="71696"/>
    <n v="41177"/>
    <s v="Apple Watch Ultra 2 Launch"/>
    <n v="0.11911989702989532"/>
  </r>
  <r>
    <s v="A234"/>
    <s v="LinkedIn"/>
    <d v="2024-06-01T00:00:00"/>
    <s v="Image"/>
    <x v="0"/>
    <n v="19844"/>
    <n v="1022"/>
    <n v="860"/>
    <n v="2570"/>
    <n v="23719"/>
    <n v="182628"/>
    <s v="Sustainability Awareness Drive"/>
    <n v="0.11896313818253498"/>
  </r>
  <r>
    <s v="A234"/>
    <s v="LinkedIn"/>
    <d v="2024-06-01T00:00:00"/>
    <s v="Image"/>
    <x v="1"/>
    <n v="19844"/>
    <n v="1022"/>
    <n v="860"/>
    <n v="2570"/>
    <n v="23719"/>
    <n v="182628"/>
    <s v="Sustainability Awareness Drive"/>
    <n v="0.11896313818253498"/>
  </r>
  <r>
    <s v="A107"/>
    <s v="Twitter"/>
    <d v="2024-06-21T00:00:00"/>
    <s v="Video"/>
    <x v="5"/>
    <n v="21216"/>
    <n v="1207"/>
    <n v="859"/>
    <n v="328"/>
    <n v="91296"/>
    <n v="196683"/>
    <s v="Sustainability Awareness Drive"/>
    <n v="0.1183732198512327"/>
  </r>
  <r>
    <s v="A107"/>
    <s v="Twitter"/>
    <d v="2024-06-21T00:00:00"/>
    <s v="Video"/>
    <x v="7"/>
    <n v="21216"/>
    <n v="1207"/>
    <n v="859"/>
    <n v="328"/>
    <n v="91296"/>
    <n v="196683"/>
    <s v="Sustainability Awareness Drive"/>
    <n v="0.1183732198512327"/>
  </r>
  <r>
    <s v="A63"/>
    <s v="Instagram"/>
    <d v="2024-07-31T00:00:00"/>
    <s v="Image"/>
    <x v="3"/>
    <n v="12357"/>
    <n v="716"/>
    <n v="599"/>
    <n v="999"/>
    <n v="89591"/>
    <n v="116367"/>
    <s v="Apple Watch Ultra 2 Launch"/>
    <n v="0.11749035379446063"/>
  </r>
  <r>
    <s v="A63"/>
    <s v="Instagram"/>
    <d v="2024-07-31T00:00:00"/>
    <s v="Image"/>
    <x v="4"/>
    <n v="12357"/>
    <n v="716"/>
    <n v="599"/>
    <n v="999"/>
    <n v="89591"/>
    <n v="116367"/>
    <s v="Apple Watch Ultra 2 Launch"/>
    <n v="0.11749035379446063"/>
  </r>
  <r>
    <s v="A204"/>
    <s v="Instagram"/>
    <d v="2025-09-22T00:00:00"/>
    <s v="Carousel"/>
    <x v="2"/>
    <n v="18509"/>
    <n v="361"/>
    <n v="578"/>
    <n v="1409"/>
    <n v="10569"/>
    <n v="166969"/>
    <s v="Apple Event September 2025"/>
    <n v="0.11647671124580011"/>
  </r>
  <r>
    <s v="A250"/>
    <s v="YouTube"/>
    <d v="2024-06-22T00:00:00"/>
    <s v="Tweet"/>
    <x v="8"/>
    <n v="7342"/>
    <n v="906"/>
    <n v="902"/>
    <n v="1199"/>
    <n v="68488"/>
    <n v="79310"/>
    <s v="Apple Watch Ultra 2 Launch"/>
    <n v="0.1153700668263775"/>
  </r>
  <r>
    <s v="A250"/>
    <s v="YouTube"/>
    <d v="2024-06-22T00:00:00"/>
    <s v="Tweet"/>
    <x v="9"/>
    <n v="7342"/>
    <n v="906"/>
    <n v="902"/>
    <n v="1199"/>
    <n v="68488"/>
    <n v="79310"/>
    <s v="Apple Watch Ultra 2 Launch"/>
    <n v="0.1153700668263775"/>
  </r>
  <r>
    <s v="A95"/>
    <s v="Twitter"/>
    <d v="2024-11-08T00:00:00"/>
    <s v="Tweet"/>
    <x v="5"/>
    <n v="23499"/>
    <n v="562"/>
    <n v="964"/>
    <n v="2557"/>
    <n v="56890"/>
    <n v="218686"/>
    <s v="iPhone 16 Launch"/>
    <n v="0.11443347996671026"/>
  </r>
  <r>
    <s v="A95"/>
    <s v="Twitter"/>
    <d v="2024-11-08T00:00:00"/>
    <s v="Tweet"/>
    <x v="7"/>
    <n v="23499"/>
    <n v="562"/>
    <n v="964"/>
    <n v="2557"/>
    <n v="56890"/>
    <n v="218686"/>
    <s v="iPhone 16 Launch"/>
    <n v="0.11443347996671026"/>
  </r>
  <r>
    <s v="A143"/>
    <s v="LinkedIn"/>
    <d v="2024-10-02T00:00:00"/>
    <s v="Image"/>
    <x v="12"/>
    <n v="15716"/>
    <n v="839"/>
    <n v="639"/>
    <n v="2839"/>
    <n v="349"/>
    <n v="150677"/>
    <s v="Sustainability Awareness Drive"/>
    <n v="0.11411164278556117"/>
  </r>
  <r>
    <s v="A143"/>
    <s v="LinkedIn"/>
    <d v="2024-10-02T00:00:00"/>
    <s v="Image"/>
    <x v="13"/>
    <n v="15716"/>
    <n v="839"/>
    <n v="639"/>
    <n v="2839"/>
    <n v="349"/>
    <n v="150677"/>
    <s v="Sustainability Awareness Drive"/>
    <n v="0.11411164278556117"/>
  </r>
  <r>
    <s v="A98"/>
    <s v="LinkedIn"/>
    <d v="2024-06-10T00:00:00"/>
    <s v="Video"/>
    <x v="0"/>
    <n v="21561"/>
    <n v="340"/>
    <n v="741"/>
    <n v="986"/>
    <n v="24826"/>
    <n v="198492"/>
    <s v="Apple Watch Ultra 2 Launch"/>
    <n v="0.11407008846704149"/>
  </r>
  <r>
    <s v="A98"/>
    <s v="LinkedIn"/>
    <d v="2024-06-10T00:00:00"/>
    <s v="Video"/>
    <x v="1"/>
    <n v="21561"/>
    <n v="340"/>
    <n v="741"/>
    <n v="986"/>
    <n v="24826"/>
    <n v="198492"/>
    <s v="Apple Watch Ultra 2 Launch"/>
    <n v="0.11407008846704149"/>
  </r>
  <r>
    <s v="A161"/>
    <s v="YouTube"/>
    <d v="2025-10-06T00:00:00"/>
    <s v="Video"/>
    <x v="12"/>
    <n v="22028"/>
    <n v="355"/>
    <n v="665"/>
    <n v="1859"/>
    <n v="50565"/>
    <n v="202962"/>
    <s v="Apple Event September 2025"/>
    <n v="0.11355820301337197"/>
  </r>
  <r>
    <s v="A161"/>
    <s v="YouTube"/>
    <d v="2025-10-06T00:00:00"/>
    <s v="Video"/>
    <x v="13"/>
    <n v="22028"/>
    <n v="355"/>
    <n v="665"/>
    <n v="1859"/>
    <n v="50565"/>
    <n v="202962"/>
    <s v="Apple Event September 2025"/>
    <n v="0.11355820301337197"/>
  </r>
  <r>
    <s v="A27"/>
    <s v="Twitter"/>
    <d v="2024-09-17T00:00:00"/>
    <s v="Tweet"/>
    <x v="16"/>
    <n v="20017"/>
    <n v="495"/>
    <n v="178"/>
    <n v="2683"/>
    <n v="32244"/>
    <n v="182633"/>
    <s v="Apple Watch Ultra 2 Launch"/>
    <n v="0.11328730295182141"/>
  </r>
  <r>
    <s v="A27"/>
    <s v="Twitter"/>
    <d v="2024-09-17T00:00:00"/>
    <s v="Tweet"/>
    <x v="5"/>
    <n v="20017"/>
    <n v="495"/>
    <n v="178"/>
    <n v="2683"/>
    <n v="32244"/>
    <n v="182633"/>
    <s v="Apple Watch Ultra 2 Launch"/>
    <n v="0.11328730295182141"/>
  </r>
  <r>
    <s v="A128"/>
    <s v="Instagram"/>
    <d v="2025-01-10T00:00:00"/>
    <s v="Carousel"/>
    <x v="15"/>
    <n v="14647"/>
    <n v="1168"/>
    <n v="484"/>
    <n v="2650"/>
    <n v="27217"/>
    <n v="144061"/>
    <s v="iPhone 16 Launch"/>
    <n v="0.11313957281984714"/>
  </r>
  <r>
    <s v="A128"/>
    <s v="Instagram"/>
    <d v="2025-01-10T00:00:00"/>
    <s v="Carousel"/>
    <x v="2"/>
    <n v="14647"/>
    <n v="1168"/>
    <n v="484"/>
    <n v="2650"/>
    <n v="27217"/>
    <n v="144061"/>
    <s v="iPhone 16 Launch"/>
    <n v="0.11313957281984714"/>
  </r>
  <r>
    <s v="A159"/>
    <s v="Instagram"/>
    <d v="2025-10-05T00:00:00"/>
    <s v="Tweet"/>
    <x v="0"/>
    <n v="21262"/>
    <n v="861"/>
    <n v="676"/>
    <n v="2263"/>
    <n v="12085"/>
    <n v="201731"/>
    <s v="Apple Event September 2025"/>
    <n v="0.11301683925623726"/>
  </r>
  <r>
    <s v="A159"/>
    <s v="Instagram"/>
    <d v="2025-10-05T00:00:00"/>
    <s v="Tweet"/>
    <x v="1"/>
    <n v="21262"/>
    <n v="861"/>
    <n v="676"/>
    <n v="2263"/>
    <n v="12085"/>
    <n v="201731"/>
    <s v="Apple Event September 2025"/>
    <n v="0.11301683925623726"/>
  </r>
  <r>
    <s v="A195"/>
    <s v="YouTube"/>
    <d v="2024-08-15T00:00:00"/>
    <s v="Image"/>
    <x v="16"/>
    <n v="15503"/>
    <n v="313"/>
    <n v="388"/>
    <n v="1078"/>
    <n v="11500"/>
    <n v="143754"/>
    <s v="iPhone 16 Launch"/>
    <n v="0.1127203416948398"/>
  </r>
  <r>
    <s v="A195"/>
    <s v="YouTube"/>
    <d v="2024-08-15T00:00:00"/>
    <s v="Image"/>
    <x v="5"/>
    <n v="15503"/>
    <n v="313"/>
    <n v="388"/>
    <n v="1078"/>
    <n v="11500"/>
    <n v="143754"/>
    <s v="iPhone 16 Launch"/>
    <n v="0.1127203416948398"/>
  </r>
  <r>
    <s v="A71"/>
    <s v="Twitter"/>
    <d v="2024-09-02T00:00:00"/>
    <s v="Carousel"/>
    <x v="5"/>
    <n v="12040"/>
    <n v="1147"/>
    <n v="210"/>
    <n v="885"/>
    <n v="30360"/>
    <n v="119530"/>
    <s v="iPhone 16 Launch"/>
    <n v="0.1120806492094035"/>
  </r>
  <r>
    <s v="A71"/>
    <s v="Twitter"/>
    <d v="2024-09-02T00:00:00"/>
    <s v="Carousel"/>
    <x v="7"/>
    <n v="12040"/>
    <n v="1147"/>
    <n v="210"/>
    <n v="885"/>
    <n v="30360"/>
    <n v="119530"/>
    <s v="iPhone 16 Launch"/>
    <n v="0.1120806492094035"/>
  </r>
  <r>
    <s v="A92"/>
    <s v="LinkedIn"/>
    <d v="2024-10-21T00:00:00"/>
    <s v="Tweet"/>
    <x v="10"/>
    <n v="19715"/>
    <n v="1014"/>
    <n v="718"/>
    <n v="1185"/>
    <n v="37625"/>
    <n v="191409"/>
    <s v="Apple Watch Ultra 2 Launch"/>
    <n v="0.11204802282024356"/>
  </r>
  <r>
    <s v="A92"/>
    <s v="LinkedIn"/>
    <d v="2024-10-21T00:00:00"/>
    <s v="Tweet"/>
    <x v="11"/>
    <n v="19715"/>
    <n v="1014"/>
    <n v="718"/>
    <n v="1185"/>
    <n v="37625"/>
    <n v="191409"/>
    <s v="Apple Watch Ultra 2 Launch"/>
    <n v="0.11204802282024356"/>
  </r>
  <r>
    <s v="A225"/>
    <s v="Twitter"/>
    <d v="2024-06-20T00:00:00"/>
    <s v="Video"/>
    <x v="8"/>
    <n v="21123"/>
    <n v="1343"/>
    <n v="589"/>
    <n v="727"/>
    <n v="87833"/>
    <n v="206703"/>
    <s v="Apple Watch Ultra 2 Launch"/>
    <n v="0.11153684271636116"/>
  </r>
  <r>
    <s v="A225"/>
    <s v="Twitter"/>
    <d v="2024-06-20T00:00:00"/>
    <s v="Video"/>
    <x v="9"/>
    <n v="21123"/>
    <n v="1343"/>
    <n v="589"/>
    <n v="727"/>
    <n v="87833"/>
    <n v="206703"/>
    <s v="Apple Watch Ultra 2 Launch"/>
    <n v="0.11153684271636116"/>
  </r>
  <r>
    <s v="A19"/>
    <s v="LinkedIn"/>
    <d v="2024-06-23T00:00:00"/>
    <s v="Tweet"/>
    <x v="5"/>
    <n v="16512"/>
    <n v="1050"/>
    <n v="971"/>
    <n v="1891"/>
    <n v="15865"/>
    <n v="166503"/>
    <s v="iPhone 16 Launch"/>
    <n v="0.1113073037723044"/>
  </r>
  <r>
    <s v="A19"/>
    <s v="LinkedIn"/>
    <d v="2024-06-23T00:00:00"/>
    <s v="Tweet"/>
    <x v="6"/>
    <n v="16512"/>
    <n v="1050"/>
    <n v="971"/>
    <n v="1891"/>
    <n v="15865"/>
    <n v="166503"/>
    <s v="iPhone 16 Launch"/>
    <n v="0.1113073037723044"/>
  </r>
  <r>
    <s v="A3"/>
    <s v="Instagram"/>
    <d v="2025-05-12T00:00:00"/>
    <s v="Tweet"/>
    <x v="12"/>
    <n v="19308"/>
    <n v="1318"/>
    <n v="795"/>
    <n v="1499"/>
    <n v="52307"/>
    <n v="193087"/>
    <s v="Sustainability Awareness Drive"/>
    <n v="0.11093962825047776"/>
  </r>
  <r>
    <s v="A3"/>
    <s v="Instagram"/>
    <d v="2025-05-12T00:00:00"/>
    <s v="Tweet"/>
    <x v="13"/>
    <n v="19308"/>
    <n v="1318"/>
    <n v="795"/>
    <n v="1499"/>
    <n v="52307"/>
    <n v="193087"/>
    <s v="Sustainability Awareness Drive"/>
    <n v="0.11093962825047776"/>
  </r>
  <r>
    <s v="A146"/>
    <s v="YouTube"/>
    <d v="2024-06-05T00:00:00"/>
    <s v="Tweet"/>
    <x v="15"/>
    <n v="18907"/>
    <n v="1075"/>
    <n v="675"/>
    <n v="1383"/>
    <n v="17875"/>
    <n v="186649"/>
    <s v="Apple Watch Ultra 2 Launch"/>
    <n v="0.11067297440650634"/>
  </r>
  <r>
    <s v="A146"/>
    <s v="YouTube"/>
    <d v="2024-06-05T00:00:00"/>
    <s v="Tweet"/>
    <x v="2"/>
    <n v="18907"/>
    <n v="1075"/>
    <n v="675"/>
    <n v="1383"/>
    <n v="17875"/>
    <n v="186649"/>
    <s v="Apple Watch Ultra 2 Launch"/>
    <n v="0.11067297440650634"/>
  </r>
  <r>
    <s v="A284"/>
    <s v="YouTube"/>
    <d v="2024-09-17T00:00:00"/>
    <s v="Video"/>
    <x v="0"/>
    <n v="20410"/>
    <n v="1332"/>
    <n v="472"/>
    <n v="1202"/>
    <n v="9418"/>
    <n v="200806"/>
    <s v="Apple Watch Ultra 2 Launch"/>
    <n v="0.11062418453631864"/>
  </r>
  <r>
    <s v="A284"/>
    <s v="YouTube"/>
    <d v="2024-09-17T00:00:00"/>
    <s v="Video"/>
    <x v="1"/>
    <n v="20410"/>
    <n v="1332"/>
    <n v="472"/>
    <n v="1202"/>
    <n v="9418"/>
    <n v="200806"/>
    <s v="Apple Watch Ultra 2 Launch"/>
    <n v="0.11062418453631864"/>
  </r>
  <r>
    <s v="A235"/>
    <s v="LinkedIn"/>
    <d v="2024-12-22T00:00:00"/>
    <s v="Tweet"/>
    <x v="5"/>
    <n v="20117"/>
    <n v="1143"/>
    <n v="713"/>
    <n v="1739"/>
    <n v="34444"/>
    <n v="198670"/>
    <s v="MacBook Air M3 Campaign"/>
    <n v="0.11060049328031409"/>
  </r>
  <r>
    <s v="A235"/>
    <s v="LinkedIn"/>
    <d v="2024-12-22T00:00:00"/>
    <s v="Tweet"/>
    <x v="7"/>
    <n v="20117"/>
    <n v="1143"/>
    <n v="713"/>
    <n v="1739"/>
    <n v="34444"/>
    <n v="198670"/>
    <s v="MacBook Air M3 Campaign"/>
    <n v="0.11060049328031409"/>
  </r>
  <r>
    <s v="A282"/>
    <s v="LinkedIn"/>
    <d v="2024-10-03T00:00:00"/>
    <s v="Image"/>
    <x v="5"/>
    <n v="22618"/>
    <n v="641"/>
    <n v="416"/>
    <n v="1530"/>
    <n v="18395"/>
    <n v="215211"/>
    <s v="MacBook Air M3 Campaign"/>
    <n v="0.1100083174187193"/>
  </r>
  <r>
    <s v="A282"/>
    <s v="LinkedIn"/>
    <d v="2024-10-03T00:00:00"/>
    <s v="Image"/>
    <x v="7"/>
    <n v="22618"/>
    <n v="641"/>
    <n v="416"/>
    <n v="1530"/>
    <n v="18395"/>
    <n v="215211"/>
    <s v="MacBook Air M3 Campaign"/>
    <n v="0.1100083174187193"/>
  </r>
  <r>
    <s v="A258"/>
    <s v="Twitter"/>
    <d v="2024-08-05T00:00:00"/>
    <s v="Video"/>
    <x v="3"/>
    <n v="20935"/>
    <n v="1104"/>
    <n v="876"/>
    <n v="1270"/>
    <n v="21454"/>
    <n v="208722"/>
    <s v="Sustainability Awareness Drive"/>
    <n v="0.10978718103506099"/>
  </r>
  <r>
    <s v="A258"/>
    <s v="Twitter"/>
    <d v="2024-08-05T00:00:00"/>
    <s v="Video"/>
    <x v="4"/>
    <n v="20935"/>
    <n v="1104"/>
    <n v="876"/>
    <n v="1270"/>
    <n v="21454"/>
    <n v="208722"/>
    <s v="Sustainability Awareness Drive"/>
    <n v="0.10978718103506099"/>
  </r>
  <r>
    <s v="A153"/>
    <s v="Instagram"/>
    <d v="2025-01-01T00:00:00"/>
    <s v="Video"/>
    <x v="10"/>
    <n v="24574"/>
    <n v="909"/>
    <n v="280"/>
    <n v="2009"/>
    <n v="6221"/>
    <n v="236910"/>
    <s v="MacBook Air M3 Campaign"/>
    <n v="0.10874593727575872"/>
  </r>
  <r>
    <s v="A153"/>
    <s v="Instagram"/>
    <d v="2025-01-01T00:00:00"/>
    <s v="Video"/>
    <x v="11"/>
    <n v="24574"/>
    <n v="909"/>
    <n v="280"/>
    <n v="2009"/>
    <n v="6221"/>
    <n v="236910"/>
    <s v="MacBook Air M3 Campaign"/>
    <n v="0.10874593727575872"/>
  </r>
  <r>
    <s v="A33"/>
    <s v="LinkedIn"/>
    <d v="2025-09-11T00:00:00"/>
    <s v="Carousel"/>
    <x v="16"/>
    <n v="10175"/>
    <n v="342"/>
    <n v="825"/>
    <n v="2904"/>
    <n v="15954"/>
    <n v="104324"/>
    <s v="Apple Event September 2025"/>
    <n v="0.10871899083624094"/>
  </r>
  <r>
    <s v="A33"/>
    <s v="LinkedIn"/>
    <d v="2025-09-11T00:00:00"/>
    <s v="Carousel"/>
    <x v="5"/>
    <n v="10175"/>
    <n v="342"/>
    <n v="825"/>
    <n v="2904"/>
    <n v="15954"/>
    <n v="104324"/>
    <s v="Apple Event September 2025"/>
    <n v="0.10871899083624094"/>
  </r>
  <r>
    <s v="A183"/>
    <s v="Twitter"/>
    <d v="2024-12-17T00:00:00"/>
    <s v="Image"/>
    <x v="8"/>
    <n v="20030"/>
    <n v="485"/>
    <n v="888"/>
    <n v="1643"/>
    <n v="4322"/>
    <n v="196995"/>
    <s v="Sustainability Awareness Drive"/>
    <n v="0.10864742759968526"/>
  </r>
  <r>
    <s v="A183"/>
    <s v="Twitter"/>
    <d v="2024-12-17T00:00:00"/>
    <s v="Image"/>
    <x v="9"/>
    <n v="20030"/>
    <n v="485"/>
    <n v="888"/>
    <n v="1643"/>
    <n v="4322"/>
    <n v="196995"/>
    <s v="Sustainability Awareness Drive"/>
    <n v="0.10864742759968526"/>
  </r>
  <r>
    <s v="A52"/>
    <s v="Twitter"/>
    <d v="2025-09-19T00:00:00"/>
    <s v="Image"/>
    <x v="8"/>
    <n v="19100"/>
    <n v="619"/>
    <n v="297"/>
    <n v="2312"/>
    <n v="9730"/>
    <n v="184832"/>
    <s v="Apple Event September 2025"/>
    <n v="0.10829293628808864"/>
  </r>
  <r>
    <s v="A52"/>
    <s v="Twitter"/>
    <d v="2025-09-19T00:00:00"/>
    <s v="Image"/>
    <x v="9"/>
    <n v="19100"/>
    <n v="619"/>
    <n v="297"/>
    <n v="2312"/>
    <n v="9730"/>
    <n v="184832"/>
    <s v="Apple Event September 2025"/>
    <n v="0.10829293628808864"/>
  </r>
  <r>
    <s v="A199"/>
    <s v="Instagram"/>
    <d v="2025-09-20T00:00:00"/>
    <s v="Image"/>
    <x v="8"/>
    <n v="12267"/>
    <n v="1487"/>
    <n v="489"/>
    <n v="2748"/>
    <n v="34685"/>
    <n v="131736"/>
    <s v="Apple Event September 2025"/>
    <n v="0.1081177506528208"/>
  </r>
  <r>
    <s v="A199"/>
    <s v="Instagram"/>
    <d v="2025-09-20T00:00:00"/>
    <s v="Image"/>
    <x v="9"/>
    <n v="12267"/>
    <n v="1487"/>
    <n v="489"/>
    <n v="2748"/>
    <n v="34685"/>
    <n v="131736"/>
    <s v="Apple Event September 2025"/>
    <n v="0.1081177506528208"/>
  </r>
  <r>
    <s v="A262"/>
    <s v="Twitter"/>
    <d v="2025-01-18T00:00:00"/>
    <s v="Tweet"/>
    <x v="15"/>
    <n v="22673"/>
    <n v="1053"/>
    <n v="169"/>
    <n v="1566"/>
    <n v="9417"/>
    <n v="221187"/>
    <s v="iPhone 16 Launch"/>
    <n v="0.10803076130152314"/>
  </r>
  <r>
    <s v="A262"/>
    <s v="Twitter"/>
    <d v="2025-01-18T00:00:00"/>
    <s v="Tweet"/>
    <x v="2"/>
    <n v="22673"/>
    <n v="1053"/>
    <n v="169"/>
    <n v="1566"/>
    <n v="9417"/>
    <n v="221187"/>
    <s v="iPhone 16 Launch"/>
    <n v="0.10803076130152314"/>
  </r>
  <r>
    <s v="A268"/>
    <s v="LinkedIn"/>
    <d v="2025-04-13T00:00:00"/>
    <s v="Carousel"/>
    <x v="14"/>
    <n v="24700"/>
    <n v="327"/>
    <n v="999"/>
    <n v="994"/>
    <n v="59400"/>
    <n v="243502"/>
    <s v="Sustainability Awareness Drive"/>
    <n v="0.10688207899729776"/>
  </r>
  <r>
    <s v="A180"/>
    <s v="YouTube"/>
    <d v="2025-10-11T00:00:00"/>
    <s v="Carousel"/>
    <x v="8"/>
    <n v="15623"/>
    <n v="869"/>
    <n v="423"/>
    <n v="371"/>
    <n v="47579"/>
    <n v="158516"/>
    <s v="Apple Event September 2025"/>
    <n v="0.10670847106916652"/>
  </r>
  <r>
    <s v="A180"/>
    <s v="YouTube"/>
    <d v="2025-10-11T00:00:00"/>
    <s v="Carousel"/>
    <x v="9"/>
    <n v="15623"/>
    <n v="869"/>
    <n v="423"/>
    <n v="371"/>
    <n v="47579"/>
    <n v="158516"/>
    <s v="Apple Event September 2025"/>
    <n v="0.10670847106916652"/>
  </r>
  <r>
    <s v="A214"/>
    <s v="YouTube"/>
    <d v="2024-12-23T00:00:00"/>
    <s v="Video"/>
    <x v="12"/>
    <n v="18616"/>
    <n v="1277"/>
    <n v="734"/>
    <n v="2249"/>
    <n v="3399"/>
    <n v="193515"/>
    <s v="iPhone 16 Launch"/>
    <n v="0.10659122031883833"/>
  </r>
  <r>
    <s v="A214"/>
    <s v="YouTube"/>
    <d v="2024-12-23T00:00:00"/>
    <s v="Video"/>
    <x v="13"/>
    <n v="18616"/>
    <n v="1277"/>
    <n v="734"/>
    <n v="2249"/>
    <n v="3399"/>
    <n v="193515"/>
    <s v="iPhone 16 Launch"/>
    <n v="0.10659122031883833"/>
  </r>
  <r>
    <s v="A272"/>
    <s v="LinkedIn"/>
    <d v="2025-03-27T00:00:00"/>
    <s v="Tweet"/>
    <x v="15"/>
    <n v="14819"/>
    <n v="1432"/>
    <n v="152"/>
    <n v="961"/>
    <n v="39154"/>
    <n v="154793"/>
    <s v="iPhone 16 Launch"/>
    <n v="0.10596732410380315"/>
  </r>
  <r>
    <s v="A272"/>
    <s v="LinkedIn"/>
    <d v="2025-03-27T00:00:00"/>
    <s v="Tweet"/>
    <x v="2"/>
    <n v="14819"/>
    <n v="1432"/>
    <n v="152"/>
    <n v="961"/>
    <n v="39154"/>
    <n v="154793"/>
    <s v="iPhone 16 Launch"/>
    <n v="0.10596732410380315"/>
  </r>
  <r>
    <s v="A198"/>
    <s v="LinkedIn"/>
    <d v="2025-09-19T00:00:00"/>
    <s v="Carousel"/>
    <x v="5"/>
    <n v="14772"/>
    <n v="1030"/>
    <n v="508"/>
    <n v="1876"/>
    <n v="8882"/>
    <n v="155142"/>
    <s v="Apple Event September 2025"/>
    <n v="0.10512949426976577"/>
  </r>
  <r>
    <s v="A198"/>
    <s v="LinkedIn"/>
    <d v="2025-09-19T00:00:00"/>
    <s v="Carousel"/>
    <x v="7"/>
    <n v="14772"/>
    <n v="1030"/>
    <n v="508"/>
    <n v="1876"/>
    <n v="8882"/>
    <n v="155142"/>
    <s v="Apple Event September 2025"/>
    <n v="0.10512949426976577"/>
  </r>
  <r>
    <s v="A296"/>
    <s v="LinkedIn"/>
    <d v="2025-02-11T00:00:00"/>
    <s v="Carousel"/>
    <x v="17"/>
    <n v="3619"/>
    <n v="1376"/>
    <n v="410"/>
    <n v="2499"/>
    <n v="58146"/>
    <n v="52149"/>
    <s v="Apple Watch Ultra 2 Launch"/>
    <n v="0.10364532397553165"/>
  </r>
  <r>
    <s v="A296"/>
    <s v="LinkedIn"/>
    <d v="2025-02-11T00:00:00"/>
    <s v="Carousel"/>
    <x v="18"/>
    <n v="3619"/>
    <n v="1376"/>
    <n v="410"/>
    <n v="2499"/>
    <n v="58146"/>
    <n v="52149"/>
    <s v="Apple Watch Ultra 2 Launch"/>
    <n v="0.10364532397553165"/>
  </r>
  <r>
    <s v="A240"/>
    <s v="LinkedIn"/>
    <d v="2025-09-11T00:00:00"/>
    <s v="Video"/>
    <x v="0"/>
    <n v="21901"/>
    <n v="1308"/>
    <n v="724"/>
    <n v="2183"/>
    <n v="15996"/>
    <n v="230961"/>
    <s v="Apple Event September 2025"/>
    <n v="0.10362355549205277"/>
  </r>
  <r>
    <s v="A240"/>
    <s v="LinkedIn"/>
    <d v="2025-09-11T00:00:00"/>
    <s v="Video"/>
    <x v="1"/>
    <n v="21901"/>
    <n v="1308"/>
    <n v="724"/>
    <n v="2183"/>
    <n v="15996"/>
    <n v="230961"/>
    <s v="Apple Event September 2025"/>
    <n v="0.10362355549205277"/>
  </r>
  <r>
    <s v="A243"/>
    <s v="LinkedIn"/>
    <d v="2025-03-06T00:00:00"/>
    <s v="Tweet"/>
    <x v="16"/>
    <n v="22119"/>
    <n v="899"/>
    <n v="642"/>
    <n v="410"/>
    <n v="49490"/>
    <n v="229420"/>
    <s v="iPhone 16 Launch"/>
    <n v="0.10312963124400662"/>
  </r>
  <r>
    <s v="A243"/>
    <s v="LinkedIn"/>
    <d v="2025-03-06T00:00:00"/>
    <s v="Tweet"/>
    <x v="5"/>
    <n v="22119"/>
    <n v="899"/>
    <n v="642"/>
    <n v="410"/>
    <n v="49490"/>
    <n v="229420"/>
    <s v="iPhone 16 Launch"/>
    <n v="0.10312963124400662"/>
  </r>
  <r>
    <s v="A290"/>
    <s v="LinkedIn"/>
    <d v="2025-09-20T00:00:00"/>
    <s v="Image"/>
    <x v="2"/>
    <n v="24422"/>
    <n v="327"/>
    <n v="481"/>
    <n v="2371"/>
    <n v="35340"/>
    <n v="245244"/>
    <s v="Apple Event September 2025"/>
    <n v="0.10287713460879777"/>
  </r>
  <r>
    <s v="A237"/>
    <s v="Twitter"/>
    <d v="2024-10-22T00:00:00"/>
    <s v="Carousel"/>
    <x v="12"/>
    <n v="7622"/>
    <n v="529"/>
    <n v="720"/>
    <n v="1015"/>
    <n v="71322"/>
    <n v="86819"/>
    <s v="MacBook Air M3 Campaign"/>
    <n v="0.10217809465669957"/>
  </r>
  <r>
    <s v="A237"/>
    <s v="Twitter"/>
    <d v="2024-10-22T00:00:00"/>
    <s v="Carousel"/>
    <x v="13"/>
    <n v="7622"/>
    <n v="529"/>
    <n v="720"/>
    <n v="1015"/>
    <n v="71322"/>
    <n v="86819"/>
    <s v="MacBook Air M3 Campaign"/>
    <n v="0.10217809465669957"/>
  </r>
  <r>
    <s v="A166"/>
    <s v="Instagram"/>
    <d v="2025-02-16T00:00:00"/>
    <s v="Tweet"/>
    <x v="5"/>
    <n v="24195"/>
    <n v="888"/>
    <n v="165"/>
    <n v="1559"/>
    <n v="11596"/>
    <n v="249988"/>
    <s v="Sustainability Awareness Drive"/>
    <n v="0.10099684784869674"/>
  </r>
  <r>
    <s v="A166"/>
    <s v="Instagram"/>
    <d v="2025-02-16T00:00:00"/>
    <s v="Tweet"/>
    <x v="6"/>
    <n v="24195"/>
    <n v="888"/>
    <n v="165"/>
    <n v="1559"/>
    <n v="11596"/>
    <n v="249988"/>
    <s v="Sustainability Awareness Drive"/>
    <n v="0.10099684784869674"/>
  </r>
  <r>
    <s v="A122"/>
    <s v="Instagram"/>
    <d v="2024-10-02T00:00:00"/>
    <s v="Video"/>
    <x v="15"/>
    <n v="9350"/>
    <n v="1024"/>
    <n v="550"/>
    <n v="2123"/>
    <n v="53916"/>
    <n v="108785"/>
    <s v="Sustainability Awareness Drive"/>
    <n v="0.10041825619340902"/>
  </r>
  <r>
    <s v="A122"/>
    <s v="Instagram"/>
    <d v="2024-10-02T00:00:00"/>
    <s v="Video"/>
    <x v="2"/>
    <n v="9350"/>
    <n v="1024"/>
    <n v="550"/>
    <n v="2123"/>
    <n v="53916"/>
    <n v="108785"/>
    <s v="Sustainability Awareness Drive"/>
    <n v="0.10041825619340902"/>
  </r>
  <r>
    <s v="A249"/>
    <s v="Instagram"/>
    <d v="2024-07-18T00:00:00"/>
    <s v="Video"/>
    <x v="14"/>
    <n v="11111"/>
    <n v="1222"/>
    <n v="367"/>
    <n v="507"/>
    <n v="14129"/>
    <n v="127163"/>
    <s v="MacBook Air M3 Campaign"/>
    <n v="9.9871818060284834E-2"/>
  </r>
  <r>
    <s v="A165"/>
    <s v="Twitter"/>
    <d v="2025-10-07T00:00:00"/>
    <s v="Carousel"/>
    <x v="8"/>
    <n v="19660"/>
    <n v="1307"/>
    <n v="310"/>
    <n v="2802"/>
    <n v="22171"/>
    <n v="213359"/>
    <s v="Apple Event September 2025"/>
    <n v="9.9723939463533293E-2"/>
  </r>
  <r>
    <s v="A165"/>
    <s v="Twitter"/>
    <d v="2025-10-07T00:00:00"/>
    <s v="Carousel"/>
    <x v="9"/>
    <n v="19660"/>
    <n v="1307"/>
    <n v="310"/>
    <n v="2802"/>
    <n v="22171"/>
    <n v="213359"/>
    <s v="Apple Event September 2025"/>
    <n v="9.9723939463533293E-2"/>
  </r>
  <r>
    <s v="A10"/>
    <s v="Twitter"/>
    <d v="2025-03-11T00:00:00"/>
    <s v="Video"/>
    <x v="16"/>
    <n v="20222"/>
    <n v="712"/>
    <n v="604"/>
    <n v="1272"/>
    <n v="71598"/>
    <n v="216422"/>
    <s v="Sustainability Awareness Drive"/>
    <n v="9.9518533235992648E-2"/>
  </r>
  <r>
    <s v="A10"/>
    <s v="Twitter"/>
    <d v="2025-03-11T00:00:00"/>
    <s v="Video"/>
    <x v="5"/>
    <n v="20222"/>
    <n v="712"/>
    <n v="604"/>
    <n v="1272"/>
    <n v="71598"/>
    <n v="216422"/>
    <s v="Sustainability Awareness Drive"/>
    <n v="9.9518533235992648E-2"/>
  </r>
  <r>
    <s v="A103"/>
    <s v="Twitter"/>
    <d v="2025-09-27T00:00:00"/>
    <s v="Tweet"/>
    <x v="10"/>
    <n v="18521"/>
    <n v="1027"/>
    <n v="230"/>
    <n v="1247"/>
    <n v="39588"/>
    <n v="200928"/>
    <s v="Apple Event September 2025"/>
    <n v="9.8433269628921807E-2"/>
  </r>
  <r>
    <s v="A103"/>
    <s v="Twitter"/>
    <d v="2025-09-27T00:00:00"/>
    <s v="Tweet"/>
    <x v="11"/>
    <n v="18521"/>
    <n v="1027"/>
    <n v="230"/>
    <n v="1247"/>
    <n v="39588"/>
    <n v="200928"/>
    <s v="Apple Event September 2025"/>
    <n v="9.8433269628921807E-2"/>
  </r>
  <r>
    <s v="A118"/>
    <s v="Twitter"/>
    <d v="2024-11-04T00:00:00"/>
    <s v="Video"/>
    <x v="2"/>
    <n v="14234"/>
    <n v="1013"/>
    <n v="437"/>
    <n v="338"/>
    <n v="67754"/>
    <n v="160030"/>
    <s v="Sustainability Awareness Drive"/>
    <n v="9.8006623758045364E-2"/>
  </r>
  <r>
    <s v="A253"/>
    <s v="LinkedIn"/>
    <d v="2025-09-16T00:00:00"/>
    <s v="Image"/>
    <x v="14"/>
    <n v="16043"/>
    <n v="595"/>
    <n v="923"/>
    <n v="1194"/>
    <n v="52613"/>
    <n v="179978"/>
    <s v="Apple Event September 2025"/>
    <n v="9.757303670448611E-2"/>
  </r>
  <r>
    <s v="A114"/>
    <s v="Twitter"/>
    <d v="2024-11-14T00:00:00"/>
    <s v="Image"/>
    <x v="12"/>
    <n v="6300"/>
    <n v="1213"/>
    <n v="720"/>
    <n v="1037"/>
    <n v="39569"/>
    <n v="85272"/>
    <s v="iPhone 16 Launch"/>
    <n v="9.6549863964724647E-2"/>
  </r>
  <r>
    <s v="A114"/>
    <s v="Twitter"/>
    <d v="2024-11-14T00:00:00"/>
    <s v="Image"/>
    <x v="13"/>
    <n v="6300"/>
    <n v="1213"/>
    <n v="720"/>
    <n v="1037"/>
    <n v="39569"/>
    <n v="85272"/>
    <s v="iPhone 16 Launch"/>
    <n v="9.6549863964724647E-2"/>
  </r>
  <r>
    <s v="A208"/>
    <s v="LinkedIn"/>
    <d v="2024-06-24T00:00:00"/>
    <s v="Tweet"/>
    <x v="10"/>
    <n v="5596"/>
    <n v="1231"/>
    <n v="473"/>
    <n v="2251"/>
    <n v="43705"/>
    <n v="75643"/>
    <s v="Apple Watch Ultra 2 Launch"/>
    <n v="9.6505955607260427E-2"/>
  </r>
  <r>
    <s v="A208"/>
    <s v="LinkedIn"/>
    <d v="2024-06-24T00:00:00"/>
    <s v="Tweet"/>
    <x v="11"/>
    <n v="5596"/>
    <n v="1231"/>
    <n v="473"/>
    <n v="2251"/>
    <n v="43705"/>
    <n v="75643"/>
    <s v="Apple Watch Ultra 2 Launch"/>
    <n v="9.6505955607260427E-2"/>
  </r>
  <r>
    <s v="A263"/>
    <s v="Instagram"/>
    <d v="2024-08-20T00:00:00"/>
    <s v="Tweet"/>
    <x v="2"/>
    <n v="2846"/>
    <n v="792"/>
    <n v="902"/>
    <n v="2469"/>
    <n v="12130"/>
    <n v="47151"/>
    <s v="Apple Watch Ultra 2 Launch"/>
    <n v="9.6286399015927546E-2"/>
  </r>
  <r>
    <s v="A35"/>
    <s v="Twitter"/>
    <d v="2024-11-30T00:00:00"/>
    <s v="Video"/>
    <x v="5"/>
    <n v="14763"/>
    <n v="864"/>
    <n v="336"/>
    <n v="1493"/>
    <n v="33310"/>
    <n v="165932"/>
    <s v="iPhone 16 Launch"/>
    <n v="9.6202058674637797E-2"/>
  </r>
  <r>
    <s v="A35"/>
    <s v="Twitter"/>
    <d v="2024-11-30T00:00:00"/>
    <s v="Video"/>
    <x v="6"/>
    <n v="14763"/>
    <n v="864"/>
    <n v="336"/>
    <n v="1493"/>
    <n v="33310"/>
    <n v="165932"/>
    <s v="iPhone 16 Launch"/>
    <n v="9.6202058674637797E-2"/>
  </r>
  <r>
    <s v="A26"/>
    <s v="Twitter"/>
    <d v="2025-04-05T00:00:00"/>
    <s v="Video"/>
    <x v="8"/>
    <n v="22384"/>
    <n v="601"/>
    <n v="943"/>
    <n v="515"/>
    <n v="41309"/>
    <n v="249373"/>
    <s v="Apple Watch Ultra 2 Launch"/>
    <n v="9.5952649244304716E-2"/>
  </r>
  <r>
    <s v="A26"/>
    <s v="Twitter"/>
    <d v="2025-04-05T00:00:00"/>
    <s v="Video"/>
    <x v="9"/>
    <n v="22384"/>
    <n v="601"/>
    <n v="943"/>
    <n v="515"/>
    <n v="41309"/>
    <n v="249373"/>
    <s v="Apple Watch Ultra 2 Launch"/>
    <n v="9.5952649244304716E-2"/>
  </r>
  <r>
    <s v="A238"/>
    <s v="Twitter"/>
    <d v="2024-07-16T00:00:00"/>
    <s v="Tweet"/>
    <x v="16"/>
    <n v="8767"/>
    <n v="974"/>
    <n v="733"/>
    <n v="1587"/>
    <n v="74927"/>
    <n v="113770"/>
    <s v="Apple Watch Ultra 2 Launch"/>
    <n v="9.2062933989628198E-2"/>
  </r>
  <r>
    <s v="A238"/>
    <s v="Twitter"/>
    <d v="2024-07-16T00:00:00"/>
    <s v="Tweet"/>
    <x v="5"/>
    <n v="8767"/>
    <n v="974"/>
    <n v="733"/>
    <n v="1587"/>
    <n v="74927"/>
    <n v="113770"/>
    <s v="Apple Watch Ultra 2 Launch"/>
    <n v="9.2062933989628198E-2"/>
  </r>
  <r>
    <s v="A56"/>
    <s v="LinkedIn"/>
    <d v="2024-12-18T00:00:00"/>
    <s v="Tweet"/>
    <x v="16"/>
    <n v="14775"/>
    <n v="1220"/>
    <n v="640"/>
    <n v="1547"/>
    <n v="28527"/>
    <n v="183660"/>
    <s v="MacBook Air M3 Campaign"/>
    <n v="9.0574975498203203E-2"/>
  </r>
  <r>
    <s v="A56"/>
    <s v="LinkedIn"/>
    <d v="2024-12-18T00:00:00"/>
    <s v="Tweet"/>
    <x v="5"/>
    <n v="14775"/>
    <n v="1220"/>
    <n v="640"/>
    <n v="1547"/>
    <n v="28527"/>
    <n v="183660"/>
    <s v="MacBook Air M3 Campaign"/>
    <n v="9.0574975498203203E-2"/>
  </r>
  <r>
    <s v="A266"/>
    <s v="Twitter"/>
    <d v="2024-11-25T00:00:00"/>
    <s v="Video"/>
    <x v="16"/>
    <n v="17385"/>
    <n v="831"/>
    <n v="568"/>
    <n v="2227"/>
    <n v="49351"/>
    <n v="207450"/>
    <s v="Sustainability Awareness Drive"/>
    <n v="9.0547119787900698E-2"/>
  </r>
  <r>
    <s v="A266"/>
    <s v="Twitter"/>
    <d v="2024-11-25T00:00:00"/>
    <s v="Video"/>
    <x v="5"/>
    <n v="17385"/>
    <n v="831"/>
    <n v="568"/>
    <n v="2227"/>
    <n v="49351"/>
    <n v="207450"/>
    <s v="Sustainability Awareness Drive"/>
    <n v="9.0547119787900698E-2"/>
  </r>
  <r>
    <s v="A179"/>
    <s v="Instagram"/>
    <d v="2024-07-15T00:00:00"/>
    <s v="Image"/>
    <x v="5"/>
    <n v="17034"/>
    <n v="231"/>
    <n v="290"/>
    <n v="1387"/>
    <n v="63550"/>
    <n v="198280"/>
    <s v="MacBook Air M3 Campaign"/>
    <n v="8.8536413153116805E-2"/>
  </r>
  <r>
    <s v="A179"/>
    <s v="Instagram"/>
    <d v="2024-07-15T00:00:00"/>
    <s v="Image"/>
    <x v="6"/>
    <n v="17034"/>
    <n v="231"/>
    <n v="290"/>
    <n v="1387"/>
    <n v="63550"/>
    <n v="198280"/>
    <s v="MacBook Air M3 Campaign"/>
    <n v="8.8536413153116805E-2"/>
  </r>
  <r>
    <s v="A2"/>
    <s v="LinkedIn"/>
    <d v="2025-09-03T00:00:00"/>
    <s v="Image"/>
    <x v="10"/>
    <n v="4779"/>
    <n v="1110"/>
    <n v="436"/>
    <n v="1574"/>
    <n v="77167"/>
    <n v="71585"/>
    <s v="Apple Event September 2025"/>
    <n v="8.8356499266606131E-2"/>
  </r>
  <r>
    <s v="A2"/>
    <s v="LinkedIn"/>
    <d v="2025-09-03T00:00:00"/>
    <s v="Image"/>
    <x v="11"/>
    <n v="4779"/>
    <n v="1110"/>
    <n v="436"/>
    <n v="1574"/>
    <n v="77167"/>
    <n v="71585"/>
    <s v="Apple Event September 2025"/>
    <n v="8.8356499266606131E-2"/>
  </r>
  <r>
    <s v="A86"/>
    <s v="YouTube"/>
    <d v="2025-01-27T00:00:00"/>
    <s v="Carousel"/>
    <x v="16"/>
    <n v="8949"/>
    <n v="1477"/>
    <n v="424"/>
    <n v="1030"/>
    <n v="58052"/>
    <n v="123310"/>
    <s v="Apple Watch Ultra 2 Launch"/>
    <n v="8.7989619657773091E-2"/>
  </r>
  <r>
    <s v="A86"/>
    <s v="YouTube"/>
    <d v="2025-01-27T00:00:00"/>
    <s v="Carousel"/>
    <x v="5"/>
    <n v="8949"/>
    <n v="1477"/>
    <n v="424"/>
    <n v="1030"/>
    <n v="58052"/>
    <n v="123310"/>
    <s v="Apple Watch Ultra 2 Launch"/>
    <n v="8.7989619657773091E-2"/>
  </r>
  <r>
    <s v="A57"/>
    <s v="LinkedIn"/>
    <d v="2024-10-21T00:00:00"/>
    <s v="Video"/>
    <x v="5"/>
    <n v="12015"/>
    <n v="1196"/>
    <n v="998"/>
    <n v="1848"/>
    <n v="44739"/>
    <n v="161750"/>
    <s v="MacBook Air M3 Campaign"/>
    <n v="8.7845440494590421E-2"/>
  </r>
  <r>
    <s v="A57"/>
    <s v="LinkedIn"/>
    <d v="2024-10-21T00:00:00"/>
    <s v="Video"/>
    <x v="6"/>
    <n v="12015"/>
    <n v="1196"/>
    <n v="998"/>
    <n v="1848"/>
    <n v="44739"/>
    <n v="161750"/>
    <s v="MacBook Air M3 Campaign"/>
    <n v="8.7845440494590421E-2"/>
  </r>
  <r>
    <s v="A297"/>
    <s v="Twitter"/>
    <d v="2024-12-24T00:00:00"/>
    <s v="Image"/>
    <x v="14"/>
    <n v="10512"/>
    <n v="1197"/>
    <n v="544"/>
    <n v="2012"/>
    <n v="10245"/>
    <n v="140102"/>
    <s v="Apple Watch Ultra 2 Launch"/>
    <n v="8.745770938316369E-2"/>
  </r>
  <r>
    <s v="A137"/>
    <s v="Instagram"/>
    <d v="2024-07-31T00:00:00"/>
    <s v="Carousel"/>
    <x v="5"/>
    <n v="13314"/>
    <n v="274"/>
    <n v="626"/>
    <n v="2280"/>
    <n v="14639"/>
    <n v="163008"/>
    <s v="iPhone 16 Launch"/>
    <n v="8.7198174322732622E-2"/>
  </r>
  <r>
    <s v="A137"/>
    <s v="Instagram"/>
    <d v="2024-07-31T00:00:00"/>
    <s v="Carousel"/>
    <x v="7"/>
    <n v="13314"/>
    <n v="274"/>
    <n v="626"/>
    <n v="2280"/>
    <n v="14639"/>
    <n v="163008"/>
    <s v="iPhone 16 Launch"/>
    <n v="8.7198174322732622E-2"/>
  </r>
  <r>
    <s v="A29"/>
    <s v="LinkedIn"/>
    <d v="2025-09-10T00:00:00"/>
    <s v="Carousel"/>
    <x v="14"/>
    <n v="9266"/>
    <n v="999"/>
    <n v="928"/>
    <n v="2700"/>
    <n v="12264"/>
    <n v="128397"/>
    <s v="Apple Event September 2025"/>
    <n v="8.7174933993784898E-2"/>
  </r>
  <r>
    <s v="A34"/>
    <s v="Twitter"/>
    <d v="2025-09-12T00:00:00"/>
    <s v="Tweet"/>
    <x v="12"/>
    <n v="17158"/>
    <n v="1192"/>
    <n v="262"/>
    <n v="2016"/>
    <n v="28771"/>
    <n v="216037"/>
    <s v="Apple Event September 2025"/>
    <n v="8.6151909163708074E-2"/>
  </r>
  <r>
    <s v="A34"/>
    <s v="Twitter"/>
    <d v="2025-09-12T00:00:00"/>
    <s v="Tweet"/>
    <x v="13"/>
    <n v="17158"/>
    <n v="1192"/>
    <n v="262"/>
    <n v="2016"/>
    <n v="28771"/>
    <n v="216037"/>
    <s v="Apple Event September 2025"/>
    <n v="8.6151909163708074E-2"/>
  </r>
  <r>
    <s v="A64"/>
    <s v="Instagram"/>
    <d v="2024-08-17T00:00:00"/>
    <s v="Video"/>
    <x v="2"/>
    <n v="19154"/>
    <n v="1064"/>
    <n v="650"/>
    <n v="747"/>
    <n v="42667"/>
    <n v="242332"/>
    <s v="Sustainability Awareness Drive"/>
    <n v="8.6113266097750191E-2"/>
  </r>
  <r>
    <s v="A55"/>
    <s v="YouTube"/>
    <d v="2024-06-17T00:00:00"/>
    <s v="Carousel"/>
    <x v="3"/>
    <n v="6976"/>
    <n v="1320"/>
    <n v="393"/>
    <n v="2285"/>
    <n v="14049"/>
    <n v="101367"/>
    <s v="MacBook Air M3 Campaign"/>
    <n v="8.5718231771681114E-2"/>
  </r>
  <r>
    <s v="A55"/>
    <s v="YouTube"/>
    <d v="2024-06-17T00:00:00"/>
    <s v="Carousel"/>
    <x v="4"/>
    <n v="6976"/>
    <n v="1320"/>
    <n v="393"/>
    <n v="2285"/>
    <n v="14049"/>
    <n v="101367"/>
    <s v="MacBook Air M3 Campaign"/>
    <n v="8.5718231771681114E-2"/>
  </r>
  <r>
    <s v="A259"/>
    <s v="LinkedIn"/>
    <d v="2025-02-10T00:00:00"/>
    <s v="Carousel"/>
    <x v="10"/>
    <n v="16309"/>
    <n v="1449"/>
    <n v="838"/>
    <n v="2434"/>
    <n v="2940"/>
    <n v="217953"/>
    <s v="iPhone 16 Launch"/>
    <n v="8.5321147219813445E-2"/>
  </r>
  <r>
    <s v="A259"/>
    <s v="LinkedIn"/>
    <d v="2025-02-10T00:00:00"/>
    <s v="Carousel"/>
    <x v="11"/>
    <n v="16309"/>
    <n v="1449"/>
    <n v="838"/>
    <n v="2434"/>
    <n v="2940"/>
    <n v="217953"/>
    <s v="iPhone 16 Launch"/>
    <n v="8.5321147219813445E-2"/>
  </r>
  <r>
    <s v="A25"/>
    <s v="LinkedIn"/>
    <d v="2025-09-09T00:00:00"/>
    <s v="Video"/>
    <x v="8"/>
    <n v="15772"/>
    <n v="288"/>
    <n v="520"/>
    <n v="1585"/>
    <n v="59182"/>
    <n v="194351"/>
    <s v="Apple Event September 2025"/>
    <n v="8.5309568769905988E-2"/>
  </r>
  <r>
    <s v="A25"/>
    <s v="LinkedIn"/>
    <d v="2025-09-09T00:00:00"/>
    <s v="Video"/>
    <x v="9"/>
    <n v="15772"/>
    <n v="288"/>
    <n v="520"/>
    <n v="1585"/>
    <n v="59182"/>
    <n v="194351"/>
    <s v="Apple Event September 2025"/>
    <n v="8.5309568769905988E-2"/>
  </r>
  <r>
    <s v="A213"/>
    <s v="Instagram"/>
    <d v="2025-05-01T00:00:00"/>
    <s v="Tweet"/>
    <x v="16"/>
    <n v="10258"/>
    <n v="527"/>
    <n v="854"/>
    <n v="2068"/>
    <n v="45632"/>
    <n v="136546"/>
    <s v="MacBook Air M3 Campaign"/>
    <n v="8.5238674146441498E-2"/>
  </r>
  <r>
    <s v="A213"/>
    <s v="Instagram"/>
    <d v="2025-05-01T00:00:00"/>
    <s v="Tweet"/>
    <x v="5"/>
    <n v="10258"/>
    <n v="527"/>
    <n v="854"/>
    <n v="2068"/>
    <n v="45632"/>
    <n v="136546"/>
    <s v="MacBook Air M3 Campaign"/>
    <n v="8.5238674146441498E-2"/>
  </r>
  <r>
    <s v="A255"/>
    <s v="Instagram"/>
    <d v="2025-04-03T00:00:00"/>
    <s v="Image"/>
    <x v="17"/>
    <n v="10837"/>
    <n v="1004"/>
    <n v="922"/>
    <n v="1108"/>
    <n v="36807"/>
    <n v="150350"/>
    <s v="Sustainability Awareness Drive"/>
    <n v="8.4888593282341204E-2"/>
  </r>
  <r>
    <s v="A255"/>
    <s v="Instagram"/>
    <d v="2025-04-03T00:00:00"/>
    <s v="Image"/>
    <x v="18"/>
    <n v="10837"/>
    <n v="1004"/>
    <n v="922"/>
    <n v="1108"/>
    <n v="36807"/>
    <n v="150350"/>
    <s v="Sustainability Awareness Drive"/>
    <n v="8.4888593282341204E-2"/>
  </r>
  <r>
    <s v="A8"/>
    <s v="Instagram"/>
    <d v="2024-07-13T00:00:00"/>
    <s v="Video"/>
    <x v="8"/>
    <n v="18639"/>
    <n v="1360"/>
    <n v="898"/>
    <n v="2011"/>
    <n v="42841"/>
    <n v="247779"/>
    <s v="iPhone 16 Launch"/>
    <n v="8.4337252148083575E-2"/>
  </r>
  <r>
    <s v="A8"/>
    <s v="Instagram"/>
    <d v="2024-07-13T00:00:00"/>
    <s v="Video"/>
    <x v="9"/>
    <n v="18639"/>
    <n v="1360"/>
    <n v="898"/>
    <n v="2011"/>
    <n v="42841"/>
    <n v="247779"/>
    <s v="iPhone 16 Launch"/>
    <n v="8.4337252148083575E-2"/>
  </r>
  <r>
    <s v="A215"/>
    <s v="YouTube"/>
    <d v="2025-09-25T00:00:00"/>
    <s v="Video"/>
    <x v="15"/>
    <n v="8371"/>
    <n v="960"/>
    <n v="548"/>
    <n v="2936"/>
    <n v="82543"/>
    <n v="119973"/>
    <s v="Apple Event September 2025"/>
    <n v="8.2343527293641069E-2"/>
  </r>
  <r>
    <s v="A215"/>
    <s v="YouTube"/>
    <d v="2025-09-25T00:00:00"/>
    <s v="Video"/>
    <x v="2"/>
    <n v="8371"/>
    <n v="960"/>
    <n v="548"/>
    <n v="2936"/>
    <n v="82543"/>
    <n v="119973"/>
    <s v="Apple Event September 2025"/>
    <n v="8.2343527293641069E-2"/>
  </r>
  <r>
    <s v="A117"/>
    <s v="Instagram"/>
    <d v="2024-11-04T00:00:00"/>
    <s v="Image"/>
    <x v="5"/>
    <n v="14015"/>
    <n v="978"/>
    <n v="196"/>
    <n v="2744"/>
    <n v="20190"/>
    <n v="186470"/>
    <s v="Sustainability Awareness Drive"/>
    <n v="8.1455462004611998E-2"/>
  </r>
  <r>
    <s v="A117"/>
    <s v="Instagram"/>
    <d v="2024-11-04T00:00:00"/>
    <s v="Image"/>
    <x v="6"/>
    <n v="14015"/>
    <n v="978"/>
    <n v="196"/>
    <n v="2744"/>
    <n v="20190"/>
    <n v="186470"/>
    <s v="Sustainability Awareness Drive"/>
    <n v="8.1455462004611998E-2"/>
  </r>
  <r>
    <s v="A176"/>
    <s v="Twitter"/>
    <d v="2025-10-09T00:00:00"/>
    <s v="Carousel"/>
    <x v="12"/>
    <n v="18748"/>
    <n v="634"/>
    <n v="400"/>
    <n v="1667"/>
    <n v="75813"/>
    <n v="244456"/>
    <s v="Apple Event September 2025"/>
    <n v="8.0922538207284747E-2"/>
  </r>
  <r>
    <s v="A176"/>
    <s v="Twitter"/>
    <d v="2025-10-09T00:00:00"/>
    <s v="Carousel"/>
    <x v="13"/>
    <n v="18748"/>
    <n v="634"/>
    <n v="400"/>
    <n v="1667"/>
    <n v="75813"/>
    <n v="244456"/>
    <s v="Apple Event September 2025"/>
    <n v="8.0922538207284747E-2"/>
  </r>
  <r>
    <s v="A175"/>
    <s v="LinkedIn"/>
    <d v="2025-10-08T00:00:00"/>
    <s v="Tweet"/>
    <x v="5"/>
    <n v="17745"/>
    <n v="414"/>
    <n v="563"/>
    <n v="2733"/>
    <n v="995"/>
    <n v="231648"/>
    <s v="Apple Event September 2025"/>
    <n v="8.0820900676889074E-2"/>
  </r>
  <r>
    <s v="A175"/>
    <s v="LinkedIn"/>
    <d v="2025-10-08T00:00:00"/>
    <s v="Tweet"/>
    <x v="6"/>
    <n v="17745"/>
    <n v="414"/>
    <n v="563"/>
    <n v="2733"/>
    <n v="995"/>
    <n v="231648"/>
    <s v="Apple Event September 2025"/>
    <n v="8.0820900676889074E-2"/>
  </r>
  <r>
    <s v="A212"/>
    <s v="YouTube"/>
    <d v="2025-03-03T00:00:00"/>
    <s v="Video"/>
    <x v="3"/>
    <n v="9561"/>
    <n v="642"/>
    <n v="581"/>
    <n v="2572"/>
    <n v="38552"/>
    <n v="133680"/>
    <s v="Apple Watch Ultra 2 Launch"/>
    <n v="8.0670257330939563E-2"/>
  </r>
  <r>
    <s v="A212"/>
    <s v="YouTube"/>
    <d v="2025-03-03T00:00:00"/>
    <s v="Video"/>
    <x v="4"/>
    <n v="9561"/>
    <n v="642"/>
    <n v="581"/>
    <n v="2572"/>
    <n v="38552"/>
    <n v="133680"/>
    <s v="Apple Watch Ultra 2 Launch"/>
    <n v="8.0670257330939563E-2"/>
  </r>
  <r>
    <s v="A172"/>
    <s v="Instagram"/>
    <d v="2024-08-14T00:00:00"/>
    <s v="Carousel"/>
    <x v="17"/>
    <n v="10150"/>
    <n v="526"/>
    <n v="888"/>
    <n v="1313"/>
    <n v="51605"/>
    <n v="143409"/>
    <s v="Apple Watch Ultra 2 Launch"/>
    <n v="8.0636501195880311E-2"/>
  </r>
  <r>
    <s v="A172"/>
    <s v="Instagram"/>
    <d v="2024-08-14T00:00:00"/>
    <s v="Carousel"/>
    <x v="18"/>
    <n v="10150"/>
    <n v="526"/>
    <n v="888"/>
    <n v="1313"/>
    <n v="51605"/>
    <n v="143409"/>
    <s v="Apple Watch Ultra 2 Launch"/>
    <n v="8.0636501195880311E-2"/>
  </r>
  <r>
    <s v="A191"/>
    <s v="YouTube"/>
    <d v="2025-10-14T00:00:00"/>
    <s v="Carousel"/>
    <x v="15"/>
    <n v="9673"/>
    <n v="393"/>
    <n v="846"/>
    <n v="1028"/>
    <n v="55556"/>
    <n v="136652"/>
    <s v="Apple Event September 2025"/>
    <n v="7.9852471972601938E-2"/>
  </r>
  <r>
    <s v="A191"/>
    <s v="YouTube"/>
    <d v="2025-10-14T00:00:00"/>
    <s v="Carousel"/>
    <x v="2"/>
    <n v="9673"/>
    <n v="393"/>
    <n v="846"/>
    <n v="1028"/>
    <n v="55556"/>
    <n v="136652"/>
    <s v="Apple Event September 2025"/>
    <n v="7.9852471972601938E-2"/>
  </r>
  <r>
    <s v="A227"/>
    <s v="Instagram"/>
    <d v="2024-06-12T00:00:00"/>
    <s v="Tweet"/>
    <x v="10"/>
    <n v="17679"/>
    <n v="690"/>
    <n v="451"/>
    <n v="2195"/>
    <n v="4390"/>
    <n v="235804"/>
    <s v="MacBook Air M3 Campaign"/>
    <n v="7.9812047293514959E-2"/>
  </r>
  <r>
    <s v="A227"/>
    <s v="Instagram"/>
    <d v="2024-06-12T00:00:00"/>
    <s v="Tweet"/>
    <x v="11"/>
    <n v="17679"/>
    <n v="690"/>
    <n v="451"/>
    <n v="2195"/>
    <n v="4390"/>
    <n v="235804"/>
    <s v="MacBook Air M3 Campaign"/>
    <n v="7.9812047293514959E-2"/>
  </r>
  <r>
    <s v="A267"/>
    <s v="LinkedIn"/>
    <d v="2024-10-04T00:00:00"/>
    <s v="Video"/>
    <x v="5"/>
    <n v="15746"/>
    <n v="258"/>
    <n v="839"/>
    <n v="2656"/>
    <n v="66614"/>
    <n v="213724"/>
    <s v="Sustainability Awareness Drive"/>
    <n v="7.8807246729426739E-2"/>
  </r>
  <r>
    <s v="A267"/>
    <s v="LinkedIn"/>
    <d v="2024-10-04T00:00:00"/>
    <s v="Video"/>
    <x v="6"/>
    <n v="15746"/>
    <n v="258"/>
    <n v="839"/>
    <n v="2656"/>
    <n v="66614"/>
    <n v="213724"/>
    <s v="Sustainability Awareness Drive"/>
    <n v="7.8807246729426739E-2"/>
  </r>
  <r>
    <s v="A59"/>
    <s v="YouTube"/>
    <d v="2024-06-22T00:00:00"/>
    <s v="Image"/>
    <x v="8"/>
    <n v="16430"/>
    <n v="488"/>
    <n v="514"/>
    <n v="1436"/>
    <n v="30059"/>
    <n v="223305"/>
    <s v="iPhone 16 Launch"/>
    <n v="7.8063634938760881E-2"/>
  </r>
  <r>
    <s v="A59"/>
    <s v="YouTube"/>
    <d v="2024-06-22T00:00:00"/>
    <s v="Image"/>
    <x v="9"/>
    <n v="16430"/>
    <n v="488"/>
    <n v="514"/>
    <n v="1436"/>
    <n v="30059"/>
    <n v="223305"/>
    <s v="iPhone 16 Launch"/>
    <n v="7.8063634938760881E-2"/>
  </r>
  <r>
    <s v="A124"/>
    <s v="YouTube"/>
    <d v="2025-04-06T00:00:00"/>
    <s v="Tweet"/>
    <x v="15"/>
    <n v="8238"/>
    <n v="766"/>
    <n v="235"/>
    <n v="1273"/>
    <n v="4706"/>
    <n v="119141"/>
    <s v="iPhone 16 Launch"/>
    <n v="7.7546772311798629E-2"/>
  </r>
  <r>
    <s v="A124"/>
    <s v="YouTube"/>
    <d v="2025-04-06T00:00:00"/>
    <s v="Tweet"/>
    <x v="2"/>
    <n v="8238"/>
    <n v="766"/>
    <n v="235"/>
    <n v="1273"/>
    <n v="4706"/>
    <n v="119141"/>
    <s v="iPhone 16 Launch"/>
    <n v="7.7546772311798629E-2"/>
  </r>
  <r>
    <s v="A101"/>
    <s v="YouTube"/>
    <d v="2024-10-18T00:00:00"/>
    <s v="Carousel"/>
    <x v="10"/>
    <n v="6892"/>
    <n v="1184"/>
    <n v="925"/>
    <n v="1062"/>
    <n v="75008"/>
    <n v="116260"/>
    <s v="MacBook Air M3 Campaign"/>
    <n v="7.7421297092723204E-2"/>
  </r>
  <r>
    <s v="A101"/>
    <s v="YouTube"/>
    <d v="2024-10-18T00:00:00"/>
    <s v="Carousel"/>
    <x v="11"/>
    <n v="6892"/>
    <n v="1184"/>
    <n v="925"/>
    <n v="1062"/>
    <n v="75008"/>
    <n v="116260"/>
    <s v="MacBook Air M3 Campaign"/>
    <n v="7.7421297092723204E-2"/>
  </r>
  <r>
    <s v="A278"/>
    <s v="Twitter"/>
    <d v="2024-11-26T00:00:00"/>
    <s v="Video"/>
    <x v="0"/>
    <n v="14607"/>
    <n v="1458"/>
    <n v="478"/>
    <n v="334"/>
    <n v="49257"/>
    <n v="214668"/>
    <s v="iPhone 16 Launch"/>
    <n v="7.7063185942944451E-2"/>
  </r>
  <r>
    <s v="A278"/>
    <s v="Twitter"/>
    <d v="2024-11-26T00:00:00"/>
    <s v="Video"/>
    <x v="1"/>
    <n v="14607"/>
    <n v="1458"/>
    <n v="478"/>
    <n v="334"/>
    <n v="49257"/>
    <n v="214668"/>
    <s v="iPhone 16 Launch"/>
    <n v="7.7063185942944451E-2"/>
  </r>
  <r>
    <s v="A11"/>
    <s v="YouTube"/>
    <d v="2025-02-02T00:00:00"/>
    <s v="Carousel"/>
    <x v="5"/>
    <n v="12136"/>
    <n v="1117"/>
    <n v="834"/>
    <n v="892"/>
    <n v="24675"/>
    <n v="183273"/>
    <s v="Sustainability Awareness Drive"/>
    <n v="7.6863476889667326E-2"/>
  </r>
  <r>
    <s v="A11"/>
    <s v="YouTube"/>
    <d v="2025-02-02T00:00:00"/>
    <s v="Carousel"/>
    <x v="7"/>
    <n v="12136"/>
    <n v="1117"/>
    <n v="834"/>
    <n v="892"/>
    <n v="24675"/>
    <n v="183273"/>
    <s v="Sustainability Awareness Drive"/>
    <n v="7.6863476889667326E-2"/>
  </r>
  <r>
    <s v="A277"/>
    <s v="Instagram"/>
    <d v="2025-04-06T00:00:00"/>
    <s v="Image"/>
    <x v="14"/>
    <n v="14941"/>
    <n v="1424"/>
    <n v="238"/>
    <n v="1054"/>
    <n v="20516"/>
    <n v="216048"/>
    <s v="MacBook Air M3 Campaign"/>
    <n v="7.6848663260016298E-2"/>
  </r>
  <r>
    <s v="A116"/>
    <s v="LinkedIn"/>
    <d v="2025-03-18T00:00:00"/>
    <s v="Image"/>
    <x v="8"/>
    <n v="5818"/>
    <n v="1252"/>
    <n v="687"/>
    <n v="2300"/>
    <n v="25081"/>
    <n v="101212"/>
    <s v="MacBook Air M3 Campaign"/>
    <n v="7.6641109749832043E-2"/>
  </r>
  <r>
    <s v="A116"/>
    <s v="LinkedIn"/>
    <d v="2025-03-18T00:00:00"/>
    <s v="Image"/>
    <x v="9"/>
    <n v="5818"/>
    <n v="1252"/>
    <n v="687"/>
    <n v="2300"/>
    <n v="25081"/>
    <n v="101212"/>
    <s v="MacBook Air M3 Campaign"/>
    <n v="7.6641109749832043E-2"/>
  </r>
  <r>
    <s v="A112"/>
    <s v="YouTube"/>
    <d v="2024-10-05T00:00:00"/>
    <s v="Carousel"/>
    <x v="10"/>
    <n v="16388"/>
    <n v="1208"/>
    <n v="417"/>
    <n v="2306"/>
    <n v="16865"/>
    <n v="236733"/>
    <s v="Apple Watch Ultra 2 Launch"/>
    <n v="7.6089940988370866E-2"/>
  </r>
  <r>
    <s v="A112"/>
    <s v="YouTube"/>
    <d v="2024-10-05T00:00:00"/>
    <s v="Carousel"/>
    <x v="11"/>
    <n v="16388"/>
    <n v="1208"/>
    <n v="417"/>
    <n v="2306"/>
    <n v="16865"/>
    <n v="236733"/>
    <s v="Apple Watch Ultra 2 Launch"/>
    <n v="7.6089940988370866E-2"/>
  </r>
  <r>
    <s v="A211"/>
    <s v="YouTube"/>
    <d v="2025-09-24T00:00:00"/>
    <s v="Image"/>
    <x v="14"/>
    <n v="11795"/>
    <n v="958"/>
    <n v="814"/>
    <n v="301"/>
    <n v="12564"/>
    <n v="179999"/>
    <s v="Apple Event September 2025"/>
    <n v="7.5372640959116444E-2"/>
  </r>
  <r>
    <s v="A233"/>
    <s v="LinkedIn"/>
    <d v="2025-03-08T00:00:00"/>
    <s v="Image"/>
    <x v="3"/>
    <n v="5812"/>
    <n v="934"/>
    <n v="302"/>
    <n v="2356"/>
    <n v="37437"/>
    <n v="93551"/>
    <s v="Apple Watch Ultra 2 Launch"/>
    <n v="7.5338585370546551E-2"/>
  </r>
  <r>
    <s v="A233"/>
    <s v="LinkedIn"/>
    <d v="2025-03-08T00:00:00"/>
    <s v="Image"/>
    <x v="4"/>
    <n v="5812"/>
    <n v="934"/>
    <n v="302"/>
    <n v="2356"/>
    <n v="37437"/>
    <n v="93551"/>
    <s v="Apple Watch Ultra 2 Launch"/>
    <n v="7.5338585370546551E-2"/>
  </r>
  <r>
    <s v="A239"/>
    <s v="YouTube"/>
    <d v="2025-09-10T00:00:00"/>
    <s v="Image"/>
    <x v="10"/>
    <n v="13613"/>
    <n v="350"/>
    <n v="809"/>
    <n v="2013"/>
    <n v="20471"/>
    <n v="198038"/>
    <s v="Apple Event September 2025"/>
    <n v="7.4591745018632791E-2"/>
  </r>
  <r>
    <s v="A239"/>
    <s v="YouTube"/>
    <d v="2025-09-10T00:00:00"/>
    <s v="Image"/>
    <x v="11"/>
    <n v="13613"/>
    <n v="350"/>
    <n v="809"/>
    <n v="2013"/>
    <n v="20471"/>
    <n v="198038"/>
    <s v="Apple Event September 2025"/>
    <n v="7.4591745018632791E-2"/>
  </r>
  <r>
    <s v="A17"/>
    <s v="LinkedIn"/>
    <d v="2025-05-05T00:00:00"/>
    <s v="Tweet"/>
    <x v="5"/>
    <n v="10415"/>
    <n v="1388"/>
    <n v="725"/>
    <n v="2462"/>
    <n v="53082"/>
    <n v="168267"/>
    <s v="MacBook Air M3 Campaign"/>
    <n v="7.4453101321114656E-2"/>
  </r>
  <r>
    <s v="A17"/>
    <s v="LinkedIn"/>
    <d v="2025-05-05T00:00:00"/>
    <s v="Tweet"/>
    <x v="6"/>
    <n v="10415"/>
    <n v="1388"/>
    <n v="725"/>
    <n v="2462"/>
    <n v="53082"/>
    <n v="168267"/>
    <s v="MacBook Air M3 Campaign"/>
    <n v="7.4453101321114656E-2"/>
  </r>
  <r>
    <s v="A252"/>
    <s v="Instagram"/>
    <d v="2025-04-28T00:00:00"/>
    <s v="Carousel"/>
    <x v="5"/>
    <n v="10659"/>
    <n v="1342"/>
    <n v="408"/>
    <n v="709"/>
    <n v="16309"/>
    <n v="168803"/>
    <s v="Sustainability Awareness Drive"/>
    <n v="7.3511726687321907E-2"/>
  </r>
  <r>
    <s v="A252"/>
    <s v="Instagram"/>
    <d v="2025-04-28T00:00:00"/>
    <s v="Carousel"/>
    <x v="6"/>
    <n v="10659"/>
    <n v="1342"/>
    <n v="408"/>
    <n v="709"/>
    <n v="16309"/>
    <n v="168803"/>
    <s v="Sustainability Awareness Drive"/>
    <n v="7.3511726687321907E-2"/>
  </r>
  <r>
    <s v="A209"/>
    <s v="Twitter"/>
    <d v="2025-03-19T00:00:00"/>
    <s v="Carousel"/>
    <x v="5"/>
    <n v="13475"/>
    <n v="1032"/>
    <n v="295"/>
    <n v="541"/>
    <n v="43666"/>
    <n v="202396"/>
    <s v="MacBook Air M3 Campaign"/>
    <n v="7.3133856400324118E-2"/>
  </r>
  <r>
    <s v="A209"/>
    <s v="Twitter"/>
    <d v="2025-03-19T00:00:00"/>
    <s v="Carousel"/>
    <x v="7"/>
    <n v="13475"/>
    <n v="1032"/>
    <n v="295"/>
    <n v="541"/>
    <n v="43666"/>
    <n v="202396"/>
    <s v="MacBook Air M3 Campaign"/>
    <n v="7.3133856400324118E-2"/>
  </r>
  <r>
    <s v="A18"/>
    <s v="LinkedIn"/>
    <d v="2024-08-19T00:00:00"/>
    <s v="Image"/>
    <x v="8"/>
    <n v="15550"/>
    <n v="204"/>
    <n v="279"/>
    <n v="1646"/>
    <n v="35819"/>
    <n v="219436"/>
    <s v="Apple Watch Ultra 2 Launch"/>
    <n v="7.306458375107093E-2"/>
  </r>
  <r>
    <s v="A18"/>
    <s v="LinkedIn"/>
    <d v="2024-08-19T00:00:00"/>
    <s v="Image"/>
    <x v="9"/>
    <n v="15550"/>
    <n v="204"/>
    <n v="279"/>
    <n v="1646"/>
    <n v="35819"/>
    <n v="219436"/>
    <s v="Apple Watch Ultra 2 Launch"/>
    <n v="7.306458375107093E-2"/>
  </r>
  <r>
    <s v="A229"/>
    <s v="Instagram"/>
    <d v="2024-07-03T00:00:00"/>
    <s v="Video"/>
    <x v="10"/>
    <n v="12167"/>
    <n v="364"/>
    <n v="160"/>
    <n v="616"/>
    <n v="42228"/>
    <n v="175832"/>
    <s v="Sustainability Awareness Drive"/>
    <n v="7.2176850630146963E-2"/>
  </r>
  <r>
    <s v="A229"/>
    <s v="Instagram"/>
    <d v="2024-07-03T00:00:00"/>
    <s v="Video"/>
    <x v="11"/>
    <n v="12167"/>
    <n v="364"/>
    <n v="160"/>
    <n v="616"/>
    <n v="42228"/>
    <n v="175832"/>
    <s v="Sustainability Awareness Drive"/>
    <n v="7.2176850630146963E-2"/>
  </r>
  <r>
    <s v="A89"/>
    <s v="LinkedIn"/>
    <d v="2025-09-23T00:00:00"/>
    <s v="Image"/>
    <x v="17"/>
    <n v="10017"/>
    <n v="1357"/>
    <n v="966"/>
    <n v="2871"/>
    <n v="14800"/>
    <n v="171691"/>
    <s v="Apple Event September 2025"/>
    <n v="7.1873307278774071E-2"/>
  </r>
  <r>
    <s v="A89"/>
    <s v="LinkedIn"/>
    <d v="2025-09-23T00:00:00"/>
    <s v="Image"/>
    <x v="18"/>
    <n v="10017"/>
    <n v="1357"/>
    <n v="966"/>
    <n v="2871"/>
    <n v="14800"/>
    <n v="171691"/>
    <s v="Apple Event September 2025"/>
    <n v="7.1873307278774071E-2"/>
  </r>
  <r>
    <s v="A177"/>
    <s v="YouTube"/>
    <d v="2024-07-10T00:00:00"/>
    <s v="Image"/>
    <x v="15"/>
    <n v="8809"/>
    <n v="1151"/>
    <n v="908"/>
    <n v="883"/>
    <n v="42921"/>
    <n v="151279"/>
    <s v="MacBook Air M3 Campaign"/>
    <n v="7.1840771025720687E-2"/>
  </r>
  <r>
    <s v="A177"/>
    <s v="YouTube"/>
    <d v="2024-07-10T00:00:00"/>
    <s v="Image"/>
    <x v="2"/>
    <n v="8809"/>
    <n v="1151"/>
    <n v="908"/>
    <n v="883"/>
    <n v="42921"/>
    <n v="151279"/>
    <s v="MacBook Air M3 Campaign"/>
    <n v="7.1840771025720687E-2"/>
  </r>
  <r>
    <s v="A192"/>
    <s v="YouTube"/>
    <d v="2025-10-15T00:00:00"/>
    <s v="Image"/>
    <x v="8"/>
    <n v="8882"/>
    <n v="701"/>
    <n v="421"/>
    <n v="2343"/>
    <n v="13588"/>
    <n v="139304"/>
    <s v="Apple Event September 2025"/>
    <n v="7.1814161833113191E-2"/>
  </r>
  <r>
    <s v="A192"/>
    <s v="YouTube"/>
    <d v="2025-10-15T00:00:00"/>
    <s v="Image"/>
    <x v="9"/>
    <n v="8882"/>
    <n v="701"/>
    <n v="421"/>
    <n v="2343"/>
    <n v="13588"/>
    <n v="139304"/>
    <s v="Apple Event September 2025"/>
    <n v="7.1814161833113191E-2"/>
  </r>
  <r>
    <s v="A115"/>
    <s v="YouTube"/>
    <d v="2025-09-30T00:00:00"/>
    <s v="Tweet"/>
    <x v="3"/>
    <n v="8269"/>
    <n v="250"/>
    <n v="638"/>
    <n v="815"/>
    <n v="41991"/>
    <n v="129393"/>
    <s v="Apple Event September 2025"/>
    <n v="7.0768897853825175E-2"/>
  </r>
  <r>
    <s v="A115"/>
    <s v="YouTube"/>
    <d v="2025-09-30T00:00:00"/>
    <s v="Tweet"/>
    <x v="4"/>
    <n v="8269"/>
    <n v="250"/>
    <n v="638"/>
    <n v="815"/>
    <n v="41991"/>
    <n v="129393"/>
    <s v="Apple Event September 2025"/>
    <n v="7.0768897853825175E-2"/>
  </r>
  <r>
    <s v="A257"/>
    <s v="YouTube"/>
    <d v="2025-04-06T00:00:00"/>
    <s v="Carousel"/>
    <x v="5"/>
    <n v="15917"/>
    <n v="1479"/>
    <n v="196"/>
    <n v="313"/>
    <n v="48524"/>
    <n v="249684"/>
    <s v="iPhone 16 Launch"/>
    <n v="7.0457057720959296E-2"/>
  </r>
  <r>
    <s v="A257"/>
    <s v="YouTube"/>
    <d v="2025-04-06T00:00:00"/>
    <s v="Carousel"/>
    <x v="6"/>
    <n v="15917"/>
    <n v="1479"/>
    <n v="196"/>
    <n v="313"/>
    <n v="48524"/>
    <n v="249684"/>
    <s v="iPhone 16 Launch"/>
    <n v="7.0457057720959296E-2"/>
  </r>
  <r>
    <s v="A291"/>
    <s v="Instagram"/>
    <d v="2024-11-06T00:00:00"/>
    <s v="Image"/>
    <x v="0"/>
    <n v="11865"/>
    <n v="241"/>
    <n v="319"/>
    <n v="703"/>
    <n v="69596"/>
    <n v="177513"/>
    <s v="iPhone 16 Launch"/>
    <n v="6.999487361489018E-2"/>
  </r>
  <r>
    <s v="A291"/>
    <s v="Instagram"/>
    <d v="2024-11-06T00:00:00"/>
    <s v="Image"/>
    <x v="1"/>
    <n v="11865"/>
    <n v="241"/>
    <n v="319"/>
    <n v="703"/>
    <n v="69596"/>
    <n v="177513"/>
    <s v="iPhone 16 Launch"/>
    <n v="6.999487361489018E-2"/>
  </r>
  <r>
    <s v="A299"/>
    <s v="Instagram"/>
    <d v="2025-09-25T00:00:00"/>
    <s v="Carousel"/>
    <x v="15"/>
    <n v="12568"/>
    <n v="541"/>
    <n v="273"/>
    <n v="2767"/>
    <n v="22331"/>
    <n v="192747"/>
    <s v="Apple Event September 2025"/>
    <n v="6.9427799135654514E-2"/>
  </r>
  <r>
    <s v="A299"/>
    <s v="Instagram"/>
    <d v="2025-09-25T00:00:00"/>
    <s v="Carousel"/>
    <x v="2"/>
    <n v="12568"/>
    <n v="541"/>
    <n v="273"/>
    <n v="2767"/>
    <n v="22331"/>
    <n v="192747"/>
    <s v="Apple Event September 2025"/>
    <n v="6.9427799135654514E-2"/>
  </r>
  <r>
    <s v="A45"/>
    <s v="LinkedIn"/>
    <d v="2025-09-17T00:00:00"/>
    <s v="Tweet"/>
    <x v="0"/>
    <n v="15456"/>
    <n v="590"/>
    <n v="555"/>
    <n v="2882"/>
    <n v="49816"/>
    <n v="240422"/>
    <s v="Apple Event September 2025"/>
    <n v="6.9049421433978589E-2"/>
  </r>
  <r>
    <s v="A45"/>
    <s v="LinkedIn"/>
    <d v="2025-09-17T00:00:00"/>
    <s v="Tweet"/>
    <x v="1"/>
    <n v="15456"/>
    <n v="590"/>
    <n v="555"/>
    <n v="2882"/>
    <n v="49816"/>
    <n v="240422"/>
    <s v="Apple Event September 2025"/>
    <n v="6.9049421433978589E-2"/>
  </r>
  <r>
    <s v="A37"/>
    <s v="LinkedIn"/>
    <d v="2025-01-06T00:00:00"/>
    <s v="Image"/>
    <x v="12"/>
    <n v="11860"/>
    <n v="1448"/>
    <n v="893"/>
    <n v="490"/>
    <n v="23518"/>
    <n v="206205"/>
    <s v="Apple Watch Ultra 2 Launch"/>
    <n v="6.8868359157149436E-2"/>
  </r>
  <r>
    <s v="A37"/>
    <s v="LinkedIn"/>
    <d v="2025-01-06T00:00:00"/>
    <s v="Image"/>
    <x v="13"/>
    <n v="11860"/>
    <n v="1448"/>
    <n v="893"/>
    <n v="490"/>
    <n v="23518"/>
    <n v="206205"/>
    <s v="Apple Watch Ultra 2 Launch"/>
    <n v="6.8868359157149436E-2"/>
  </r>
  <r>
    <s v="A162"/>
    <s v="Instagram"/>
    <d v="2025-04-01T00:00:00"/>
    <s v="Image"/>
    <x v="0"/>
    <n v="6432"/>
    <n v="1272"/>
    <n v="498"/>
    <n v="677"/>
    <n v="47305"/>
    <n v="119134"/>
    <s v="Apple Watch Ultra 2 Launch"/>
    <n v="6.8846844729464299E-2"/>
  </r>
  <r>
    <s v="A162"/>
    <s v="Instagram"/>
    <d v="2025-04-01T00:00:00"/>
    <s v="Image"/>
    <x v="1"/>
    <n v="6432"/>
    <n v="1272"/>
    <n v="498"/>
    <n v="677"/>
    <n v="47305"/>
    <n v="119134"/>
    <s v="Apple Watch Ultra 2 Launch"/>
    <n v="6.8846844729464299E-2"/>
  </r>
  <r>
    <s v="A279"/>
    <s v="Instagram"/>
    <d v="2024-09-02T00:00:00"/>
    <s v="Video"/>
    <x v="5"/>
    <n v="11765"/>
    <n v="693"/>
    <n v="729"/>
    <n v="744"/>
    <n v="97772"/>
    <n v="194243"/>
    <s v="Apple Watch Ultra 2 Launch"/>
    <n v="6.7889190344053579E-2"/>
  </r>
  <r>
    <s v="A279"/>
    <s v="Instagram"/>
    <d v="2024-09-02T00:00:00"/>
    <s v="Video"/>
    <x v="7"/>
    <n v="11765"/>
    <n v="693"/>
    <n v="729"/>
    <n v="744"/>
    <n v="97772"/>
    <n v="194243"/>
    <s v="Apple Watch Ultra 2 Launch"/>
    <n v="6.7889190344053579E-2"/>
  </r>
  <r>
    <s v="A241"/>
    <s v="Twitter"/>
    <d v="2025-01-18T00:00:00"/>
    <s v="Tweet"/>
    <x v="15"/>
    <n v="12589"/>
    <n v="346"/>
    <n v="459"/>
    <n v="1407"/>
    <n v="29254"/>
    <n v="198059"/>
    <s v="Sustainability Awareness Drive"/>
    <n v="6.7626313371268162E-2"/>
  </r>
  <r>
    <s v="A241"/>
    <s v="Twitter"/>
    <d v="2025-01-18T00:00:00"/>
    <s v="Tweet"/>
    <x v="2"/>
    <n v="12589"/>
    <n v="346"/>
    <n v="459"/>
    <n v="1407"/>
    <n v="29254"/>
    <n v="198059"/>
    <s v="Sustainability Awareness Drive"/>
    <n v="6.7626313371268162E-2"/>
  </r>
  <r>
    <s v="A111"/>
    <s v="LinkedIn"/>
    <d v="2024-11-23T00:00:00"/>
    <s v="Tweet"/>
    <x v="2"/>
    <n v="9941"/>
    <n v="1329"/>
    <n v="238"/>
    <n v="869"/>
    <n v="40281"/>
    <n v="172311"/>
    <s v="Sustainability Awareness Drive"/>
    <n v="6.6786217943137702E-2"/>
  </r>
  <r>
    <s v="A99"/>
    <s v="Twitter"/>
    <d v="2024-07-02T00:00:00"/>
    <s v="Carousel"/>
    <x v="0"/>
    <n v="12320"/>
    <n v="1157"/>
    <n v="365"/>
    <n v="584"/>
    <n v="66634"/>
    <n v="210102"/>
    <s v="iPhone 16 Launch"/>
    <n v="6.5882285746922925E-2"/>
  </r>
  <r>
    <s v="A99"/>
    <s v="Twitter"/>
    <d v="2024-07-02T00:00:00"/>
    <s v="Carousel"/>
    <x v="1"/>
    <n v="12320"/>
    <n v="1157"/>
    <n v="365"/>
    <n v="584"/>
    <n v="66634"/>
    <n v="210102"/>
    <s v="iPhone 16 Launch"/>
    <n v="6.5882285746922925E-2"/>
  </r>
  <r>
    <s v="A222"/>
    <s v="YouTube"/>
    <d v="2024-10-08T00:00:00"/>
    <s v="Tweet"/>
    <x v="14"/>
    <n v="8738"/>
    <n v="295"/>
    <n v="529"/>
    <n v="442"/>
    <n v="25286"/>
    <n v="147522"/>
    <s v="iPhone 16 Launch"/>
    <n v="6.4817450956467515E-2"/>
  </r>
  <r>
    <s v="A54"/>
    <s v="LinkedIn"/>
    <d v="2025-03-13T00:00:00"/>
    <s v="Carousel"/>
    <x v="12"/>
    <n v="6544"/>
    <n v="749"/>
    <n v="888"/>
    <n v="594"/>
    <n v="18171"/>
    <n v="126475"/>
    <s v="Sustainability Awareness Drive"/>
    <n v="6.4684720300454635E-2"/>
  </r>
  <r>
    <s v="A54"/>
    <s v="LinkedIn"/>
    <d v="2025-03-13T00:00:00"/>
    <s v="Carousel"/>
    <x v="13"/>
    <n v="6544"/>
    <n v="749"/>
    <n v="888"/>
    <n v="594"/>
    <n v="18171"/>
    <n v="126475"/>
    <s v="Sustainability Awareness Drive"/>
    <n v="6.4684720300454635E-2"/>
  </r>
  <r>
    <s v="A218"/>
    <s v="Instagram"/>
    <d v="2024-06-11T00:00:00"/>
    <s v="Video"/>
    <x v="14"/>
    <n v="14910"/>
    <n v="778"/>
    <n v="289"/>
    <n v="2541"/>
    <n v="14309"/>
    <n v="247815"/>
    <s v="Sustainability Awareness Drive"/>
    <n v="6.4471480741682297E-2"/>
  </r>
  <r>
    <s v="A154"/>
    <s v="YouTube"/>
    <d v="2024-10-09T00:00:00"/>
    <s v="Video"/>
    <x v="16"/>
    <n v="7240"/>
    <n v="1384"/>
    <n v="954"/>
    <n v="2335"/>
    <n v="6757"/>
    <n v="150448"/>
    <s v="Sustainability Awareness Drive"/>
    <n v="6.3663192598106988E-2"/>
  </r>
  <r>
    <s v="A154"/>
    <s v="YouTube"/>
    <d v="2024-10-09T00:00:00"/>
    <s v="Video"/>
    <x v="5"/>
    <n v="7240"/>
    <n v="1384"/>
    <n v="954"/>
    <n v="2335"/>
    <n v="6757"/>
    <n v="150448"/>
    <s v="Sustainability Awareness Drive"/>
    <n v="6.3663192598106988E-2"/>
  </r>
  <r>
    <s v="A210"/>
    <s v="Instagram"/>
    <d v="2025-02-19T00:00:00"/>
    <s v="Video"/>
    <x v="16"/>
    <n v="8168"/>
    <n v="512"/>
    <n v="442"/>
    <n v="2343"/>
    <n v="2753"/>
    <n v="143896"/>
    <s v="MacBook Air M3 Campaign"/>
    <n v="6.3393006059932172E-2"/>
  </r>
  <r>
    <s v="A210"/>
    <s v="Instagram"/>
    <d v="2025-02-19T00:00:00"/>
    <s v="Video"/>
    <x v="5"/>
    <n v="8168"/>
    <n v="512"/>
    <n v="442"/>
    <n v="2343"/>
    <n v="2753"/>
    <n v="143896"/>
    <s v="MacBook Air M3 Campaign"/>
    <n v="6.3393006059932172E-2"/>
  </r>
  <r>
    <s v="A149"/>
    <s v="Instagram"/>
    <d v="2024-06-16T00:00:00"/>
    <s v="Tweet"/>
    <x v="3"/>
    <n v="12160"/>
    <n v="1405"/>
    <n v="769"/>
    <n v="1980"/>
    <n v="33174"/>
    <n v="226481"/>
    <s v="Apple Watch Ultra 2 Launch"/>
    <n v="6.329007731332871E-2"/>
  </r>
  <r>
    <s v="A149"/>
    <s v="Instagram"/>
    <d v="2024-06-16T00:00:00"/>
    <s v="Tweet"/>
    <x v="4"/>
    <n v="12160"/>
    <n v="1405"/>
    <n v="769"/>
    <n v="1980"/>
    <n v="33174"/>
    <n v="226481"/>
    <s v="Apple Watch Ultra 2 Launch"/>
    <n v="6.329007731332871E-2"/>
  </r>
  <r>
    <s v="A295"/>
    <s v="Twitter"/>
    <d v="2025-05-06T00:00:00"/>
    <s v="Carousel"/>
    <x v="3"/>
    <n v="7287"/>
    <n v="1240"/>
    <n v="686"/>
    <n v="1255"/>
    <n v="15403"/>
    <n v="147971"/>
    <s v="Apple Watch Ultra 2 Launch"/>
    <n v="6.2262200025680704E-2"/>
  </r>
  <r>
    <s v="A295"/>
    <s v="Twitter"/>
    <d v="2025-05-06T00:00:00"/>
    <s v="Carousel"/>
    <x v="4"/>
    <n v="7287"/>
    <n v="1240"/>
    <n v="686"/>
    <n v="1255"/>
    <n v="15403"/>
    <n v="147971"/>
    <s v="Apple Watch Ultra 2 Launch"/>
    <n v="6.2262200025680704E-2"/>
  </r>
  <r>
    <s v="A85"/>
    <s v="YouTube"/>
    <d v="2025-04-19T00:00:00"/>
    <s v="Image"/>
    <x v="0"/>
    <n v="8881"/>
    <n v="210"/>
    <n v="673"/>
    <n v="1565"/>
    <n v="24847"/>
    <n v="156891"/>
    <s v="Sustainability Awareness Drive"/>
    <n v="6.223429004850501E-2"/>
  </r>
  <r>
    <s v="A85"/>
    <s v="YouTube"/>
    <d v="2025-04-19T00:00:00"/>
    <s v="Image"/>
    <x v="1"/>
    <n v="8881"/>
    <n v="210"/>
    <n v="673"/>
    <n v="1565"/>
    <n v="24847"/>
    <n v="156891"/>
    <s v="Sustainability Awareness Drive"/>
    <n v="6.223429004850501E-2"/>
  </r>
  <r>
    <s v="A156"/>
    <s v="Twitter"/>
    <d v="2024-10-22T00:00:00"/>
    <s v="Tweet"/>
    <x v="0"/>
    <n v="12478"/>
    <n v="484"/>
    <n v="332"/>
    <n v="2734"/>
    <n v="43338"/>
    <n v="213895"/>
    <s v="iPhone 16 Launch"/>
    <n v="6.2151990462610156E-2"/>
  </r>
  <r>
    <s v="A156"/>
    <s v="Twitter"/>
    <d v="2024-10-22T00:00:00"/>
    <s v="Tweet"/>
    <x v="1"/>
    <n v="12478"/>
    <n v="484"/>
    <n v="332"/>
    <n v="2734"/>
    <n v="43338"/>
    <n v="213895"/>
    <s v="iPhone 16 Launch"/>
    <n v="6.2151990462610156E-2"/>
  </r>
  <r>
    <s v="A270"/>
    <s v="YouTube"/>
    <d v="2025-01-15T00:00:00"/>
    <s v="Tweet"/>
    <x v="10"/>
    <n v="11333"/>
    <n v="920"/>
    <n v="294"/>
    <n v="606"/>
    <n v="59490"/>
    <n v="202082"/>
    <s v="Sustainability Awareness Drive"/>
    <n v="6.2088657079799291E-2"/>
  </r>
  <r>
    <s v="A270"/>
    <s v="YouTube"/>
    <d v="2025-01-15T00:00:00"/>
    <s v="Tweet"/>
    <x v="11"/>
    <n v="11333"/>
    <n v="920"/>
    <n v="294"/>
    <n v="606"/>
    <n v="59490"/>
    <n v="202082"/>
    <s v="Sustainability Awareness Drive"/>
    <n v="6.2088657079799291E-2"/>
  </r>
  <r>
    <s v="A169"/>
    <s v="YouTube"/>
    <d v="2024-12-03T00:00:00"/>
    <s v="Image"/>
    <x v="0"/>
    <n v="2055"/>
    <n v="675"/>
    <n v="257"/>
    <n v="820"/>
    <n v="33534"/>
    <n v="48125"/>
    <s v="Apple Watch Ultra 2 Launch"/>
    <n v="6.2067532467532466E-2"/>
  </r>
  <r>
    <s v="A169"/>
    <s v="YouTube"/>
    <d v="2024-12-03T00:00:00"/>
    <s v="Image"/>
    <x v="1"/>
    <n v="2055"/>
    <n v="675"/>
    <n v="257"/>
    <n v="820"/>
    <n v="33534"/>
    <n v="48125"/>
    <s v="Apple Watch Ultra 2 Launch"/>
    <n v="6.2067532467532466E-2"/>
  </r>
  <r>
    <s v="A81"/>
    <s v="YouTube"/>
    <d v="2024-10-19T00:00:00"/>
    <s v="Carousel"/>
    <x v="5"/>
    <n v="6673"/>
    <n v="826"/>
    <n v="321"/>
    <n v="577"/>
    <n v="19262"/>
    <n v="132324"/>
    <s v="MacBook Air M3 Campaign"/>
    <n v="5.9097367068710133E-2"/>
  </r>
  <r>
    <s v="A81"/>
    <s v="YouTube"/>
    <d v="2024-10-19T00:00:00"/>
    <s v="Carousel"/>
    <x v="7"/>
    <n v="6673"/>
    <n v="826"/>
    <n v="321"/>
    <n v="577"/>
    <n v="19262"/>
    <n v="132324"/>
    <s v="MacBook Air M3 Campaign"/>
    <n v="5.9097367068710133E-2"/>
  </r>
  <r>
    <s v="A48"/>
    <s v="YouTube"/>
    <d v="2025-03-11T00:00:00"/>
    <s v="Carousel"/>
    <x v="3"/>
    <n v="7997"/>
    <n v="1238"/>
    <n v="438"/>
    <n v="1874"/>
    <n v="36272"/>
    <n v="165818"/>
    <s v="MacBook Air M3 Campaign"/>
    <n v="5.8335042034037318E-2"/>
  </r>
  <r>
    <s v="A48"/>
    <s v="YouTube"/>
    <d v="2025-03-11T00:00:00"/>
    <s v="Carousel"/>
    <x v="4"/>
    <n v="7997"/>
    <n v="1238"/>
    <n v="438"/>
    <n v="1874"/>
    <n v="36272"/>
    <n v="165818"/>
    <s v="MacBook Air M3 Campaign"/>
    <n v="5.8335042034037318E-2"/>
  </r>
  <r>
    <s v="A15"/>
    <s v="LinkedIn"/>
    <d v="2025-09-07T00:00:00"/>
    <s v="Tweet"/>
    <x v="12"/>
    <n v="3015"/>
    <n v="997"/>
    <n v="783"/>
    <n v="617"/>
    <n v="77167"/>
    <n v="82229"/>
    <s v="Apple Event September 2025"/>
    <n v="5.8312760704860814E-2"/>
  </r>
  <r>
    <s v="A15"/>
    <s v="LinkedIn"/>
    <d v="2025-09-07T00:00:00"/>
    <s v="Tweet"/>
    <x v="13"/>
    <n v="3015"/>
    <n v="997"/>
    <n v="783"/>
    <n v="617"/>
    <n v="77167"/>
    <n v="82229"/>
    <s v="Apple Event September 2025"/>
    <n v="5.8312760704860814E-2"/>
  </r>
  <r>
    <s v="A288"/>
    <s v="Instagram"/>
    <d v="2025-04-17T00:00:00"/>
    <s v="Tweet"/>
    <x v="8"/>
    <n v="2009"/>
    <n v="1037"/>
    <n v="344"/>
    <n v="2277"/>
    <n v="85743"/>
    <n v="58743"/>
    <s v="iPhone 16 Launch"/>
    <n v="5.7709003625963942E-2"/>
  </r>
  <r>
    <s v="A288"/>
    <s v="Instagram"/>
    <d v="2025-04-17T00:00:00"/>
    <s v="Tweet"/>
    <x v="9"/>
    <n v="2009"/>
    <n v="1037"/>
    <n v="344"/>
    <n v="2277"/>
    <n v="85743"/>
    <n v="58743"/>
    <s v="iPhone 16 Launch"/>
    <n v="5.7709003625963942E-2"/>
  </r>
  <r>
    <s v="A32"/>
    <s v="Instagram"/>
    <d v="2024-07-31T00:00:00"/>
    <s v="Image"/>
    <x v="5"/>
    <n v="2404"/>
    <n v="774"/>
    <n v="661"/>
    <n v="662"/>
    <n v="12676"/>
    <n v="66916"/>
    <s v="Apple Watch Ultra 2 Launch"/>
    <n v="5.7370434574690654E-2"/>
  </r>
  <r>
    <s v="A32"/>
    <s v="Instagram"/>
    <d v="2024-07-31T00:00:00"/>
    <s v="Image"/>
    <x v="6"/>
    <n v="2404"/>
    <n v="774"/>
    <n v="661"/>
    <n v="662"/>
    <n v="12676"/>
    <n v="66916"/>
    <s v="Apple Watch Ultra 2 Launch"/>
    <n v="5.7370434574690654E-2"/>
  </r>
  <r>
    <s v="A133"/>
    <s v="Instagram"/>
    <d v="2025-02-06T00:00:00"/>
    <s v="Image"/>
    <x v="3"/>
    <n v="2666"/>
    <n v="1136"/>
    <n v="989"/>
    <n v="1710"/>
    <n v="36467"/>
    <n v="83753"/>
    <s v="Sustainability Awareness Drive"/>
    <n v="5.7203921053574198E-2"/>
  </r>
  <r>
    <s v="A133"/>
    <s v="Instagram"/>
    <d v="2025-02-06T00:00:00"/>
    <s v="Image"/>
    <x v="4"/>
    <n v="2666"/>
    <n v="1136"/>
    <n v="989"/>
    <n v="1710"/>
    <n v="36467"/>
    <n v="83753"/>
    <s v="Sustainability Awareness Drive"/>
    <n v="5.7203921053574198E-2"/>
  </r>
  <r>
    <s v="A28"/>
    <s v="Twitter"/>
    <d v="2025-03-04T00:00:00"/>
    <s v="Tweet"/>
    <x v="2"/>
    <n v="12344"/>
    <n v="815"/>
    <n v="298"/>
    <n v="2439"/>
    <n v="6259"/>
    <n v="237133"/>
    <s v="iPhone 16 Launch"/>
    <n v="5.6748744375519224E-2"/>
  </r>
  <r>
    <s v="A96"/>
    <s v="Twitter"/>
    <d v="2024-09-10T00:00:00"/>
    <s v="Carousel"/>
    <x v="8"/>
    <n v="6637"/>
    <n v="595"/>
    <n v="161"/>
    <n v="2653"/>
    <n v="19334"/>
    <n v="131155"/>
    <s v="Sustainability Awareness Drive"/>
    <n v="5.6368419046166747E-2"/>
  </r>
  <r>
    <s v="A96"/>
    <s v="Twitter"/>
    <d v="2024-09-10T00:00:00"/>
    <s v="Carousel"/>
    <x v="9"/>
    <n v="6637"/>
    <n v="595"/>
    <n v="161"/>
    <n v="2653"/>
    <n v="19334"/>
    <n v="131155"/>
    <s v="Sustainability Awareness Drive"/>
    <n v="5.6368419046166747E-2"/>
  </r>
  <r>
    <s v="A87"/>
    <s v="Twitter"/>
    <d v="2024-06-06T00:00:00"/>
    <s v="Tweet"/>
    <x v="16"/>
    <n v="11521"/>
    <n v="1071"/>
    <n v="762"/>
    <n v="2539"/>
    <n v="12701"/>
    <n v="238350"/>
    <s v="Sustainability Awareness Drive"/>
    <n v="5.6026851269142017E-2"/>
  </r>
  <r>
    <s v="A87"/>
    <s v="Twitter"/>
    <d v="2024-06-06T00:00:00"/>
    <s v="Tweet"/>
    <x v="5"/>
    <n v="11521"/>
    <n v="1071"/>
    <n v="762"/>
    <n v="2539"/>
    <n v="12701"/>
    <n v="238350"/>
    <s v="Sustainability Awareness Drive"/>
    <n v="5.6026851269142017E-2"/>
  </r>
  <r>
    <s v="A49"/>
    <s v="Twitter"/>
    <d v="2025-09-18T00:00:00"/>
    <s v="Carousel"/>
    <x v="5"/>
    <n v="4048"/>
    <n v="677"/>
    <n v="911"/>
    <n v="2429"/>
    <n v="27361"/>
    <n v="101272"/>
    <s v="Apple Event September 2025"/>
    <n v="5.5652105221581483E-2"/>
  </r>
  <r>
    <s v="A49"/>
    <s v="Twitter"/>
    <d v="2025-09-18T00:00:00"/>
    <s v="Carousel"/>
    <x v="6"/>
    <n v="4048"/>
    <n v="677"/>
    <n v="911"/>
    <n v="2429"/>
    <n v="27361"/>
    <n v="101272"/>
    <s v="Apple Event September 2025"/>
    <n v="5.5652105221581483E-2"/>
  </r>
  <r>
    <s v="A20"/>
    <s v="YouTube"/>
    <d v="2024-09-09T00:00:00"/>
    <s v="Video"/>
    <x v="12"/>
    <n v="6158"/>
    <n v="277"/>
    <n v="512"/>
    <n v="2189"/>
    <n v="76881"/>
    <n v="124878"/>
    <s v="iPhone 16 Launch"/>
    <n v="5.563029516808405E-2"/>
  </r>
  <r>
    <s v="A20"/>
    <s v="YouTube"/>
    <d v="2024-09-09T00:00:00"/>
    <s v="Video"/>
    <x v="13"/>
    <n v="6158"/>
    <n v="277"/>
    <n v="512"/>
    <n v="2189"/>
    <n v="76881"/>
    <n v="124878"/>
    <s v="iPhone 16 Launch"/>
    <n v="5.563029516808405E-2"/>
  </r>
  <r>
    <s v="A102"/>
    <s v="Twitter"/>
    <d v="2025-09-26T00:00:00"/>
    <s v="Carousel"/>
    <x v="2"/>
    <n v="9043"/>
    <n v="1192"/>
    <n v="810"/>
    <n v="1550"/>
    <n v="5221"/>
    <n v="199476"/>
    <s v="Apple Event September 2025"/>
    <n v="5.5370069582305642E-2"/>
  </r>
  <r>
    <s v="A69"/>
    <s v="LinkedIn"/>
    <d v="2025-03-08T00:00:00"/>
    <s v="Tweet"/>
    <x v="8"/>
    <n v="10580"/>
    <n v="427"/>
    <n v="790"/>
    <n v="2814"/>
    <n v="24916"/>
    <n v="213312"/>
    <s v="MacBook Air M3 Campaign"/>
    <n v="5.530396789678968E-2"/>
  </r>
  <r>
    <s v="A69"/>
    <s v="LinkedIn"/>
    <d v="2025-03-08T00:00:00"/>
    <s v="Tweet"/>
    <x v="9"/>
    <n v="10580"/>
    <n v="427"/>
    <n v="790"/>
    <n v="2814"/>
    <n v="24916"/>
    <n v="213312"/>
    <s v="MacBook Air M3 Campaign"/>
    <n v="5.530396789678968E-2"/>
  </r>
  <r>
    <s v="A120"/>
    <s v="Instagram"/>
    <d v="2024-10-21T00:00:00"/>
    <s v="Video"/>
    <x v="5"/>
    <n v="8254"/>
    <n v="1405"/>
    <n v="165"/>
    <n v="2504"/>
    <n v="8081"/>
    <n v="177710"/>
    <s v="Apple Watch Ultra 2 Launch"/>
    <n v="5.5281075910190762E-2"/>
  </r>
  <r>
    <s v="A120"/>
    <s v="Instagram"/>
    <d v="2024-10-21T00:00:00"/>
    <s v="Video"/>
    <x v="7"/>
    <n v="8254"/>
    <n v="1405"/>
    <n v="165"/>
    <n v="2504"/>
    <n v="8081"/>
    <n v="177710"/>
    <s v="Apple Watch Ultra 2 Launch"/>
    <n v="5.5281075910190762E-2"/>
  </r>
  <r>
    <s v="A293"/>
    <s v="Instagram"/>
    <d v="2025-05-14T00:00:00"/>
    <s v="Image"/>
    <x v="5"/>
    <n v="9041"/>
    <n v="1133"/>
    <n v="612"/>
    <n v="1687"/>
    <n v="28102"/>
    <n v="195683"/>
    <s v="iPhone 16 Launch"/>
    <n v="5.5119760020032396E-2"/>
  </r>
  <r>
    <s v="A293"/>
    <s v="Instagram"/>
    <d v="2025-05-14T00:00:00"/>
    <s v="Image"/>
    <x v="6"/>
    <n v="9041"/>
    <n v="1133"/>
    <n v="612"/>
    <n v="1687"/>
    <n v="28102"/>
    <n v="195683"/>
    <s v="iPhone 16 Launch"/>
    <n v="5.5119760020032396E-2"/>
  </r>
  <r>
    <s v="A113"/>
    <s v="LinkedIn"/>
    <d v="2025-09-29T00:00:00"/>
    <s v="Video"/>
    <x v="15"/>
    <n v="7569"/>
    <n v="803"/>
    <n v="804"/>
    <n v="1753"/>
    <n v="43582"/>
    <n v="166945"/>
    <s v="Apple Event September 2025"/>
    <n v="5.4964209769684629E-2"/>
  </r>
  <r>
    <s v="A113"/>
    <s v="LinkedIn"/>
    <d v="2025-09-29T00:00:00"/>
    <s v="Video"/>
    <x v="2"/>
    <n v="7569"/>
    <n v="803"/>
    <n v="804"/>
    <n v="1753"/>
    <n v="43582"/>
    <n v="166945"/>
    <s v="Apple Event September 2025"/>
    <n v="5.4964209769684629E-2"/>
  </r>
  <r>
    <s v="A197"/>
    <s v="Twitter"/>
    <d v="2024-10-22T00:00:00"/>
    <s v="Tweet"/>
    <x v="12"/>
    <n v="7750"/>
    <n v="1146"/>
    <n v="415"/>
    <n v="1411"/>
    <n v="85339"/>
    <n v="172439"/>
    <s v="Sustainability Awareness Drive"/>
    <n v="5.3995905798572247E-2"/>
  </r>
  <r>
    <s v="A197"/>
    <s v="Twitter"/>
    <d v="2024-10-22T00:00:00"/>
    <s v="Tweet"/>
    <x v="13"/>
    <n v="7750"/>
    <n v="1146"/>
    <n v="415"/>
    <n v="1411"/>
    <n v="85339"/>
    <n v="172439"/>
    <s v="Sustainability Awareness Drive"/>
    <n v="5.3995905798572247E-2"/>
  </r>
  <r>
    <s v="A94"/>
    <s v="Twitter"/>
    <d v="2024-11-07T00:00:00"/>
    <s v="Carousel"/>
    <x v="16"/>
    <n v="11550"/>
    <n v="501"/>
    <n v="646"/>
    <n v="773"/>
    <n v="17841"/>
    <n v="237576"/>
    <s v="iPhone 16 Launch"/>
    <n v="5.3443950567397383E-2"/>
  </r>
  <r>
    <s v="A94"/>
    <s v="Twitter"/>
    <d v="2024-11-07T00:00:00"/>
    <s v="Carousel"/>
    <x v="5"/>
    <n v="11550"/>
    <n v="501"/>
    <n v="646"/>
    <n v="773"/>
    <n v="17841"/>
    <n v="237576"/>
    <s v="iPhone 16 Launch"/>
    <n v="5.3443950567397383E-2"/>
  </r>
  <r>
    <s v="A30"/>
    <s v="LinkedIn"/>
    <d v="2025-02-25T00:00:00"/>
    <s v="Carousel"/>
    <x v="15"/>
    <n v="10702"/>
    <n v="621"/>
    <n v="445"/>
    <n v="2918"/>
    <n v="54808"/>
    <n v="220225"/>
    <s v="Apple Watch Ultra 2 Launch"/>
    <n v="5.3436258372119426E-2"/>
  </r>
  <r>
    <s v="A30"/>
    <s v="LinkedIn"/>
    <d v="2025-02-25T00:00:00"/>
    <s v="Carousel"/>
    <x v="2"/>
    <n v="10702"/>
    <n v="621"/>
    <n v="445"/>
    <n v="2918"/>
    <n v="54808"/>
    <n v="220225"/>
    <s v="Apple Watch Ultra 2 Launch"/>
    <n v="5.3436258372119426E-2"/>
  </r>
  <r>
    <s v="A12"/>
    <s v="YouTube"/>
    <d v="2024-07-21T00:00:00"/>
    <s v="Tweet"/>
    <x v="10"/>
    <n v="2009"/>
    <n v="1072"/>
    <n v="550"/>
    <n v="1437"/>
    <n v="22982"/>
    <n v="69426"/>
    <s v="iPhone 16 Launch"/>
    <n v="5.2300290957278256E-2"/>
  </r>
  <r>
    <s v="A12"/>
    <s v="YouTube"/>
    <d v="2024-07-21T00:00:00"/>
    <s v="Tweet"/>
    <x v="11"/>
    <n v="2009"/>
    <n v="1072"/>
    <n v="550"/>
    <n v="1437"/>
    <n v="22982"/>
    <n v="69426"/>
    <s v="iPhone 16 Launch"/>
    <n v="5.2300290957278256E-2"/>
  </r>
  <r>
    <s v="A269"/>
    <s v="YouTube"/>
    <d v="2024-11-05T00:00:00"/>
    <s v="Tweet"/>
    <x v="14"/>
    <n v="8469"/>
    <n v="935"/>
    <n v="211"/>
    <n v="2635"/>
    <n v="21890"/>
    <n v="184539"/>
    <s v="MacBook Air M3 Campaign"/>
    <n v="5.2102807536618279E-2"/>
  </r>
  <r>
    <s v="A9"/>
    <s v="YouTube"/>
    <d v="2024-08-30T00:00:00"/>
    <s v="Carousel"/>
    <x v="10"/>
    <n v="6804"/>
    <n v="787"/>
    <n v="970"/>
    <n v="1095"/>
    <n v="56343"/>
    <n v="164677"/>
    <s v="Apple Watch Ultra 2 Launch"/>
    <n v="5.1986616224487935E-2"/>
  </r>
  <r>
    <s v="A9"/>
    <s v="YouTube"/>
    <d v="2024-08-30T00:00:00"/>
    <s v="Carousel"/>
    <x v="11"/>
    <n v="6804"/>
    <n v="787"/>
    <n v="970"/>
    <n v="1095"/>
    <n v="56343"/>
    <n v="164677"/>
    <s v="Apple Watch Ultra 2 Launch"/>
    <n v="5.1986616224487935E-2"/>
  </r>
  <r>
    <s v="A31"/>
    <s v="Instagram"/>
    <d v="2024-12-16T00:00:00"/>
    <s v="Image"/>
    <x v="5"/>
    <n v="2384"/>
    <n v="1246"/>
    <n v="160"/>
    <n v="2004"/>
    <n v="2701"/>
    <n v="73142"/>
    <s v="Apple Watch Ultra 2 Launch"/>
    <n v="5.1817013480626728E-2"/>
  </r>
  <r>
    <s v="A31"/>
    <s v="Instagram"/>
    <d v="2024-12-16T00:00:00"/>
    <s v="Image"/>
    <x v="7"/>
    <n v="2384"/>
    <n v="1246"/>
    <n v="160"/>
    <n v="2004"/>
    <n v="2701"/>
    <n v="73142"/>
    <s v="Apple Watch Ultra 2 Launch"/>
    <n v="5.1817013480626728E-2"/>
  </r>
  <r>
    <s v="A22"/>
    <s v="Instagram"/>
    <d v="2025-02-27T00:00:00"/>
    <s v="Image"/>
    <x v="0"/>
    <n v="8970"/>
    <n v="331"/>
    <n v="968"/>
    <n v="2296"/>
    <n v="24613"/>
    <n v="198562"/>
    <s v="iPhone 16 Launch"/>
    <n v="5.1716844109144754E-2"/>
  </r>
  <r>
    <s v="A22"/>
    <s v="Instagram"/>
    <d v="2025-02-27T00:00:00"/>
    <s v="Image"/>
    <x v="1"/>
    <n v="8970"/>
    <n v="331"/>
    <n v="968"/>
    <n v="2296"/>
    <n v="24613"/>
    <n v="198562"/>
    <s v="iPhone 16 Launch"/>
    <n v="5.1716844109144754E-2"/>
  </r>
  <r>
    <s v="A200"/>
    <s v="YouTube"/>
    <d v="2025-04-07T00:00:00"/>
    <s v="Carousel"/>
    <x v="15"/>
    <n v="3062"/>
    <n v="1124"/>
    <n v="538"/>
    <n v="2935"/>
    <n v="69749"/>
    <n v="91924"/>
    <s v="iPhone 16 Launch"/>
    <n v="5.1390278926069365E-2"/>
  </r>
  <r>
    <s v="A200"/>
    <s v="YouTube"/>
    <d v="2025-04-07T00:00:00"/>
    <s v="Carousel"/>
    <x v="2"/>
    <n v="3062"/>
    <n v="1124"/>
    <n v="538"/>
    <n v="2935"/>
    <n v="69749"/>
    <n v="91924"/>
    <s v="iPhone 16 Launch"/>
    <n v="5.1390278926069365E-2"/>
  </r>
  <r>
    <s v="A261"/>
    <s v="Instagram"/>
    <d v="2024-10-27T00:00:00"/>
    <s v="Carousel"/>
    <x v="3"/>
    <n v="7560"/>
    <n v="1139"/>
    <n v="248"/>
    <n v="1624"/>
    <n v="72237"/>
    <n v="177084"/>
    <s v="Sustainability Awareness Drive"/>
    <n v="5.0524045085947912E-2"/>
  </r>
  <r>
    <s v="A261"/>
    <s v="Instagram"/>
    <d v="2024-10-27T00:00:00"/>
    <s v="Carousel"/>
    <x v="4"/>
    <n v="7560"/>
    <n v="1139"/>
    <n v="248"/>
    <n v="1624"/>
    <n v="72237"/>
    <n v="177084"/>
    <s v="Sustainability Awareness Drive"/>
    <n v="5.0524045085947912E-2"/>
  </r>
  <r>
    <s v="A219"/>
    <s v="LinkedIn"/>
    <d v="2025-01-28T00:00:00"/>
    <s v="Carousel"/>
    <x v="0"/>
    <n v="9943"/>
    <n v="1274"/>
    <n v="336"/>
    <n v="389"/>
    <n v="6145"/>
    <n v="231305"/>
    <s v="Apple Watch Ultra 2 Launch"/>
    <n v="4.9947039623008581E-2"/>
  </r>
  <r>
    <s v="A219"/>
    <s v="LinkedIn"/>
    <d v="2025-01-28T00:00:00"/>
    <s v="Carousel"/>
    <x v="1"/>
    <n v="9943"/>
    <n v="1274"/>
    <n v="336"/>
    <n v="389"/>
    <n v="6145"/>
    <n v="231305"/>
    <s v="Apple Watch Ultra 2 Launch"/>
    <n v="4.9947039623008581E-2"/>
  </r>
  <r>
    <s v="A171"/>
    <s v="LinkedIn"/>
    <d v="2024-12-31T00:00:00"/>
    <s v="Image"/>
    <x v="3"/>
    <n v="10717"/>
    <n v="760"/>
    <n v="460"/>
    <n v="1316"/>
    <n v="18164"/>
    <n v="240641"/>
    <s v="MacBook Air M3 Campaign"/>
    <n v="4.9605013277039242E-2"/>
  </r>
  <r>
    <s v="A171"/>
    <s v="LinkedIn"/>
    <d v="2024-12-31T00:00:00"/>
    <s v="Image"/>
    <x v="4"/>
    <n v="10717"/>
    <n v="760"/>
    <n v="460"/>
    <n v="1316"/>
    <n v="18164"/>
    <n v="240641"/>
    <s v="MacBook Air M3 Campaign"/>
    <n v="4.9605013277039242E-2"/>
  </r>
  <r>
    <s v="A65"/>
    <s v="YouTube"/>
    <d v="2025-03-28T00:00:00"/>
    <s v="Tweet"/>
    <x v="3"/>
    <n v="6363"/>
    <n v="1341"/>
    <n v="222"/>
    <n v="2712"/>
    <n v="19987"/>
    <n v="160585"/>
    <s v="Sustainability Awareness Drive"/>
    <n v="4.9357038328611019E-2"/>
  </r>
  <r>
    <s v="A65"/>
    <s v="YouTube"/>
    <d v="2025-03-28T00:00:00"/>
    <s v="Tweet"/>
    <x v="4"/>
    <n v="6363"/>
    <n v="1341"/>
    <n v="222"/>
    <n v="2712"/>
    <n v="19987"/>
    <n v="160585"/>
    <s v="Sustainability Awareness Drive"/>
    <n v="4.9357038328611019E-2"/>
  </r>
  <r>
    <s v="A130"/>
    <s v="LinkedIn"/>
    <d v="2024-09-29T00:00:00"/>
    <s v="Carousel"/>
    <x v="10"/>
    <n v="10472"/>
    <n v="401"/>
    <n v="668"/>
    <n v="383"/>
    <n v="37571"/>
    <n v="249203"/>
    <s v="Sustainability Awareness Drive"/>
    <n v="4.6311641513143903E-2"/>
  </r>
  <r>
    <s v="A130"/>
    <s v="LinkedIn"/>
    <d v="2024-09-29T00:00:00"/>
    <s v="Carousel"/>
    <x v="11"/>
    <n v="10472"/>
    <n v="401"/>
    <n v="668"/>
    <n v="383"/>
    <n v="37571"/>
    <n v="249203"/>
    <s v="Sustainability Awareness Drive"/>
    <n v="4.6311641513143903E-2"/>
  </r>
  <r>
    <s v="A16"/>
    <s v="Instagram"/>
    <d v="2024-08-26T00:00:00"/>
    <s v="Carousel"/>
    <x v="8"/>
    <n v="4193"/>
    <n v="924"/>
    <n v="707"/>
    <n v="2696"/>
    <n v="55075"/>
    <n v="126652"/>
    <s v="iPhone 16 Launch"/>
    <n v="4.5984271863057827E-2"/>
  </r>
  <r>
    <s v="A16"/>
    <s v="Instagram"/>
    <d v="2024-08-26T00:00:00"/>
    <s v="Carousel"/>
    <x v="9"/>
    <n v="4193"/>
    <n v="924"/>
    <n v="707"/>
    <n v="2696"/>
    <n v="55075"/>
    <n v="126652"/>
    <s v="iPhone 16 Launch"/>
    <n v="4.5984271863057827E-2"/>
  </r>
  <r>
    <s v="A58"/>
    <s v="Instagram"/>
    <d v="2025-04-15T00:00:00"/>
    <s v="Carousel"/>
    <x v="12"/>
    <n v="5419"/>
    <n v="1150"/>
    <n v="656"/>
    <n v="1990"/>
    <n v="410"/>
    <n v="158154"/>
    <s v="Sustainability Awareness Drive"/>
    <n v="4.5683321319726342E-2"/>
  </r>
  <r>
    <s v="A58"/>
    <s v="Instagram"/>
    <d v="2025-04-15T00:00:00"/>
    <s v="Carousel"/>
    <x v="13"/>
    <n v="5419"/>
    <n v="1150"/>
    <n v="656"/>
    <n v="1990"/>
    <n v="410"/>
    <n v="158154"/>
    <s v="Sustainability Awareness Drive"/>
    <n v="4.5683321319726342E-2"/>
  </r>
  <r>
    <s v="A145"/>
    <s v="LinkedIn"/>
    <d v="2024-08-12T00:00:00"/>
    <s v="Carousel"/>
    <x v="10"/>
    <n v="8376"/>
    <n v="1154"/>
    <n v="422"/>
    <n v="1907"/>
    <n v="36874"/>
    <n v="218486"/>
    <s v="Sustainability Awareness Drive"/>
    <n v="4.5549829279679245E-2"/>
  </r>
  <r>
    <s v="A145"/>
    <s v="LinkedIn"/>
    <d v="2024-08-12T00:00:00"/>
    <s v="Carousel"/>
    <x v="11"/>
    <n v="8376"/>
    <n v="1154"/>
    <n v="422"/>
    <n v="1907"/>
    <n v="36874"/>
    <n v="218486"/>
    <s v="Sustainability Awareness Drive"/>
    <n v="4.5549829279679245E-2"/>
  </r>
  <r>
    <s v="A283"/>
    <s v="Twitter"/>
    <d v="2025-05-09T00:00:00"/>
    <s v="Carousel"/>
    <x v="8"/>
    <n v="8988"/>
    <n v="228"/>
    <n v="766"/>
    <n v="652"/>
    <n v="63789"/>
    <n v="219785"/>
    <s v="Sustainability Awareness Drive"/>
    <n v="4.541711217781013E-2"/>
  </r>
  <r>
    <s v="A283"/>
    <s v="Twitter"/>
    <d v="2025-05-09T00:00:00"/>
    <s v="Carousel"/>
    <x v="9"/>
    <n v="8988"/>
    <n v="228"/>
    <n v="766"/>
    <n v="652"/>
    <n v="63789"/>
    <n v="219785"/>
    <s v="Sustainability Awareness Drive"/>
    <n v="4.541711217781013E-2"/>
  </r>
  <r>
    <s v="A298"/>
    <s v="YouTube"/>
    <d v="2025-09-24T00:00:00"/>
    <s v="Tweet"/>
    <x v="16"/>
    <n v="3342"/>
    <n v="787"/>
    <n v="375"/>
    <n v="907"/>
    <n v="85823"/>
    <n v="99189"/>
    <s v="Apple Event September 2025"/>
    <n v="4.5408260996683103E-2"/>
  </r>
  <r>
    <s v="A298"/>
    <s v="YouTube"/>
    <d v="2025-09-24T00:00:00"/>
    <s v="Tweet"/>
    <x v="5"/>
    <n v="3342"/>
    <n v="787"/>
    <n v="375"/>
    <n v="907"/>
    <n v="85823"/>
    <n v="99189"/>
    <s v="Apple Event September 2025"/>
    <n v="4.5408260996683103E-2"/>
  </r>
  <r>
    <s v="A90"/>
    <s v="Twitter"/>
    <d v="2024-06-03T00:00:00"/>
    <s v="Image"/>
    <x v="5"/>
    <n v="8941"/>
    <n v="911"/>
    <n v="166"/>
    <n v="1217"/>
    <n v="68817"/>
    <n v="221180"/>
    <s v="MacBook Air M3 Campaign"/>
    <n v="4.5293426168731353E-2"/>
  </r>
  <r>
    <s v="A90"/>
    <s v="Twitter"/>
    <d v="2024-06-03T00:00:00"/>
    <s v="Image"/>
    <x v="6"/>
    <n v="8941"/>
    <n v="911"/>
    <n v="166"/>
    <n v="1217"/>
    <n v="68817"/>
    <n v="221180"/>
    <s v="MacBook Air M3 Campaign"/>
    <n v="4.5293426168731353E-2"/>
  </r>
  <r>
    <s v="A134"/>
    <s v="Instagram"/>
    <d v="2025-10-01T00:00:00"/>
    <s v="Carousel"/>
    <x v="2"/>
    <n v="6188"/>
    <n v="774"/>
    <n v="647"/>
    <n v="1830"/>
    <n v="55436"/>
    <n v="175542"/>
    <s v="Apple Event September 2025"/>
    <n v="4.3345752013763089E-2"/>
  </r>
  <r>
    <s v="A38"/>
    <s v="Instagram"/>
    <d v="2025-02-17T00:00:00"/>
    <s v="Tweet"/>
    <x v="10"/>
    <n v="7989"/>
    <n v="1206"/>
    <n v="376"/>
    <n v="2769"/>
    <n v="27550"/>
    <n v="221749"/>
    <s v="Sustainability Awareness Drive"/>
    <n v="4.3161412227338117E-2"/>
  </r>
  <r>
    <s v="A38"/>
    <s v="Instagram"/>
    <d v="2025-02-17T00:00:00"/>
    <s v="Tweet"/>
    <x v="11"/>
    <n v="7989"/>
    <n v="1206"/>
    <n v="376"/>
    <n v="2769"/>
    <n v="27550"/>
    <n v="221749"/>
    <s v="Sustainability Awareness Drive"/>
    <n v="4.3161412227338117E-2"/>
  </r>
  <r>
    <s v="A70"/>
    <s v="Twitter"/>
    <d v="2025-04-02T00:00:00"/>
    <s v="Tweet"/>
    <x v="16"/>
    <n v="6858"/>
    <n v="415"/>
    <n v="366"/>
    <n v="2761"/>
    <n v="2988"/>
    <n v="177348"/>
    <s v="Apple Watch Ultra 2 Launch"/>
    <n v="4.3073505198818141E-2"/>
  </r>
  <r>
    <s v="A70"/>
    <s v="Twitter"/>
    <d v="2025-04-02T00:00:00"/>
    <s v="Tweet"/>
    <x v="5"/>
    <n v="6858"/>
    <n v="415"/>
    <n v="366"/>
    <n v="2761"/>
    <n v="2988"/>
    <n v="177348"/>
    <s v="Apple Watch Ultra 2 Launch"/>
    <n v="4.3073505198818141E-2"/>
  </r>
  <r>
    <s v="A142"/>
    <s v="Instagram"/>
    <d v="2025-03-25T00:00:00"/>
    <s v="Carousel"/>
    <x v="12"/>
    <n v="5900"/>
    <n v="546"/>
    <n v="592"/>
    <n v="1594"/>
    <n v="38627"/>
    <n v="164398"/>
    <s v="MacBook Air M3 Campaign"/>
    <n v="4.2810739790021778E-2"/>
  </r>
  <r>
    <s v="A142"/>
    <s v="Instagram"/>
    <d v="2025-03-25T00:00:00"/>
    <s v="Carousel"/>
    <x v="13"/>
    <n v="5900"/>
    <n v="546"/>
    <n v="592"/>
    <n v="1594"/>
    <n v="38627"/>
    <n v="164398"/>
    <s v="MacBook Air M3 Campaign"/>
    <n v="4.2810739790021778E-2"/>
  </r>
  <r>
    <s v="A207"/>
    <s v="LinkedIn"/>
    <d v="2024-12-29T00:00:00"/>
    <s v="Carousel"/>
    <x v="14"/>
    <n v="8288"/>
    <n v="1401"/>
    <n v="819"/>
    <n v="1235"/>
    <n v="33446"/>
    <n v="248786"/>
    <s v="Apple Watch Ultra 2 Launch"/>
    <n v="4.2237103373984064E-2"/>
  </r>
  <r>
    <s v="A274"/>
    <s v="LinkedIn"/>
    <d v="2025-01-01T00:00:00"/>
    <s v="Video"/>
    <x v="0"/>
    <n v="8283"/>
    <n v="720"/>
    <n v="888"/>
    <n v="611"/>
    <n v="52791"/>
    <n v="235229"/>
    <s v="Apple Watch Ultra 2 Launch"/>
    <n v="4.2048386891072105E-2"/>
  </r>
  <r>
    <s v="A274"/>
    <s v="LinkedIn"/>
    <d v="2025-01-01T00:00:00"/>
    <s v="Video"/>
    <x v="1"/>
    <n v="8283"/>
    <n v="720"/>
    <n v="888"/>
    <n v="611"/>
    <n v="52791"/>
    <n v="235229"/>
    <s v="Apple Watch Ultra 2 Launch"/>
    <n v="4.2048386891072105E-2"/>
  </r>
  <r>
    <s v="A206"/>
    <s v="Instagram"/>
    <d v="2024-06-24T00:00:00"/>
    <s v="Image"/>
    <x v="5"/>
    <n v="6632"/>
    <n v="254"/>
    <n v="525"/>
    <n v="1013"/>
    <n v="13838"/>
    <n v="180180"/>
    <s v="Apple Watch Ultra 2 Launch"/>
    <n v="4.1131091131091133E-2"/>
  </r>
  <r>
    <s v="A206"/>
    <s v="Instagram"/>
    <d v="2024-06-24T00:00:00"/>
    <s v="Image"/>
    <x v="6"/>
    <n v="6632"/>
    <n v="254"/>
    <n v="525"/>
    <n v="1013"/>
    <n v="13838"/>
    <n v="180180"/>
    <s v="Apple Watch Ultra 2 Launch"/>
    <n v="4.1131091131091133E-2"/>
  </r>
  <r>
    <s v="A256"/>
    <s v="YouTube"/>
    <d v="2025-09-17T00:00:00"/>
    <s v="Carousel"/>
    <x v="0"/>
    <n v="2117"/>
    <n v="1133"/>
    <n v="203"/>
    <n v="1173"/>
    <n v="40125"/>
    <n v="85379"/>
    <s v="Apple Event September 2025"/>
    <n v="4.0443200318579509E-2"/>
  </r>
  <r>
    <s v="A256"/>
    <s v="YouTube"/>
    <d v="2025-09-17T00:00:00"/>
    <s v="Carousel"/>
    <x v="1"/>
    <n v="2117"/>
    <n v="1133"/>
    <n v="203"/>
    <n v="1173"/>
    <n v="40125"/>
    <n v="85379"/>
    <s v="Apple Event September 2025"/>
    <n v="4.0443200318579509E-2"/>
  </r>
  <r>
    <s v="A182"/>
    <s v="YouTube"/>
    <d v="2024-07-31T00:00:00"/>
    <s v="Video"/>
    <x v="12"/>
    <n v="7122"/>
    <n v="628"/>
    <n v="757"/>
    <n v="2313"/>
    <n v="50924"/>
    <n v="210954"/>
    <s v="MacBook Air M3 Campaign"/>
    <n v="4.0326327066564277E-2"/>
  </r>
  <r>
    <s v="A182"/>
    <s v="YouTube"/>
    <d v="2024-07-31T00:00:00"/>
    <s v="Video"/>
    <x v="13"/>
    <n v="7122"/>
    <n v="628"/>
    <n v="757"/>
    <n v="2313"/>
    <n v="50924"/>
    <n v="210954"/>
    <s v="MacBook Air M3 Campaign"/>
    <n v="4.0326327066564277E-2"/>
  </r>
  <r>
    <s v="A79"/>
    <s v="YouTube"/>
    <d v="2025-09-22T00:00:00"/>
    <s v="Video"/>
    <x v="17"/>
    <n v="8996"/>
    <n v="329"/>
    <n v="378"/>
    <n v="2384"/>
    <n v="39404"/>
    <n v="242724"/>
    <s v="Apple Event September 2025"/>
    <n v="3.9975445361810122E-2"/>
  </r>
  <r>
    <s v="A79"/>
    <s v="YouTube"/>
    <d v="2025-09-22T00:00:00"/>
    <s v="Video"/>
    <x v="18"/>
    <n v="8996"/>
    <n v="329"/>
    <n v="378"/>
    <n v="2384"/>
    <n v="39404"/>
    <n v="242724"/>
    <s v="Apple Event September 2025"/>
    <n v="3.9975445361810122E-2"/>
  </r>
  <r>
    <s v="A14"/>
    <s v="YouTube"/>
    <d v="2025-09-06T00:00:00"/>
    <s v="Tweet"/>
    <x v="8"/>
    <n v="7124"/>
    <n v="469"/>
    <n v="851"/>
    <n v="2571"/>
    <n v="33802"/>
    <n v="216313"/>
    <s v="Apple Event September 2025"/>
    <n v="3.9036026498638549E-2"/>
  </r>
  <r>
    <s v="A14"/>
    <s v="YouTube"/>
    <d v="2025-09-06T00:00:00"/>
    <s v="Tweet"/>
    <x v="9"/>
    <n v="7124"/>
    <n v="469"/>
    <n v="851"/>
    <n v="2571"/>
    <n v="33802"/>
    <n v="216313"/>
    <s v="Apple Event September 2025"/>
    <n v="3.9036026498638549E-2"/>
  </r>
  <r>
    <s v="A275"/>
    <s v="Instagram"/>
    <d v="2024-08-05T00:00:00"/>
    <s v="Tweet"/>
    <x v="8"/>
    <n v="4048"/>
    <n v="751"/>
    <n v="930"/>
    <n v="1382"/>
    <n v="16844"/>
    <n v="148177"/>
    <s v="iPhone 16 Launch"/>
    <n v="3.8663220337839206E-2"/>
  </r>
  <r>
    <s v="A275"/>
    <s v="Instagram"/>
    <d v="2024-08-05T00:00:00"/>
    <s v="Tweet"/>
    <x v="9"/>
    <n v="4048"/>
    <n v="751"/>
    <n v="930"/>
    <n v="1382"/>
    <n v="16844"/>
    <n v="148177"/>
    <s v="iPhone 16 Launch"/>
    <n v="3.8663220337839206E-2"/>
  </r>
  <r>
    <s v="A141"/>
    <s v="LinkedIn"/>
    <d v="2025-10-03T00:00:00"/>
    <s v="Image"/>
    <x v="16"/>
    <n v="6777"/>
    <n v="617"/>
    <n v="551"/>
    <n v="2109"/>
    <n v="18559"/>
    <n v="208452"/>
    <s v="Apple Event September 2025"/>
    <n v="3.8114290100358834E-2"/>
  </r>
  <r>
    <s v="A141"/>
    <s v="LinkedIn"/>
    <d v="2025-10-03T00:00:00"/>
    <s v="Image"/>
    <x v="5"/>
    <n v="6777"/>
    <n v="617"/>
    <n v="551"/>
    <n v="2109"/>
    <n v="18559"/>
    <n v="208452"/>
    <s v="Apple Event September 2025"/>
    <n v="3.8114290100358834E-2"/>
  </r>
  <r>
    <s v="A43"/>
    <s v="Twitter"/>
    <d v="2025-09-16T00:00:00"/>
    <s v="Tweet"/>
    <x v="14"/>
    <n v="6809"/>
    <n v="397"/>
    <n v="813"/>
    <n v="1125"/>
    <n v="12206"/>
    <n v="218136"/>
    <s v="Apple Event September 2025"/>
    <n v="3.6761469908680823E-2"/>
  </r>
  <r>
    <s v="A281"/>
    <s v="LinkedIn"/>
    <d v="2025-03-22T00:00:00"/>
    <s v="Video"/>
    <x v="5"/>
    <n v="3917"/>
    <n v="865"/>
    <n v="759"/>
    <n v="2282"/>
    <n v="56125"/>
    <n v="154014"/>
    <s v="Apple Watch Ultra 2 Launch"/>
    <n v="3.5977248821535704E-2"/>
  </r>
  <r>
    <s v="A281"/>
    <s v="LinkedIn"/>
    <d v="2025-03-22T00:00:00"/>
    <s v="Video"/>
    <x v="6"/>
    <n v="3917"/>
    <n v="865"/>
    <n v="759"/>
    <n v="2282"/>
    <n v="56125"/>
    <n v="154014"/>
    <s v="Apple Watch Ultra 2 Launch"/>
    <n v="3.5977248821535704E-2"/>
  </r>
  <r>
    <s v="A280"/>
    <s v="Twitter"/>
    <d v="2025-09-18T00:00:00"/>
    <s v="Video"/>
    <x v="0"/>
    <n v="3828"/>
    <n v="203"/>
    <n v="506"/>
    <n v="2440"/>
    <n v="63650"/>
    <n v="126365"/>
    <s v="Apple Event September 2025"/>
    <n v="3.5903929094290347E-2"/>
  </r>
  <r>
    <s v="A280"/>
    <s v="Twitter"/>
    <d v="2025-09-18T00:00:00"/>
    <s v="Video"/>
    <x v="1"/>
    <n v="3828"/>
    <n v="203"/>
    <n v="506"/>
    <n v="2440"/>
    <n v="63650"/>
    <n v="126365"/>
    <s v="Apple Event September 2025"/>
    <n v="3.5903929094290347E-2"/>
  </r>
  <r>
    <s v="A178"/>
    <s v="YouTube"/>
    <d v="2025-10-10T00:00:00"/>
    <s v="Carousel"/>
    <x v="12"/>
    <n v="6621"/>
    <n v="922"/>
    <n v="930"/>
    <n v="694"/>
    <n v="839"/>
    <n v="243532"/>
    <s v="Apple Event September 2025"/>
    <n v="3.479214230573395E-2"/>
  </r>
  <r>
    <s v="A178"/>
    <s v="YouTube"/>
    <d v="2025-10-10T00:00:00"/>
    <s v="Carousel"/>
    <x v="13"/>
    <n v="6621"/>
    <n v="922"/>
    <n v="930"/>
    <n v="694"/>
    <n v="839"/>
    <n v="243532"/>
    <s v="Apple Event September 2025"/>
    <n v="3.479214230573395E-2"/>
  </r>
  <r>
    <s v="A181"/>
    <s v="Instagram"/>
    <d v="2025-10-12T00:00:00"/>
    <s v="Carousel"/>
    <x v="8"/>
    <n v="7126"/>
    <n v="484"/>
    <n v="565"/>
    <n v="573"/>
    <n v="7389"/>
    <n v="237096"/>
    <s v="Apple Event September 2025"/>
    <n v="3.4479704423524646E-2"/>
  </r>
  <r>
    <s v="A181"/>
    <s v="Instagram"/>
    <d v="2025-10-12T00:00:00"/>
    <s v="Carousel"/>
    <x v="9"/>
    <n v="7126"/>
    <n v="484"/>
    <n v="565"/>
    <n v="573"/>
    <n v="7389"/>
    <n v="237096"/>
    <s v="Apple Event September 2025"/>
    <n v="3.4479704423524646E-2"/>
  </r>
  <r>
    <s v="A110"/>
    <s v="YouTube"/>
    <d v="2024-07-29T00:00:00"/>
    <s v="Video"/>
    <x v="8"/>
    <n v="6164"/>
    <n v="326"/>
    <n v="615"/>
    <n v="2806"/>
    <n v="38579"/>
    <n v="206129"/>
    <s v="MacBook Air M3 Campaign"/>
    <n v="3.4468706489625425E-2"/>
  </r>
  <r>
    <s v="A110"/>
    <s v="YouTube"/>
    <d v="2024-07-29T00:00:00"/>
    <s v="Video"/>
    <x v="9"/>
    <n v="6164"/>
    <n v="326"/>
    <n v="615"/>
    <n v="2806"/>
    <n v="38579"/>
    <n v="206129"/>
    <s v="MacBook Air M3 Campaign"/>
    <n v="3.4468706489625425E-2"/>
  </r>
  <r>
    <s v="A292"/>
    <s v="YouTube"/>
    <d v="2024-11-17T00:00:00"/>
    <s v="Carousel"/>
    <x v="0"/>
    <n v="4219"/>
    <n v="240"/>
    <n v="670"/>
    <n v="815"/>
    <n v="11978"/>
    <n v="159735"/>
    <s v="iPhone 16 Launch"/>
    <n v="3.2109431245500357E-2"/>
  </r>
  <r>
    <s v="A292"/>
    <s v="YouTube"/>
    <d v="2024-11-17T00:00:00"/>
    <s v="Carousel"/>
    <x v="1"/>
    <n v="4219"/>
    <n v="240"/>
    <n v="670"/>
    <n v="815"/>
    <n v="11978"/>
    <n v="159735"/>
    <s v="iPhone 16 Launch"/>
    <n v="3.2109431245500357E-2"/>
  </r>
  <r>
    <s v="A273"/>
    <s v="LinkedIn"/>
    <d v="2024-10-12T00:00:00"/>
    <s v="Image"/>
    <x v="17"/>
    <n v="6208"/>
    <n v="725"/>
    <n v="309"/>
    <n v="848"/>
    <n v="39319"/>
    <n v="225763"/>
    <s v="Apple Watch Ultra 2 Launch"/>
    <n v="3.207788698768177E-2"/>
  </r>
  <r>
    <s v="A273"/>
    <s v="LinkedIn"/>
    <d v="2024-10-12T00:00:00"/>
    <s v="Image"/>
    <x v="18"/>
    <n v="6208"/>
    <n v="725"/>
    <n v="309"/>
    <n v="848"/>
    <n v="39319"/>
    <n v="225763"/>
    <s v="Apple Watch Ultra 2 Launch"/>
    <n v="3.207788698768177E-2"/>
  </r>
  <r>
    <s v="A247"/>
    <s v="Instagram"/>
    <d v="2024-08-27T00:00:00"/>
    <s v="Image"/>
    <x v="14"/>
    <n v="6324"/>
    <n v="908"/>
    <n v="375"/>
    <n v="758"/>
    <n v="34850"/>
    <n v="241039"/>
    <s v="Apple Watch Ultra 2 Launch"/>
    <n v="3.1559208260903839E-2"/>
  </r>
  <r>
    <s v="A173"/>
    <s v="YouTube"/>
    <d v="2024-12-05T00:00:00"/>
    <s v="Tweet"/>
    <x v="5"/>
    <n v="4125"/>
    <n v="1364"/>
    <n v="319"/>
    <n v="2848"/>
    <n v="15379"/>
    <n v="188159"/>
    <s v="MacBook Air M3 Campaign"/>
    <n v="3.0867510988047343E-2"/>
  </r>
  <r>
    <s v="A173"/>
    <s v="YouTube"/>
    <d v="2024-12-05T00:00:00"/>
    <s v="Tweet"/>
    <x v="6"/>
    <n v="4125"/>
    <n v="1364"/>
    <n v="319"/>
    <n v="2848"/>
    <n v="15379"/>
    <n v="188159"/>
    <s v="MacBook Air M3 Campaign"/>
    <n v="3.0867510988047343E-2"/>
  </r>
  <r>
    <s v="A193"/>
    <s v="Instagram"/>
    <d v="2024-09-11T00:00:00"/>
    <s v="Image"/>
    <x v="8"/>
    <n v="3906"/>
    <n v="1187"/>
    <n v="589"/>
    <n v="401"/>
    <n v="52687"/>
    <n v="196498"/>
    <s v="Apple Watch Ultra 2 Launch"/>
    <n v="2.8916324848090057E-2"/>
  </r>
  <r>
    <s v="A193"/>
    <s v="Instagram"/>
    <d v="2024-09-11T00:00:00"/>
    <s v="Image"/>
    <x v="9"/>
    <n v="3906"/>
    <n v="1187"/>
    <n v="589"/>
    <n v="401"/>
    <n v="52687"/>
    <n v="196498"/>
    <s v="Apple Watch Ultra 2 Launch"/>
    <n v="2.8916324848090057E-2"/>
  </r>
  <r>
    <s v="A245"/>
    <s v="YouTube"/>
    <d v="2025-01-12T00:00:00"/>
    <s v="Image"/>
    <x v="5"/>
    <n v="4590"/>
    <n v="713"/>
    <n v="479"/>
    <n v="2730"/>
    <n v="41050"/>
    <n v="204246"/>
    <s v="Sustainability Awareness Drive"/>
    <n v="2.8308999931455206E-2"/>
  </r>
  <r>
    <s v="A245"/>
    <s v="YouTube"/>
    <d v="2025-01-12T00:00:00"/>
    <s v="Image"/>
    <x v="7"/>
    <n v="4590"/>
    <n v="713"/>
    <n v="479"/>
    <n v="2730"/>
    <n v="41050"/>
    <n v="204246"/>
    <s v="Sustainability Awareness Drive"/>
    <n v="2.8308999931455206E-2"/>
  </r>
  <r>
    <s v="A236"/>
    <s v="LinkedIn"/>
    <d v="2024-08-19T00:00:00"/>
    <s v="Video"/>
    <x v="15"/>
    <n v="3605"/>
    <n v="206"/>
    <n v="921"/>
    <n v="852"/>
    <n v="11660"/>
    <n v="182635"/>
    <s v="iPhone 16 Launch"/>
    <n v="2.590960111698196E-2"/>
  </r>
  <r>
    <s v="A236"/>
    <s v="LinkedIn"/>
    <d v="2024-08-19T00:00:00"/>
    <s v="Video"/>
    <x v="2"/>
    <n v="3605"/>
    <n v="206"/>
    <n v="921"/>
    <n v="852"/>
    <n v="11660"/>
    <n v="182635"/>
    <s v="iPhone 16 Launch"/>
    <n v="2.590960111698196E-2"/>
  </r>
  <r>
    <s v="A41"/>
    <s v="YouTube"/>
    <d v="2025-09-15T00:00:00"/>
    <s v="Tweet"/>
    <x v="10"/>
    <n v="5636"/>
    <n v="303"/>
    <n v="204"/>
    <n v="2480"/>
    <n v="7377"/>
    <n v="241207"/>
    <s v="Apple Event September 2025"/>
    <n v="2.5467751765081443E-2"/>
  </r>
  <r>
    <s v="A41"/>
    <s v="YouTube"/>
    <d v="2025-09-15T00:00:00"/>
    <s v="Tweet"/>
    <x v="11"/>
    <n v="5636"/>
    <n v="303"/>
    <n v="204"/>
    <n v="2480"/>
    <n v="7377"/>
    <n v="241207"/>
    <s v="Apple Event September 2025"/>
    <n v="2.5467751765081443E-2"/>
  </r>
  <r>
    <s v="A78"/>
    <s v="LinkedIn"/>
    <d v="2024-06-17T00:00:00"/>
    <s v="Image"/>
    <x v="0"/>
    <n v="3252"/>
    <n v="1043"/>
    <n v="647"/>
    <n v="1545"/>
    <n v="18859"/>
    <n v="222958"/>
    <s v="Apple Watch Ultra 2 Launch"/>
    <n v="2.2165609666394567E-2"/>
  </r>
  <r>
    <s v="A78"/>
    <s v="LinkedIn"/>
    <d v="2024-06-17T00:00:00"/>
    <s v="Image"/>
    <x v="1"/>
    <n v="3252"/>
    <n v="1043"/>
    <n v="647"/>
    <n v="1545"/>
    <n v="18859"/>
    <n v="222958"/>
    <s v="Apple Watch Ultra 2 Launch"/>
    <n v="2.2165609666394567E-2"/>
  </r>
  <r>
    <s v="A188"/>
    <s v="YouTube"/>
    <d v="2024-06-06T00:00:00"/>
    <s v="Carousel"/>
    <x v="17"/>
    <n v="3531"/>
    <n v="789"/>
    <n v="467"/>
    <n v="1867"/>
    <n v="40816"/>
    <n v="236037"/>
    <s v="Sustainability Awareness Drive"/>
    <n v="2.0280718700881641E-2"/>
  </r>
  <r>
    <s v="A188"/>
    <s v="YouTube"/>
    <d v="2024-06-06T00:00:00"/>
    <s v="Carousel"/>
    <x v="18"/>
    <n v="3531"/>
    <n v="789"/>
    <n v="467"/>
    <n v="1867"/>
    <n v="40816"/>
    <n v="236037"/>
    <s v="Sustainability Awareness Drive"/>
    <n v="2.0280718700881641E-2"/>
  </r>
  <r>
    <s v="A4"/>
    <s v="YouTube"/>
    <d v="2024-08-12T00:00:00"/>
    <s v="Video"/>
    <x v="5"/>
    <n v="3581"/>
    <n v="517"/>
    <n v="880"/>
    <n v="1925"/>
    <n v="18636"/>
    <n v="248611"/>
    <s v="iPhone 16 Launch"/>
    <n v="2.0023249172401864E-2"/>
  </r>
  <r>
    <s v="A4"/>
    <s v="YouTube"/>
    <d v="2024-08-12T00:00:00"/>
    <s v="Video"/>
    <x v="7"/>
    <n v="3581"/>
    <n v="517"/>
    <n v="880"/>
    <n v="1925"/>
    <n v="18636"/>
    <n v="248611"/>
    <s v="iPhone 16 Launch"/>
    <n v="2.0023249172401864E-2"/>
  </r>
  <r>
    <s v="A167"/>
    <s v="LinkedIn"/>
    <d v="2024-11-28T00:00:00"/>
    <s v="Carousel"/>
    <x v="5"/>
    <n v="2302"/>
    <n v="347"/>
    <n v="642"/>
    <n v="2175"/>
    <n v="56378"/>
    <n v="198056"/>
    <s v="MacBook Air M3 Campaign"/>
    <n v="1.6616512501514722E-2"/>
  </r>
  <r>
    <s v="A167"/>
    <s v="LinkedIn"/>
    <d v="2024-11-28T00:00:00"/>
    <s v="Carousel"/>
    <x v="6"/>
    <n v="2302"/>
    <n v="347"/>
    <n v="642"/>
    <n v="2175"/>
    <n v="56378"/>
    <n v="198056"/>
    <s v="MacBook Air M3 Campaign"/>
    <n v="1.6616512501514722E-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8">
  <r>
    <s v="A82"/>
    <x v="0"/>
    <d v="2024-07-24T00:00:00"/>
    <s v="Video"/>
    <s v="#AppleMusic"/>
    <n v="22914"/>
    <n v="954"/>
    <n v="584"/>
    <n v="1519"/>
    <n v="13637"/>
    <n v="49847"/>
    <x v="0"/>
    <n v="0.49054105563022848"/>
    <x v="0"/>
  </r>
  <r>
    <s v="A82"/>
    <x v="0"/>
    <d v="2024-07-24T00:00:00"/>
    <s v="Video"/>
    <s v="#AppleLifestyle"/>
    <n v="22914"/>
    <n v="954"/>
    <n v="584"/>
    <n v="1519"/>
    <n v="13637"/>
    <n v="49847"/>
    <x v="0"/>
    <n v="0.49054105563022848"/>
    <x v="0"/>
  </r>
  <r>
    <s v="A201"/>
    <x v="1"/>
    <d v="2025-01-15T00:00:00"/>
    <s v="Tweet"/>
    <s v="#ShotOniPhone"/>
    <n v="20360"/>
    <n v="254"/>
    <n v="726"/>
    <n v="1995"/>
    <n v="14280"/>
    <n v="43726"/>
    <x v="1"/>
    <n v="0.48803915290673738"/>
    <x v="1"/>
  </r>
  <r>
    <s v="A121"/>
    <x v="0"/>
    <d v="2024-07-29T00:00:00"/>
    <s v="Video"/>
    <s v="#AppleWatchUltra2"/>
    <n v="19144"/>
    <n v="1182"/>
    <n v="860"/>
    <n v="1398"/>
    <n v="4185"/>
    <n v="46570"/>
    <x v="0"/>
    <n v="0.454928065278076"/>
    <x v="0"/>
  </r>
  <r>
    <s v="A121"/>
    <x v="0"/>
    <d v="2024-07-29T00:00:00"/>
    <s v="Video"/>
    <s v="#HealthTech"/>
    <n v="19144"/>
    <n v="1182"/>
    <n v="860"/>
    <n v="1398"/>
    <n v="4185"/>
    <n v="46570"/>
    <x v="0"/>
    <n v="0.454928065278076"/>
    <x v="0"/>
  </r>
  <r>
    <s v="A127"/>
    <x v="2"/>
    <d v="2025-01-27T00:00:00"/>
    <s v="Image"/>
    <s v="#AppleEvent"/>
    <n v="24415"/>
    <n v="860"/>
    <n v="931"/>
    <n v="320"/>
    <n v="65049"/>
    <n v="62911"/>
    <x v="0"/>
    <n v="0.41655672298962027"/>
    <x v="0"/>
  </r>
  <r>
    <s v="A127"/>
    <x v="2"/>
    <d v="2025-01-27T00:00:00"/>
    <s v="Image"/>
    <s v="#iPhone16"/>
    <n v="24415"/>
    <n v="860"/>
    <n v="931"/>
    <n v="320"/>
    <n v="65049"/>
    <n v="62911"/>
    <x v="0"/>
    <n v="0.41655672298962027"/>
    <x v="0"/>
  </r>
  <r>
    <s v="A13"/>
    <x v="1"/>
    <d v="2024-11-18T00:00:00"/>
    <s v="Carousel"/>
    <s v="#AppleMusic"/>
    <n v="21255"/>
    <n v="1452"/>
    <n v="625"/>
    <n v="1624"/>
    <n v="21282"/>
    <n v="57778"/>
    <x v="2"/>
    <n v="0.40382152376337016"/>
    <x v="2"/>
  </r>
  <r>
    <s v="A13"/>
    <x v="1"/>
    <d v="2024-11-18T00:00:00"/>
    <s v="Carousel"/>
    <s v="#AppleLifestyle"/>
    <n v="21255"/>
    <n v="1452"/>
    <n v="625"/>
    <n v="1624"/>
    <n v="21282"/>
    <n v="57778"/>
    <x v="2"/>
    <n v="0.40382152376337016"/>
    <x v="2"/>
  </r>
  <r>
    <s v="A123"/>
    <x v="2"/>
    <d v="2024-06-14T00:00:00"/>
    <s v="Video"/>
    <s v="#AppleEvent"/>
    <n v="17183"/>
    <n v="1224"/>
    <n v="943"/>
    <n v="2010"/>
    <n v="21481"/>
    <n v="49110"/>
    <x v="3"/>
    <n v="0.39401343921808185"/>
    <x v="3"/>
  </r>
  <r>
    <s v="A123"/>
    <x v="2"/>
    <d v="2024-06-14T00:00:00"/>
    <s v="Video"/>
    <s v="#iPhone16"/>
    <n v="17183"/>
    <n v="1224"/>
    <n v="943"/>
    <n v="2010"/>
    <n v="21481"/>
    <n v="49110"/>
    <x v="3"/>
    <n v="0.39401343921808185"/>
    <x v="3"/>
  </r>
  <r>
    <s v="A287"/>
    <x v="3"/>
    <d v="2024-08-15T00:00:00"/>
    <s v="Video"/>
    <s v="#AppleEvent"/>
    <n v="14977"/>
    <n v="274"/>
    <n v="798"/>
    <n v="458"/>
    <n v="6636"/>
    <n v="43654"/>
    <x v="0"/>
    <n v="0.36764099509781462"/>
    <x v="0"/>
  </r>
  <r>
    <s v="A287"/>
    <x v="3"/>
    <d v="2024-08-15T00:00:00"/>
    <s v="Video"/>
    <s v="#iPadPro"/>
    <n v="14977"/>
    <n v="274"/>
    <n v="798"/>
    <n v="458"/>
    <n v="6636"/>
    <n v="43654"/>
    <x v="0"/>
    <n v="0.36764099509781462"/>
    <x v="0"/>
  </r>
  <r>
    <s v="A226"/>
    <x v="2"/>
    <d v="2025-09-08T00:00:00"/>
    <s v="Tweet"/>
    <s v="#AppleWatch"/>
    <n v="23785"/>
    <n v="1013"/>
    <n v="468"/>
    <n v="1628"/>
    <n v="8272"/>
    <n v="71348"/>
    <x v="4"/>
    <n v="0.35412345125301342"/>
    <x v="4"/>
  </r>
  <r>
    <s v="A226"/>
    <x v="2"/>
    <d v="2025-09-08T00:00:00"/>
    <s v="Tweet"/>
    <s v="#Health"/>
    <n v="23785"/>
    <n v="1013"/>
    <n v="468"/>
    <n v="1628"/>
    <n v="8272"/>
    <n v="71348"/>
    <x v="4"/>
    <n v="0.35412345125301342"/>
    <x v="4"/>
  </r>
  <r>
    <s v="A231"/>
    <x v="2"/>
    <d v="2025-09-09T00:00:00"/>
    <s v="Image"/>
    <s v="#AppleMusic"/>
    <n v="19260"/>
    <n v="668"/>
    <n v="994"/>
    <n v="934"/>
    <n v="20509"/>
    <n v="61636"/>
    <x v="4"/>
    <n v="0.33944448049841003"/>
    <x v="4"/>
  </r>
  <r>
    <s v="A231"/>
    <x v="2"/>
    <d v="2025-09-09T00:00:00"/>
    <s v="Image"/>
    <s v="#AppleLifestyle"/>
    <n v="19260"/>
    <n v="668"/>
    <n v="994"/>
    <n v="934"/>
    <n v="20509"/>
    <n v="61636"/>
    <x v="4"/>
    <n v="0.33944448049841003"/>
    <x v="4"/>
  </r>
  <r>
    <s v="A185"/>
    <x v="3"/>
    <d v="2025-01-11T00:00:00"/>
    <s v="Image"/>
    <s v="#MacBookAirM3"/>
    <n v="21181"/>
    <n v="1242"/>
    <n v="963"/>
    <n v="1689"/>
    <n v="49329"/>
    <n v="69165"/>
    <x v="0"/>
    <n v="0.33811899081905589"/>
    <x v="0"/>
  </r>
  <r>
    <s v="A185"/>
    <x v="3"/>
    <d v="2025-01-11T00:00:00"/>
    <s v="Image"/>
    <s v="#AppleInnovation"/>
    <n v="21181"/>
    <n v="1242"/>
    <n v="963"/>
    <n v="1689"/>
    <n v="49329"/>
    <n v="69165"/>
    <x v="0"/>
    <n v="0.33811899081905589"/>
    <x v="0"/>
  </r>
  <r>
    <s v="A106"/>
    <x v="2"/>
    <d v="2025-02-04T00:00:00"/>
    <s v="Carousel"/>
    <s v="#AppleWatch"/>
    <n v="23833"/>
    <n v="555"/>
    <n v="523"/>
    <n v="1330"/>
    <n v="69141"/>
    <n v="73997"/>
    <x v="1"/>
    <n v="0.33664878305877266"/>
    <x v="1"/>
  </r>
  <r>
    <s v="A106"/>
    <x v="2"/>
    <d v="2025-02-04T00:00:00"/>
    <s v="Carousel"/>
    <s v="#Health"/>
    <n v="23833"/>
    <n v="555"/>
    <n v="523"/>
    <n v="1330"/>
    <n v="69141"/>
    <n v="73997"/>
    <x v="1"/>
    <n v="0.33664878305877266"/>
    <x v="1"/>
  </r>
  <r>
    <s v="A174"/>
    <x v="0"/>
    <d v="2024-06-22T00:00:00"/>
    <s v="Carousel"/>
    <s v="#AppleWatchUltra2"/>
    <n v="13479"/>
    <n v="1189"/>
    <n v="695"/>
    <n v="416"/>
    <n v="30229"/>
    <n v="45704"/>
    <x v="0"/>
    <n v="0.33614125678277612"/>
    <x v="0"/>
  </r>
  <r>
    <s v="A174"/>
    <x v="0"/>
    <d v="2024-06-22T00:00:00"/>
    <s v="Carousel"/>
    <s v="#HealthTech"/>
    <n v="13479"/>
    <n v="1189"/>
    <n v="695"/>
    <n v="416"/>
    <n v="30229"/>
    <n v="45704"/>
    <x v="0"/>
    <n v="0.33614125678277612"/>
    <x v="0"/>
  </r>
  <r>
    <s v="A254"/>
    <x v="3"/>
    <d v="2025-01-14T00:00:00"/>
    <s v="Carousel"/>
    <s v="#AppleEvent"/>
    <n v="24350"/>
    <n v="460"/>
    <n v="666"/>
    <n v="814"/>
    <n v="21120"/>
    <n v="76914"/>
    <x v="0"/>
    <n v="0.33122708479600593"/>
    <x v="0"/>
  </r>
  <r>
    <s v="A254"/>
    <x v="3"/>
    <d v="2025-01-14T00:00:00"/>
    <s v="Carousel"/>
    <s v="#iPhone16"/>
    <n v="24350"/>
    <n v="460"/>
    <n v="666"/>
    <n v="814"/>
    <n v="21120"/>
    <n v="76914"/>
    <x v="0"/>
    <n v="0.33122708479600593"/>
    <x v="0"/>
  </r>
  <r>
    <s v="A223"/>
    <x v="2"/>
    <d v="2024-11-12T00:00:00"/>
    <s v="Video"/>
    <s v="#AppleDesign"/>
    <n v="17913"/>
    <n v="1311"/>
    <n v="859"/>
    <n v="405"/>
    <n v="59842"/>
    <n v="62612"/>
    <x v="3"/>
    <n v="0.32075321024723696"/>
    <x v="3"/>
  </r>
  <r>
    <s v="A223"/>
    <x v="2"/>
    <d v="2024-11-12T00:00:00"/>
    <s v="Video"/>
    <s v="#Innovation"/>
    <n v="17913"/>
    <n v="1311"/>
    <n v="859"/>
    <n v="405"/>
    <n v="59842"/>
    <n v="62612"/>
    <x v="3"/>
    <n v="0.32075321024723696"/>
    <x v="3"/>
  </r>
  <r>
    <s v="A164"/>
    <x v="0"/>
    <d v="2025-02-27T00:00:00"/>
    <s v="Image"/>
    <s v="#MacBookAirM3"/>
    <n v="16178"/>
    <n v="1048"/>
    <n v="871"/>
    <n v="2553"/>
    <n v="39025"/>
    <n v="59508"/>
    <x v="0"/>
    <n v="0.30411037171472743"/>
    <x v="0"/>
  </r>
  <r>
    <s v="A164"/>
    <x v="0"/>
    <d v="2025-02-27T00:00:00"/>
    <s v="Image"/>
    <s v="#AppleInnovation"/>
    <n v="16178"/>
    <n v="1048"/>
    <n v="871"/>
    <n v="2553"/>
    <n v="39025"/>
    <n v="59508"/>
    <x v="0"/>
    <n v="0.30411037171472743"/>
    <x v="0"/>
  </r>
  <r>
    <s v="A151"/>
    <x v="1"/>
    <d v="2024-07-26T00:00:00"/>
    <s v="Video"/>
    <s v="#MacBookProM3"/>
    <n v="18282"/>
    <n v="224"/>
    <n v="962"/>
    <n v="890"/>
    <n v="35105"/>
    <n v="64089"/>
    <x v="1"/>
    <n v="0.30376507669022768"/>
    <x v="1"/>
  </r>
  <r>
    <s v="A140"/>
    <x v="3"/>
    <d v="2024-07-15T00:00:00"/>
    <s v="Tweet"/>
    <s v="#AppleMusic"/>
    <n v="14891"/>
    <n v="674"/>
    <n v="521"/>
    <n v="1091"/>
    <n v="18101"/>
    <n v="53669"/>
    <x v="0"/>
    <n v="0.29972609886526674"/>
    <x v="0"/>
  </r>
  <r>
    <s v="A140"/>
    <x v="3"/>
    <d v="2024-07-15T00:00:00"/>
    <s v="Tweet"/>
    <s v="#AppleLifestyle"/>
    <n v="14891"/>
    <n v="674"/>
    <n v="521"/>
    <n v="1091"/>
    <n v="18101"/>
    <n v="53669"/>
    <x v="0"/>
    <n v="0.29972609886526674"/>
    <x v="0"/>
  </r>
  <r>
    <s v="A83"/>
    <x v="3"/>
    <d v="2024-10-15T00:00:00"/>
    <s v="Carousel"/>
    <s v="#ShotOniPhone"/>
    <n v="17781"/>
    <n v="993"/>
    <n v="627"/>
    <n v="2187"/>
    <n v="9609"/>
    <n v="66155"/>
    <x v="1"/>
    <n v="0.29326581513113142"/>
    <x v="1"/>
  </r>
  <r>
    <s v="A196"/>
    <x v="2"/>
    <d v="2025-09-18T00:00:00"/>
    <s v="Tweet"/>
    <s v="#MacBookProM3"/>
    <n v="10152"/>
    <n v="1445"/>
    <n v="526"/>
    <n v="513"/>
    <n v="18959"/>
    <n v="43712"/>
    <x v="4"/>
    <n v="0.27733803074670571"/>
    <x v="4"/>
  </r>
  <r>
    <s v="A136"/>
    <x v="3"/>
    <d v="2025-10-02T00:00:00"/>
    <s v="Carousel"/>
    <s v="#AppleDesign"/>
    <n v="12161"/>
    <n v="736"/>
    <n v="876"/>
    <n v="1233"/>
    <n v="21337"/>
    <n v="50225"/>
    <x v="4"/>
    <n v="0.27422598307615731"/>
    <x v="4"/>
  </r>
  <r>
    <s v="A136"/>
    <x v="3"/>
    <d v="2025-10-02T00:00:00"/>
    <s v="Carousel"/>
    <s v="#Innovation"/>
    <n v="12161"/>
    <n v="736"/>
    <n v="876"/>
    <n v="1233"/>
    <n v="21337"/>
    <n v="50225"/>
    <x v="4"/>
    <n v="0.27422598307615731"/>
    <x v="4"/>
  </r>
  <r>
    <s v="A5"/>
    <x v="1"/>
    <d v="2025-09-04T00:00:00"/>
    <s v="Video"/>
    <s v="#AppleWatchUltra2"/>
    <n v="21708"/>
    <n v="435"/>
    <n v="317"/>
    <n v="1213"/>
    <n v="70701"/>
    <n v="83585"/>
    <x v="4"/>
    <n v="0.26870850032900639"/>
    <x v="4"/>
  </r>
  <r>
    <s v="A5"/>
    <x v="1"/>
    <d v="2025-09-04T00:00:00"/>
    <s v="Video"/>
    <s v="#HealthTech"/>
    <n v="21708"/>
    <n v="435"/>
    <n v="317"/>
    <n v="1213"/>
    <n v="70701"/>
    <n v="83585"/>
    <x v="4"/>
    <n v="0.26870850032900639"/>
    <x v="4"/>
  </r>
  <r>
    <s v="A80"/>
    <x v="0"/>
    <d v="2024-06-13T00:00:00"/>
    <s v="Image"/>
    <s v="#AppleWatchUltra2"/>
    <n v="14173"/>
    <n v="294"/>
    <n v="257"/>
    <n v="1288"/>
    <n v="39466"/>
    <n v="55563"/>
    <x v="2"/>
    <n v="0.26499649047027696"/>
    <x v="2"/>
  </r>
  <r>
    <s v="A80"/>
    <x v="0"/>
    <d v="2024-06-13T00:00:00"/>
    <s v="Image"/>
    <s v="#HealthTech"/>
    <n v="14173"/>
    <n v="294"/>
    <n v="257"/>
    <n v="1288"/>
    <n v="39466"/>
    <n v="55563"/>
    <x v="2"/>
    <n v="0.26499649047027696"/>
    <x v="2"/>
  </r>
  <r>
    <s v="A150"/>
    <x v="0"/>
    <d v="2024-08-22T00:00:00"/>
    <s v="Video"/>
    <s v="#iPhonePhotography"/>
    <n v="16124"/>
    <n v="863"/>
    <n v="337"/>
    <n v="819"/>
    <n v="85788"/>
    <n v="68625"/>
    <x v="1"/>
    <n v="0.25244444444444447"/>
    <x v="1"/>
  </r>
  <r>
    <s v="A150"/>
    <x v="0"/>
    <d v="2024-08-22T00:00:00"/>
    <s v="Video"/>
    <s v="#ShotOniPhone"/>
    <n v="16124"/>
    <n v="863"/>
    <n v="337"/>
    <n v="819"/>
    <n v="85788"/>
    <n v="68625"/>
    <x v="1"/>
    <n v="0.25244444444444447"/>
    <x v="1"/>
  </r>
  <r>
    <s v="A220"/>
    <x v="1"/>
    <d v="2024-06-02T00:00:00"/>
    <s v="Video"/>
    <s v="#MacBookAirM3"/>
    <n v="14199"/>
    <n v="1206"/>
    <n v="954"/>
    <n v="2009"/>
    <n v="8"/>
    <n v="65537"/>
    <x v="3"/>
    <n v="0.24961472145505592"/>
    <x v="3"/>
  </r>
  <r>
    <s v="A220"/>
    <x v="1"/>
    <d v="2024-06-02T00:00:00"/>
    <s v="Video"/>
    <s v="#AppleInnovation"/>
    <n v="14199"/>
    <n v="1206"/>
    <n v="954"/>
    <n v="2009"/>
    <n v="8"/>
    <n v="65537"/>
    <x v="3"/>
    <n v="0.24961472145505592"/>
    <x v="3"/>
  </r>
  <r>
    <s v="A21"/>
    <x v="2"/>
    <d v="2025-09-08T00:00:00"/>
    <s v="Carousel"/>
    <s v="#iPhonePhotography"/>
    <n v="22309"/>
    <n v="773"/>
    <n v="854"/>
    <n v="2387"/>
    <n v="72396"/>
    <n v="97056"/>
    <x v="4"/>
    <n v="0.24662050774810418"/>
    <x v="4"/>
  </r>
  <r>
    <s v="A21"/>
    <x v="2"/>
    <d v="2025-09-08T00:00:00"/>
    <s v="Carousel"/>
    <s v="#ShotOniPhone"/>
    <n v="22309"/>
    <n v="773"/>
    <n v="854"/>
    <n v="2387"/>
    <n v="72396"/>
    <n v="97056"/>
    <x v="4"/>
    <n v="0.24662050774810418"/>
    <x v="4"/>
  </r>
  <r>
    <s v="A244"/>
    <x v="3"/>
    <d v="2025-09-13T00:00:00"/>
    <s v="Video"/>
    <s v="#iPhonePhotography"/>
    <n v="15046"/>
    <n v="281"/>
    <n v="515"/>
    <n v="550"/>
    <n v="22583"/>
    <n v="64596"/>
    <x v="4"/>
    <n v="0.24524738373893121"/>
    <x v="4"/>
  </r>
  <r>
    <s v="A244"/>
    <x v="3"/>
    <d v="2025-09-13T00:00:00"/>
    <s v="Video"/>
    <s v="#ShotOniPhone"/>
    <n v="15046"/>
    <n v="281"/>
    <n v="515"/>
    <n v="550"/>
    <n v="22583"/>
    <n v="64596"/>
    <x v="4"/>
    <n v="0.24524738373893121"/>
    <x v="4"/>
  </r>
  <r>
    <s v="A76"/>
    <x v="2"/>
    <d v="2024-11-07T00:00:00"/>
    <s v="Carousel"/>
    <s v="#ShotOniPhone"/>
    <n v="17254"/>
    <n v="246"/>
    <n v="952"/>
    <n v="871"/>
    <n v="14957"/>
    <n v="75946"/>
    <x v="2"/>
    <n v="0.24296210465330631"/>
    <x v="2"/>
  </r>
  <r>
    <s v="A216"/>
    <x v="3"/>
    <d v="2024-07-29T00:00:00"/>
    <s v="Tweet"/>
    <s v="#AppleWatchUltra2"/>
    <n v="22590"/>
    <n v="1462"/>
    <n v="966"/>
    <n v="2463"/>
    <n v="29689"/>
    <n v="103449"/>
    <x v="3"/>
    <n v="0.24183897379385011"/>
    <x v="3"/>
  </r>
  <r>
    <s v="A216"/>
    <x v="3"/>
    <d v="2024-07-29T00:00:00"/>
    <s v="Tweet"/>
    <s v="#HealthTech"/>
    <n v="22590"/>
    <n v="1462"/>
    <n v="966"/>
    <n v="2463"/>
    <n v="29689"/>
    <n v="103449"/>
    <x v="3"/>
    <n v="0.24183897379385011"/>
    <x v="3"/>
  </r>
  <r>
    <s v="A51"/>
    <x v="1"/>
    <d v="2024-06-13T00:00:00"/>
    <s v="Carousel"/>
    <s v="#AppleWatch"/>
    <n v="23164"/>
    <n v="1122"/>
    <n v="900"/>
    <n v="888"/>
    <n v="36938"/>
    <n v="104674"/>
    <x v="0"/>
    <n v="0.24061371496264594"/>
    <x v="0"/>
  </r>
  <r>
    <s v="A51"/>
    <x v="1"/>
    <d v="2024-06-13T00:00:00"/>
    <s v="Carousel"/>
    <s v="#Health"/>
    <n v="23164"/>
    <n v="1122"/>
    <n v="900"/>
    <n v="888"/>
    <n v="36938"/>
    <n v="104674"/>
    <x v="0"/>
    <n v="0.24061371496264594"/>
    <x v="0"/>
  </r>
  <r>
    <s v="A6"/>
    <x v="0"/>
    <d v="2025-09-05T00:00:00"/>
    <s v="Image"/>
    <s v="#ShotOniPhone"/>
    <n v="14677"/>
    <n v="533"/>
    <n v="759"/>
    <n v="753"/>
    <n v="23275"/>
    <n v="66958"/>
    <x v="4"/>
    <n v="0.23849278652289496"/>
    <x v="4"/>
  </r>
  <r>
    <s v="A289"/>
    <x v="3"/>
    <d v="2024-11-28T00:00:00"/>
    <s v="Carousel"/>
    <s v="#AppleMusic"/>
    <n v="18644"/>
    <n v="1369"/>
    <n v="887"/>
    <n v="1256"/>
    <n v="43415"/>
    <n v="88368"/>
    <x v="3"/>
    <n v="0.23651095419156257"/>
    <x v="3"/>
  </r>
  <r>
    <s v="A289"/>
    <x v="3"/>
    <d v="2024-11-28T00:00:00"/>
    <s v="Carousel"/>
    <s v="#AppleLifestyle"/>
    <n v="18644"/>
    <n v="1369"/>
    <n v="887"/>
    <n v="1256"/>
    <n v="43415"/>
    <n v="88368"/>
    <x v="3"/>
    <n v="0.23651095419156257"/>
    <x v="3"/>
  </r>
  <r>
    <s v="A186"/>
    <x v="3"/>
    <d v="2024-08-24T00:00:00"/>
    <s v="Video"/>
    <s v="#AppleDesign"/>
    <n v="24890"/>
    <n v="217"/>
    <n v="178"/>
    <n v="906"/>
    <n v="54826"/>
    <n v="107203"/>
    <x v="3"/>
    <n v="0.23586093672751696"/>
    <x v="3"/>
  </r>
  <r>
    <s v="A186"/>
    <x v="3"/>
    <d v="2024-08-24T00:00:00"/>
    <s v="Video"/>
    <s v="#Innovation"/>
    <n v="24890"/>
    <n v="217"/>
    <n v="178"/>
    <n v="906"/>
    <n v="54826"/>
    <n v="107203"/>
    <x v="3"/>
    <n v="0.23586093672751696"/>
    <x v="3"/>
  </r>
  <r>
    <s v="A61"/>
    <x v="1"/>
    <d v="2024-09-05T00:00:00"/>
    <s v="Carousel"/>
    <s v="#MacBookProM3"/>
    <n v="16489"/>
    <n v="395"/>
    <n v="350"/>
    <n v="2364"/>
    <n v="43239"/>
    <n v="73397"/>
    <x v="2"/>
    <n v="0.23480523727127811"/>
    <x v="2"/>
  </r>
  <r>
    <s v="A286"/>
    <x v="1"/>
    <d v="2025-09-19T00:00:00"/>
    <s v="Tweet"/>
    <s v="#AppleWatch"/>
    <n v="22128"/>
    <n v="1004"/>
    <n v="690"/>
    <n v="2048"/>
    <n v="19443"/>
    <n v="103646"/>
    <x v="4"/>
    <n v="0.22984003241803833"/>
    <x v="4"/>
  </r>
  <r>
    <s v="A286"/>
    <x v="1"/>
    <d v="2025-09-19T00:00:00"/>
    <s v="Tweet"/>
    <s v="#Health"/>
    <n v="22128"/>
    <n v="1004"/>
    <n v="690"/>
    <n v="2048"/>
    <n v="19443"/>
    <n v="103646"/>
    <x v="4"/>
    <n v="0.22984003241803833"/>
    <x v="4"/>
  </r>
  <r>
    <s v="A105"/>
    <x v="2"/>
    <d v="2024-06-14T00:00:00"/>
    <s v="Carousel"/>
    <s v="#iPhone16Launch"/>
    <n v="21856"/>
    <n v="1203"/>
    <n v="634"/>
    <n v="2807"/>
    <n v="3647"/>
    <n v="104178"/>
    <x v="1"/>
    <n v="0.22742805582752595"/>
    <x v="1"/>
  </r>
  <r>
    <s v="A105"/>
    <x v="2"/>
    <d v="2024-06-14T00:00:00"/>
    <s v="Carousel"/>
    <s v="#AppleEvent"/>
    <n v="21856"/>
    <n v="1203"/>
    <n v="634"/>
    <n v="2807"/>
    <n v="3647"/>
    <n v="104178"/>
    <x v="1"/>
    <n v="0.22742805582752595"/>
    <x v="1"/>
  </r>
  <r>
    <s v="A119"/>
    <x v="0"/>
    <d v="2025-02-07T00:00:00"/>
    <s v="Carousel"/>
    <s v="#Sustainability"/>
    <n v="20290"/>
    <n v="619"/>
    <n v="927"/>
    <n v="1186"/>
    <n v="8924"/>
    <n v="96503"/>
    <x v="2"/>
    <n v="0.22627275835984373"/>
    <x v="2"/>
  </r>
  <r>
    <s v="A119"/>
    <x v="0"/>
    <d v="2025-02-07T00:00:00"/>
    <s v="Carousel"/>
    <s v="#AppleEarth"/>
    <n v="20290"/>
    <n v="619"/>
    <n v="927"/>
    <n v="1186"/>
    <n v="8924"/>
    <n v="96503"/>
    <x v="2"/>
    <n v="0.22627275835984373"/>
    <x v="2"/>
  </r>
  <r>
    <s v="A170"/>
    <x v="2"/>
    <d v="2025-04-28T00:00:00"/>
    <s v="Carousel"/>
    <s v="#iPhonePhotography"/>
    <n v="15013"/>
    <n v="1286"/>
    <n v="599"/>
    <n v="2001"/>
    <n v="67839"/>
    <n v="76059"/>
    <x v="0"/>
    <n v="0.22216963147030594"/>
    <x v="0"/>
  </r>
  <r>
    <s v="A170"/>
    <x v="2"/>
    <d v="2025-04-28T00:00:00"/>
    <s v="Carousel"/>
    <s v="#ShotOniPhone"/>
    <n v="15013"/>
    <n v="1286"/>
    <n v="599"/>
    <n v="2001"/>
    <n v="67839"/>
    <n v="76059"/>
    <x v="0"/>
    <n v="0.22216963147030594"/>
    <x v="0"/>
  </r>
  <r>
    <s v="A46"/>
    <x v="0"/>
    <d v="2025-05-02T00:00:00"/>
    <s v="Tweet"/>
    <s v="#AppleEvent"/>
    <n v="17444"/>
    <n v="1402"/>
    <n v="218"/>
    <n v="725"/>
    <n v="8710"/>
    <n v="85893"/>
    <x v="2"/>
    <n v="0.22195056640238436"/>
    <x v="2"/>
  </r>
  <r>
    <s v="A46"/>
    <x v="0"/>
    <d v="2025-05-02T00:00:00"/>
    <s v="Tweet"/>
    <s v="#iPhone16"/>
    <n v="17444"/>
    <n v="1402"/>
    <n v="218"/>
    <n v="725"/>
    <n v="8710"/>
    <n v="85893"/>
    <x v="2"/>
    <n v="0.22195056640238436"/>
    <x v="2"/>
  </r>
  <r>
    <s v="A187"/>
    <x v="2"/>
    <d v="2024-12-22T00:00:00"/>
    <s v="Tweet"/>
    <s v="#Sustainability"/>
    <n v="7870"/>
    <n v="968"/>
    <n v="626"/>
    <n v="465"/>
    <n v="27184"/>
    <n v="44114"/>
    <x v="2"/>
    <n v="0.2145350682323072"/>
    <x v="2"/>
  </r>
  <r>
    <s v="A187"/>
    <x v="2"/>
    <d v="2024-12-22T00:00:00"/>
    <s v="Tweet"/>
    <s v="#AppleEarth"/>
    <n v="7870"/>
    <n v="968"/>
    <n v="626"/>
    <n v="465"/>
    <n v="27184"/>
    <n v="44114"/>
    <x v="2"/>
    <n v="0.2145350682323072"/>
    <x v="2"/>
  </r>
  <r>
    <s v="A190"/>
    <x v="2"/>
    <d v="2024-10-04T00:00:00"/>
    <s v="Image"/>
    <s v="#AppleMusic"/>
    <n v="21729"/>
    <n v="1209"/>
    <n v="897"/>
    <n v="1624"/>
    <n v="38771"/>
    <n v="113297"/>
    <x v="1"/>
    <n v="0.21037626768581694"/>
    <x v="1"/>
  </r>
  <r>
    <s v="A190"/>
    <x v="2"/>
    <d v="2024-10-04T00:00:00"/>
    <s v="Image"/>
    <s v="#AppleLifestyle"/>
    <n v="21729"/>
    <n v="1209"/>
    <n v="897"/>
    <n v="1624"/>
    <n v="38771"/>
    <n v="113297"/>
    <x v="1"/>
    <n v="0.21037626768581694"/>
    <x v="1"/>
  </r>
  <r>
    <s v="A251"/>
    <x v="2"/>
    <d v="2025-09-15T00:00:00"/>
    <s v="Image"/>
    <s v="#AppleMusic"/>
    <n v="18389"/>
    <n v="670"/>
    <n v="655"/>
    <n v="321"/>
    <n v="21869"/>
    <n v="96088"/>
    <x v="4"/>
    <n v="0.2051660977437349"/>
    <x v="4"/>
  </r>
  <r>
    <s v="A251"/>
    <x v="2"/>
    <d v="2025-09-15T00:00:00"/>
    <s v="Image"/>
    <s v="#AppleLifestyle"/>
    <n v="18389"/>
    <n v="670"/>
    <n v="655"/>
    <n v="321"/>
    <n v="21869"/>
    <n v="96088"/>
    <x v="4"/>
    <n v="0.2051660977437349"/>
    <x v="4"/>
  </r>
  <r>
    <s v="A74"/>
    <x v="2"/>
    <d v="2024-10-28T00:00:00"/>
    <s v="Carousel"/>
    <s v="#AppleEvent"/>
    <n v="21198"/>
    <n v="1484"/>
    <n v="174"/>
    <n v="1293"/>
    <n v="16330"/>
    <n v="111635"/>
    <x v="1"/>
    <n v="0.20473865723115511"/>
    <x v="1"/>
  </r>
  <r>
    <s v="A74"/>
    <x v="2"/>
    <d v="2024-10-28T00:00:00"/>
    <s v="Carousel"/>
    <s v="#iPadPro"/>
    <n v="21198"/>
    <n v="1484"/>
    <n v="174"/>
    <n v="1293"/>
    <n v="16330"/>
    <n v="111635"/>
    <x v="1"/>
    <n v="0.20473865723115511"/>
    <x v="1"/>
  </r>
  <r>
    <s v="A42"/>
    <x v="1"/>
    <d v="2025-03-05T00:00:00"/>
    <s v="Carousel"/>
    <s v="#AppleEvent"/>
    <n v="12916"/>
    <n v="1262"/>
    <n v="772"/>
    <n v="856"/>
    <n v="11496"/>
    <n v="75046"/>
    <x v="3"/>
    <n v="0.19921115049436347"/>
    <x v="3"/>
  </r>
  <r>
    <s v="A42"/>
    <x v="1"/>
    <d v="2025-03-05T00:00:00"/>
    <s v="Carousel"/>
    <s v="#iPhone16"/>
    <n v="12916"/>
    <n v="1262"/>
    <n v="772"/>
    <n v="856"/>
    <n v="11496"/>
    <n v="75046"/>
    <x v="3"/>
    <n v="0.19921115049436347"/>
    <x v="3"/>
  </r>
  <r>
    <s v="A246"/>
    <x v="2"/>
    <d v="2024-10-11T00:00:00"/>
    <s v="Carousel"/>
    <s v="#iPhone16Launch"/>
    <n v="19447"/>
    <n v="1014"/>
    <n v="256"/>
    <n v="2354"/>
    <n v="5472"/>
    <n v="104106"/>
    <x v="0"/>
    <n v="0.19899909707413599"/>
    <x v="0"/>
  </r>
  <r>
    <s v="A246"/>
    <x v="2"/>
    <d v="2024-10-11T00:00:00"/>
    <s v="Carousel"/>
    <s v="#AppleEvent"/>
    <n v="19447"/>
    <n v="1014"/>
    <n v="256"/>
    <n v="2354"/>
    <n v="5472"/>
    <n v="104106"/>
    <x v="0"/>
    <n v="0.19899909707413599"/>
    <x v="0"/>
  </r>
  <r>
    <s v="A260"/>
    <x v="1"/>
    <d v="2025-02-12T00:00:00"/>
    <s v="Video"/>
    <s v="#MacBookAirM3"/>
    <n v="15234"/>
    <n v="1276"/>
    <n v="670"/>
    <n v="1860"/>
    <n v="60397"/>
    <n v="86413"/>
    <x v="2"/>
    <n v="0.19881267864788862"/>
    <x v="2"/>
  </r>
  <r>
    <s v="A260"/>
    <x v="1"/>
    <d v="2025-02-12T00:00:00"/>
    <s v="Video"/>
    <s v="#AppleInnovation"/>
    <n v="15234"/>
    <n v="1276"/>
    <n v="670"/>
    <n v="1860"/>
    <n v="60397"/>
    <n v="86413"/>
    <x v="2"/>
    <n v="0.19881267864788862"/>
    <x v="2"/>
  </r>
  <r>
    <s v="A93"/>
    <x v="2"/>
    <d v="2024-12-11T00:00:00"/>
    <s v="Carousel"/>
    <s v="#iPhone16Launch"/>
    <n v="22645"/>
    <n v="545"/>
    <n v="972"/>
    <n v="321"/>
    <n v="8396"/>
    <n v="121537"/>
    <x v="2"/>
    <n v="0.19880365649966678"/>
    <x v="2"/>
  </r>
  <r>
    <s v="A93"/>
    <x v="2"/>
    <d v="2024-12-11T00:00:00"/>
    <s v="Carousel"/>
    <s v="#AppleEvent"/>
    <n v="22645"/>
    <n v="545"/>
    <n v="972"/>
    <n v="321"/>
    <n v="8396"/>
    <n v="121537"/>
    <x v="2"/>
    <n v="0.19880365649966678"/>
    <x v="2"/>
  </r>
  <r>
    <s v="A163"/>
    <x v="0"/>
    <d v="2025-04-08T00:00:00"/>
    <s v="Video"/>
    <s v="#AppleWatchUltra2"/>
    <n v="15568"/>
    <n v="1166"/>
    <n v="546"/>
    <n v="826"/>
    <n v="21836"/>
    <n v="87055"/>
    <x v="0"/>
    <n v="0.19849520418126471"/>
    <x v="0"/>
  </r>
  <r>
    <s v="A163"/>
    <x v="0"/>
    <d v="2025-04-08T00:00:00"/>
    <s v="Video"/>
    <s v="#HealthTech"/>
    <n v="15568"/>
    <n v="1166"/>
    <n v="546"/>
    <n v="826"/>
    <n v="21836"/>
    <n v="87055"/>
    <x v="0"/>
    <n v="0.19849520418126471"/>
    <x v="0"/>
  </r>
  <r>
    <s v="A300"/>
    <x v="0"/>
    <d v="2025-09-26T00:00:00"/>
    <s v="Video"/>
    <s v="#iPhone16Launch"/>
    <n v="21216"/>
    <n v="226"/>
    <n v="187"/>
    <n v="1573"/>
    <n v="62688"/>
    <n v="111031"/>
    <x v="4"/>
    <n v="0.19480145184678152"/>
    <x v="4"/>
  </r>
  <r>
    <s v="A300"/>
    <x v="0"/>
    <d v="2025-09-26T00:00:00"/>
    <s v="Video"/>
    <s v="#AppleEvent"/>
    <n v="21216"/>
    <n v="226"/>
    <n v="187"/>
    <n v="1573"/>
    <n v="62688"/>
    <n v="111031"/>
    <x v="4"/>
    <n v="0.19480145184678152"/>
    <x v="4"/>
  </r>
  <r>
    <s v="A68"/>
    <x v="3"/>
    <d v="2024-12-08T00:00:00"/>
    <s v="Video"/>
    <s v="#MacBookAirM3"/>
    <n v="10427"/>
    <n v="1014"/>
    <n v="166"/>
    <n v="1649"/>
    <n v="15145"/>
    <n v="59816"/>
    <x v="3"/>
    <n v="0.19404507155276179"/>
    <x v="3"/>
  </r>
  <r>
    <s v="A68"/>
    <x v="3"/>
    <d v="2024-12-08T00:00:00"/>
    <s v="Video"/>
    <s v="#AppleInnovation"/>
    <n v="10427"/>
    <n v="1014"/>
    <n v="166"/>
    <n v="1649"/>
    <n v="15145"/>
    <n v="59816"/>
    <x v="3"/>
    <n v="0.19404507155276179"/>
    <x v="3"/>
  </r>
  <r>
    <s v="A126"/>
    <x v="0"/>
    <d v="2025-03-28T00:00:00"/>
    <s v="Image"/>
    <s v="#AppleWatch"/>
    <n v="13637"/>
    <n v="1135"/>
    <n v="540"/>
    <n v="1288"/>
    <n v="45183"/>
    <n v="79062"/>
    <x v="2"/>
    <n v="0.19367079001290127"/>
    <x v="2"/>
  </r>
  <r>
    <s v="A126"/>
    <x v="0"/>
    <d v="2025-03-28T00:00:00"/>
    <s v="Image"/>
    <s v="#Health"/>
    <n v="13637"/>
    <n v="1135"/>
    <n v="540"/>
    <n v="1288"/>
    <n v="45183"/>
    <n v="79062"/>
    <x v="2"/>
    <n v="0.19367079001290127"/>
    <x v="2"/>
  </r>
  <r>
    <s v="A129"/>
    <x v="0"/>
    <d v="2024-07-21T00:00:00"/>
    <s v="Image"/>
    <s v="#AppleEvent"/>
    <n v="11911"/>
    <n v="1360"/>
    <n v="778"/>
    <n v="1168"/>
    <n v="16483"/>
    <n v="72556"/>
    <x v="3"/>
    <n v="0.19362974805667346"/>
    <x v="3"/>
  </r>
  <r>
    <s v="A129"/>
    <x v="0"/>
    <d v="2024-07-21T00:00:00"/>
    <s v="Image"/>
    <s v="#iPadPro"/>
    <n v="11911"/>
    <n v="1360"/>
    <n v="778"/>
    <n v="1168"/>
    <n v="16483"/>
    <n v="72556"/>
    <x v="3"/>
    <n v="0.19362974805667346"/>
    <x v="3"/>
  </r>
  <r>
    <s v="A97"/>
    <x v="2"/>
    <d v="2024-08-13T00:00:00"/>
    <s v="Carousel"/>
    <s v="#Sustainability"/>
    <n v="6854"/>
    <n v="417"/>
    <n v="467"/>
    <n v="1003"/>
    <n v="61333"/>
    <n v="40281"/>
    <x v="0"/>
    <n v="0.19210049402944315"/>
    <x v="0"/>
  </r>
  <r>
    <s v="A97"/>
    <x v="2"/>
    <d v="2024-08-13T00:00:00"/>
    <s v="Carousel"/>
    <s v="#AppleEarth"/>
    <n v="6854"/>
    <n v="417"/>
    <n v="467"/>
    <n v="1003"/>
    <n v="61333"/>
    <n v="40281"/>
    <x v="0"/>
    <n v="0.19210049402944315"/>
    <x v="0"/>
  </r>
  <r>
    <s v="A47"/>
    <x v="0"/>
    <d v="2025-02-24T00:00:00"/>
    <s v="Tweet"/>
    <s v="#iPhone16Launch"/>
    <n v="24984"/>
    <n v="753"/>
    <n v="461"/>
    <n v="2710"/>
    <n v="20792"/>
    <n v="141520"/>
    <x v="3"/>
    <n v="0.18511871113623515"/>
    <x v="3"/>
  </r>
  <r>
    <s v="A47"/>
    <x v="0"/>
    <d v="2025-02-24T00:00:00"/>
    <s v="Tweet"/>
    <s v="#AppleEvent"/>
    <n v="24984"/>
    <n v="753"/>
    <n v="461"/>
    <n v="2710"/>
    <n v="20792"/>
    <n v="141520"/>
    <x v="3"/>
    <n v="0.18511871113623515"/>
    <x v="3"/>
  </r>
  <r>
    <s v="A152"/>
    <x v="1"/>
    <d v="2025-10-04T00:00:00"/>
    <s v="Video"/>
    <s v="#Sustainability"/>
    <n v="12488"/>
    <n v="1403"/>
    <n v="247"/>
    <n v="1350"/>
    <n v="28370"/>
    <n v="76487"/>
    <x v="4"/>
    <n v="0.18484186855282597"/>
    <x v="4"/>
  </r>
  <r>
    <s v="A152"/>
    <x v="1"/>
    <d v="2025-10-04T00:00:00"/>
    <s v="Video"/>
    <s v="#AppleEarth"/>
    <n v="12488"/>
    <n v="1403"/>
    <n v="247"/>
    <n v="1350"/>
    <n v="28370"/>
    <n v="76487"/>
    <x v="4"/>
    <n v="0.18484186855282597"/>
    <x v="4"/>
  </r>
  <r>
    <s v="A230"/>
    <x v="3"/>
    <d v="2024-07-15T00:00:00"/>
    <s v="Video"/>
    <s v="#ShotOniPhone"/>
    <n v="12554"/>
    <n v="381"/>
    <n v="211"/>
    <n v="2286"/>
    <n v="50567"/>
    <n v="72779"/>
    <x v="0"/>
    <n v="0.18062902760411656"/>
    <x v="0"/>
  </r>
  <r>
    <s v="A148"/>
    <x v="1"/>
    <d v="2025-04-15T00:00:00"/>
    <s v="Video"/>
    <s v="#iPhone16Launch"/>
    <n v="20977"/>
    <n v="1402"/>
    <n v="301"/>
    <n v="1284"/>
    <n v="24620"/>
    <n v="128009"/>
    <x v="0"/>
    <n v="0.17717504237983267"/>
    <x v="0"/>
  </r>
  <r>
    <s v="A148"/>
    <x v="1"/>
    <d v="2025-04-15T00:00:00"/>
    <s v="Video"/>
    <s v="#AppleEvent"/>
    <n v="20977"/>
    <n v="1402"/>
    <n v="301"/>
    <n v="1284"/>
    <n v="24620"/>
    <n v="128009"/>
    <x v="0"/>
    <n v="0.17717504237983267"/>
    <x v="0"/>
  </r>
  <r>
    <s v="A139"/>
    <x v="1"/>
    <d v="2024-10-29T00:00:00"/>
    <s v="Tweet"/>
    <s v="#AppleEvent"/>
    <n v="23969"/>
    <n v="1433"/>
    <n v="372"/>
    <n v="1092"/>
    <n v="32147"/>
    <n v="145823"/>
    <x v="3"/>
    <n v="0.17674852389540743"/>
    <x v="3"/>
  </r>
  <r>
    <s v="A139"/>
    <x v="1"/>
    <d v="2024-10-29T00:00:00"/>
    <s v="Tweet"/>
    <s v="#iPhone16"/>
    <n v="23969"/>
    <n v="1433"/>
    <n v="372"/>
    <n v="1092"/>
    <n v="32147"/>
    <n v="145823"/>
    <x v="3"/>
    <n v="0.17674852389540743"/>
    <x v="3"/>
  </r>
  <r>
    <s v="A23"/>
    <x v="2"/>
    <d v="2024-11-06T00:00:00"/>
    <s v="Carousel"/>
    <s v="#AppleEvent"/>
    <n v="8938"/>
    <n v="800"/>
    <n v="842"/>
    <n v="2072"/>
    <n v="31736"/>
    <n v="59975"/>
    <x v="1"/>
    <n v="0.17640683618174238"/>
    <x v="1"/>
  </r>
  <r>
    <s v="A23"/>
    <x v="2"/>
    <d v="2024-11-06T00:00:00"/>
    <s v="Carousel"/>
    <s v="#iPhone16"/>
    <n v="8938"/>
    <n v="800"/>
    <n v="842"/>
    <n v="2072"/>
    <n v="31736"/>
    <n v="59975"/>
    <x v="1"/>
    <n v="0.17640683618174238"/>
    <x v="1"/>
  </r>
  <r>
    <s v="A125"/>
    <x v="3"/>
    <d v="2024-09-08T00:00:00"/>
    <s v="Carousel"/>
    <s v="#AppleWatchUltra2"/>
    <n v="8090"/>
    <n v="570"/>
    <n v="399"/>
    <n v="1862"/>
    <n v="34088"/>
    <n v="52115"/>
    <x v="0"/>
    <n v="0.17382711311522595"/>
    <x v="0"/>
  </r>
  <r>
    <s v="A125"/>
    <x v="3"/>
    <d v="2024-09-08T00:00:00"/>
    <s v="Carousel"/>
    <s v="#HealthTech"/>
    <n v="8090"/>
    <n v="570"/>
    <n v="399"/>
    <n v="1862"/>
    <n v="34088"/>
    <n v="52115"/>
    <x v="0"/>
    <n v="0.17382711311522595"/>
    <x v="0"/>
  </r>
  <r>
    <s v="A91"/>
    <x v="0"/>
    <d v="2025-09-24T00:00:00"/>
    <s v="Tweet"/>
    <s v="#AppleMusic"/>
    <n v="12209"/>
    <n v="222"/>
    <n v="479"/>
    <n v="2748"/>
    <n v="24615"/>
    <n v="74707"/>
    <x v="4"/>
    <n v="0.17280843829895459"/>
    <x v="4"/>
  </r>
  <r>
    <s v="A91"/>
    <x v="0"/>
    <d v="2025-09-24T00:00:00"/>
    <s v="Tweet"/>
    <s v="#AppleLifestyle"/>
    <n v="12209"/>
    <n v="222"/>
    <n v="479"/>
    <n v="2748"/>
    <n v="24615"/>
    <n v="74707"/>
    <x v="4"/>
    <n v="0.17280843829895459"/>
    <x v="4"/>
  </r>
  <r>
    <s v="A44"/>
    <x v="0"/>
    <d v="2025-03-02T00:00:00"/>
    <s v="Video"/>
    <s v="#iPhonePhotography"/>
    <n v="22562"/>
    <n v="778"/>
    <n v="907"/>
    <n v="1354"/>
    <n v="34475"/>
    <n v="141459"/>
    <x v="1"/>
    <n v="0.17140655596321194"/>
    <x v="1"/>
  </r>
  <r>
    <s v="A44"/>
    <x v="0"/>
    <d v="2025-03-02T00:00:00"/>
    <s v="Video"/>
    <s v="#ShotOniPhone"/>
    <n v="22562"/>
    <n v="778"/>
    <n v="907"/>
    <n v="1354"/>
    <n v="34475"/>
    <n v="141459"/>
    <x v="1"/>
    <n v="0.17140655596321194"/>
    <x v="1"/>
  </r>
  <r>
    <s v="A276"/>
    <x v="0"/>
    <d v="2024-06-07T00:00:00"/>
    <s v="Video"/>
    <s v="#AppleEvent"/>
    <n v="8233"/>
    <n v="436"/>
    <n v="269"/>
    <n v="2037"/>
    <n v="8875"/>
    <n v="52289"/>
    <x v="0"/>
    <n v="0.17093461339861157"/>
    <x v="0"/>
  </r>
  <r>
    <s v="A276"/>
    <x v="0"/>
    <d v="2024-06-07T00:00:00"/>
    <s v="Video"/>
    <s v="#iPadPro"/>
    <n v="8233"/>
    <n v="436"/>
    <n v="269"/>
    <n v="2037"/>
    <n v="8875"/>
    <n v="52289"/>
    <x v="0"/>
    <n v="0.17093461339861157"/>
    <x v="0"/>
  </r>
  <r>
    <s v="A160"/>
    <x v="0"/>
    <d v="2024-08-24T00:00:00"/>
    <s v="Tweet"/>
    <s v="#iPhonePhotography"/>
    <n v="22527"/>
    <n v="865"/>
    <n v="646"/>
    <n v="992"/>
    <n v="18654"/>
    <n v="141376"/>
    <x v="2"/>
    <n v="0.17002885921231325"/>
    <x v="2"/>
  </r>
  <r>
    <s v="A160"/>
    <x v="0"/>
    <d v="2024-08-24T00:00:00"/>
    <s v="Tweet"/>
    <s v="#ShotOniPhone"/>
    <n v="22527"/>
    <n v="865"/>
    <n v="646"/>
    <n v="992"/>
    <n v="18654"/>
    <n v="141376"/>
    <x v="2"/>
    <n v="0.17002885921231325"/>
    <x v="2"/>
  </r>
  <r>
    <s v="A158"/>
    <x v="2"/>
    <d v="2024-08-11T00:00:00"/>
    <s v="Carousel"/>
    <s v="#MacBookAirM3"/>
    <n v="14394"/>
    <n v="1202"/>
    <n v="188"/>
    <n v="1259"/>
    <n v="21925"/>
    <n v="94061"/>
    <x v="1"/>
    <n v="0.1678059982351878"/>
    <x v="1"/>
  </r>
  <r>
    <s v="A158"/>
    <x v="2"/>
    <d v="2024-08-11T00:00:00"/>
    <s v="Carousel"/>
    <s v="#AppleInnovation"/>
    <n v="14394"/>
    <n v="1202"/>
    <n v="188"/>
    <n v="1259"/>
    <n v="21925"/>
    <n v="94061"/>
    <x v="1"/>
    <n v="0.1678059982351878"/>
    <x v="1"/>
  </r>
  <r>
    <s v="A202"/>
    <x v="0"/>
    <d v="2025-09-21T00:00:00"/>
    <s v="Image"/>
    <s v="#Sustainability"/>
    <n v="19680"/>
    <n v="999"/>
    <n v="838"/>
    <n v="891"/>
    <n v="29576"/>
    <n v="129152"/>
    <x v="4"/>
    <n v="0.16660214321110009"/>
    <x v="4"/>
  </r>
  <r>
    <s v="A202"/>
    <x v="0"/>
    <d v="2025-09-21T00:00:00"/>
    <s v="Image"/>
    <s v="#AppleEarth"/>
    <n v="19680"/>
    <n v="999"/>
    <n v="838"/>
    <n v="891"/>
    <n v="29576"/>
    <n v="129152"/>
    <x v="4"/>
    <n v="0.16660214321110009"/>
    <x v="4"/>
  </r>
  <r>
    <s v="A73"/>
    <x v="3"/>
    <d v="2025-09-21T00:00:00"/>
    <s v="Video"/>
    <s v="#AppleWatchUltra2"/>
    <n v="23103"/>
    <n v="1380"/>
    <n v="191"/>
    <n v="1547"/>
    <n v="77798"/>
    <n v="148856"/>
    <x v="4"/>
    <n v="0.16575751061428495"/>
    <x v="4"/>
  </r>
  <r>
    <s v="A73"/>
    <x v="3"/>
    <d v="2025-09-21T00:00:00"/>
    <s v="Video"/>
    <s v="#HealthTech"/>
    <n v="23103"/>
    <n v="1380"/>
    <n v="191"/>
    <n v="1547"/>
    <n v="77798"/>
    <n v="148856"/>
    <x v="4"/>
    <n v="0.16575751061428495"/>
    <x v="4"/>
  </r>
  <r>
    <s v="A221"/>
    <x v="1"/>
    <d v="2025-03-23T00:00:00"/>
    <s v="Carousel"/>
    <s v="#AppleMusic"/>
    <n v="17728"/>
    <n v="1487"/>
    <n v="210"/>
    <n v="2469"/>
    <n v="30565"/>
    <n v="117576"/>
    <x v="0"/>
    <n v="0.16521228822208614"/>
    <x v="0"/>
  </r>
  <r>
    <s v="A221"/>
    <x v="1"/>
    <d v="2025-03-23T00:00:00"/>
    <s v="Carousel"/>
    <s v="#AppleLifestyle"/>
    <n v="17728"/>
    <n v="1487"/>
    <n v="210"/>
    <n v="2469"/>
    <n v="30565"/>
    <n v="117576"/>
    <x v="0"/>
    <n v="0.16521228822208614"/>
    <x v="0"/>
  </r>
  <r>
    <s v="A285"/>
    <x v="2"/>
    <d v="2024-07-18T00:00:00"/>
    <s v="Video"/>
    <s v="#AppleWatchUltra2"/>
    <n v="16594"/>
    <n v="809"/>
    <n v="784"/>
    <n v="1655"/>
    <n v="35505"/>
    <n v="112588"/>
    <x v="3"/>
    <n v="0.16153586527871533"/>
    <x v="3"/>
  </r>
  <r>
    <s v="A285"/>
    <x v="2"/>
    <d v="2024-07-18T00:00:00"/>
    <s v="Video"/>
    <s v="#HealthTech"/>
    <n v="16594"/>
    <n v="809"/>
    <n v="784"/>
    <n v="1655"/>
    <n v="35505"/>
    <n v="112588"/>
    <x v="3"/>
    <n v="0.16153586527871533"/>
    <x v="3"/>
  </r>
  <r>
    <s v="A62"/>
    <x v="1"/>
    <d v="2025-09-20T00:00:00"/>
    <s v="Image"/>
    <s v="#AppleEvent"/>
    <n v="18633"/>
    <n v="797"/>
    <n v="303"/>
    <n v="659"/>
    <n v="7"/>
    <n v="122189"/>
    <x v="4"/>
    <n v="0.16149571565361859"/>
    <x v="4"/>
  </r>
  <r>
    <s v="A62"/>
    <x v="1"/>
    <d v="2025-09-20T00:00:00"/>
    <s v="Image"/>
    <s v="#iPhone16"/>
    <n v="18633"/>
    <n v="797"/>
    <n v="303"/>
    <n v="659"/>
    <n v="7"/>
    <n v="122189"/>
    <x v="4"/>
    <n v="0.16149571565361859"/>
    <x v="4"/>
  </r>
  <r>
    <s v="A75"/>
    <x v="3"/>
    <d v="2024-08-01T00:00:00"/>
    <s v="Image"/>
    <s v="#AppleDesign"/>
    <n v="21758"/>
    <n v="1380"/>
    <n v="188"/>
    <n v="1735"/>
    <n v="20998"/>
    <n v="147803"/>
    <x v="2"/>
    <n v="0.15781817689762725"/>
    <x v="2"/>
  </r>
  <r>
    <s v="A75"/>
    <x v="3"/>
    <d v="2024-08-01T00:00:00"/>
    <s v="Image"/>
    <s v="#Innovation"/>
    <n v="21758"/>
    <n v="1380"/>
    <n v="188"/>
    <n v="1735"/>
    <n v="20998"/>
    <n v="147803"/>
    <x v="2"/>
    <n v="0.15781817689762725"/>
    <x v="2"/>
  </r>
  <r>
    <s v="A189"/>
    <x v="1"/>
    <d v="2025-03-24T00:00:00"/>
    <s v="Image"/>
    <s v="#ShotOniPhone"/>
    <n v="10172"/>
    <n v="1398"/>
    <n v="394"/>
    <n v="2358"/>
    <n v="59610"/>
    <n v="76321"/>
    <x v="1"/>
    <n v="0.15675895231980713"/>
    <x v="1"/>
  </r>
  <r>
    <s v="A50"/>
    <x v="2"/>
    <d v="2024-07-03T00:00:00"/>
    <s v="Tweet"/>
    <s v="#AppleMusic"/>
    <n v="14338"/>
    <n v="1454"/>
    <n v="697"/>
    <n v="2703"/>
    <n v="21288"/>
    <n v="107649"/>
    <x v="1"/>
    <n v="0.1531737405828201"/>
    <x v="1"/>
  </r>
  <r>
    <s v="A50"/>
    <x v="2"/>
    <d v="2024-07-03T00:00:00"/>
    <s v="Tweet"/>
    <s v="#AppleLifestyle"/>
    <n v="14338"/>
    <n v="1454"/>
    <n v="697"/>
    <n v="2703"/>
    <n v="21288"/>
    <n v="107649"/>
    <x v="1"/>
    <n v="0.1531737405828201"/>
    <x v="1"/>
  </r>
  <r>
    <s v="A132"/>
    <x v="3"/>
    <d v="2025-03-04T00:00:00"/>
    <s v="Video"/>
    <s v="#MacBookAirM3"/>
    <n v="5266"/>
    <n v="316"/>
    <n v="837"/>
    <n v="2276"/>
    <n v="20967"/>
    <n v="41969"/>
    <x v="2"/>
    <n v="0.1529462222116324"/>
    <x v="2"/>
  </r>
  <r>
    <s v="A132"/>
    <x v="3"/>
    <d v="2025-03-04T00:00:00"/>
    <s v="Video"/>
    <s v="#AppleInnovation"/>
    <n v="5266"/>
    <n v="316"/>
    <n v="837"/>
    <n v="2276"/>
    <n v="20967"/>
    <n v="41969"/>
    <x v="2"/>
    <n v="0.1529462222116324"/>
    <x v="2"/>
  </r>
  <r>
    <s v="A40"/>
    <x v="1"/>
    <d v="2025-09-14T00:00:00"/>
    <s v="Carousel"/>
    <s v="#AppleWatch"/>
    <n v="19844"/>
    <n v="1020"/>
    <n v="247"/>
    <n v="2354"/>
    <n v="37792"/>
    <n v="138317"/>
    <x v="4"/>
    <n v="0.15262765965138053"/>
    <x v="4"/>
  </r>
  <r>
    <s v="A40"/>
    <x v="1"/>
    <d v="2025-09-14T00:00:00"/>
    <s v="Carousel"/>
    <s v="#Health"/>
    <n v="19844"/>
    <n v="1020"/>
    <n v="247"/>
    <n v="2354"/>
    <n v="37792"/>
    <n v="138317"/>
    <x v="4"/>
    <n v="0.15262765965138053"/>
    <x v="4"/>
  </r>
  <r>
    <s v="A77"/>
    <x v="0"/>
    <d v="2025-03-04T00:00:00"/>
    <s v="Carousel"/>
    <s v="#iPhone16Launch"/>
    <n v="13470"/>
    <n v="523"/>
    <n v="280"/>
    <n v="2682"/>
    <n v="8538"/>
    <n v="95204"/>
    <x v="0"/>
    <n v="0.14992017142136885"/>
    <x v="0"/>
  </r>
  <r>
    <s v="A77"/>
    <x v="0"/>
    <d v="2025-03-04T00:00:00"/>
    <s v="Carousel"/>
    <s v="#AppleEvent"/>
    <n v="13470"/>
    <n v="523"/>
    <n v="280"/>
    <n v="2682"/>
    <n v="8538"/>
    <n v="95204"/>
    <x v="0"/>
    <n v="0.14992017142136885"/>
    <x v="0"/>
  </r>
  <r>
    <s v="A264"/>
    <x v="3"/>
    <d v="2025-01-30T00:00:00"/>
    <s v="Tweet"/>
    <s v="#iPhonePhotography"/>
    <n v="12954"/>
    <n v="913"/>
    <n v="722"/>
    <n v="1049"/>
    <n v="475"/>
    <n v="97716"/>
    <x v="0"/>
    <n v="0.14930001228048631"/>
    <x v="0"/>
  </r>
  <r>
    <s v="A264"/>
    <x v="3"/>
    <d v="2025-01-30T00:00:00"/>
    <s v="Tweet"/>
    <s v="#ShotOniPhone"/>
    <n v="12954"/>
    <n v="913"/>
    <n v="722"/>
    <n v="1049"/>
    <n v="475"/>
    <n v="97716"/>
    <x v="0"/>
    <n v="0.14930001228048631"/>
    <x v="0"/>
  </r>
  <r>
    <s v="A108"/>
    <x v="0"/>
    <d v="2025-09-28T00:00:00"/>
    <s v="Carousel"/>
    <s v="#AppleWatch"/>
    <n v="21963"/>
    <n v="1356"/>
    <n v="349"/>
    <n v="1206"/>
    <n v="51755"/>
    <n v="159273"/>
    <x v="4"/>
    <n v="0.14860020216860359"/>
    <x v="4"/>
  </r>
  <r>
    <s v="A108"/>
    <x v="0"/>
    <d v="2025-09-28T00:00:00"/>
    <s v="Carousel"/>
    <s v="#Health"/>
    <n v="21963"/>
    <n v="1356"/>
    <n v="349"/>
    <n v="1206"/>
    <n v="51755"/>
    <n v="159273"/>
    <x v="4"/>
    <n v="0.14860020216860359"/>
    <x v="4"/>
  </r>
  <r>
    <s v="A248"/>
    <x v="3"/>
    <d v="2025-09-14T00:00:00"/>
    <s v="Carousel"/>
    <s v="#AppleEvent"/>
    <n v="12787"/>
    <n v="945"/>
    <n v="974"/>
    <n v="1407"/>
    <n v="4037"/>
    <n v="99182"/>
    <x v="4"/>
    <n v="0.14827287209372669"/>
    <x v="4"/>
  </r>
  <r>
    <s v="A248"/>
    <x v="3"/>
    <d v="2025-09-14T00:00:00"/>
    <s v="Carousel"/>
    <s v="#iPhone16"/>
    <n v="12787"/>
    <n v="945"/>
    <n v="974"/>
    <n v="1407"/>
    <n v="4037"/>
    <n v="99182"/>
    <x v="4"/>
    <n v="0.14827287209372669"/>
    <x v="4"/>
  </r>
  <r>
    <s v="A104"/>
    <x v="0"/>
    <d v="2025-03-23T00:00:00"/>
    <s v="Image"/>
    <s v="#AppleDesign"/>
    <n v="24711"/>
    <n v="882"/>
    <n v="876"/>
    <n v="2728"/>
    <n v="32015"/>
    <n v="180272"/>
    <x v="1"/>
    <n v="0.1468281263867933"/>
    <x v="1"/>
  </r>
  <r>
    <s v="A104"/>
    <x v="0"/>
    <d v="2025-03-23T00:00:00"/>
    <s v="Image"/>
    <s v="#Innovation"/>
    <n v="24711"/>
    <n v="882"/>
    <n v="876"/>
    <n v="2728"/>
    <n v="32015"/>
    <n v="180272"/>
    <x v="1"/>
    <n v="0.1468281263867933"/>
    <x v="1"/>
  </r>
  <r>
    <s v="A242"/>
    <x v="1"/>
    <d v="2025-09-12T00:00:00"/>
    <s v="Video"/>
    <s v="#AppleMusic"/>
    <n v="15918"/>
    <n v="1114"/>
    <n v="392"/>
    <n v="1641"/>
    <n v="28044"/>
    <n v="118714"/>
    <x v="4"/>
    <n v="0.14677291642097814"/>
    <x v="4"/>
  </r>
  <r>
    <s v="A242"/>
    <x v="1"/>
    <d v="2025-09-12T00:00:00"/>
    <s v="Video"/>
    <s v="#AppleLifestyle"/>
    <n v="15918"/>
    <n v="1114"/>
    <n v="392"/>
    <n v="1641"/>
    <n v="28044"/>
    <n v="118714"/>
    <x v="4"/>
    <n v="0.14677291642097814"/>
    <x v="4"/>
  </r>
  <r>
    <s v="A155"/>
    <x v="3"/>
    <d v="2024-12-21T00:00:00"/>
    <s v="Image"/>
    <s v="#AppleWatchUltra2"/>
    <n v="12453"/>
    <n v="376"/>
    <n v="320"/>
    <n v="2546"/>
    <n v="22617"/>
    <n v="90138"/>
    <x v="3"/>
    <n v="0.14587632297144379"/>
    <x v="3"/>
  </r>
  <r>
    <s v="A155"/>
    <x v="3"/>
    <d v="2024-12-21T00:00:00"/>
    <s v="Image"/>
    <s v="#HealthTech"/>
    <n v="12453"/>
    <n v="376"/>
    <n v="320"/>
    <n v="2546"/>
    <n v="22617"/>
    <n v="90138"/>
    <x v="3"/>
    <n v="0.14587632297144379"/>
    <x v="3"/>
  </r>
  <r>
    <s v="A232"/>
    <x v="0"/>
    <d v="2025-04-29T00:00:00"/>
    <s v="Carousel"/>
    <s v="#AppleWatch"/>
    <n v="16277"/>
    <n v="1109"/>
    <n v="375"/>
    <n v="2225"/>
    <n v="1044"/>
    <n v="121889"/>
    <x v="1"/>
    <n v="0.14571454356012437"/>
    <x v="1"/>
  </r>
  <r>
    <s v="A232"/>
    <x v="0"/>
    <d v="2025-04-29T00:00:00"/>
    <s v="Carousel"/>
    <s v="#Health"/>
    <n v="16277"/>
    <n v="1109"/>
    <n v="375"/>
    <n v="2225"/>
    <n v="1044"/>
    <n v="121889"/>
    <x v="1"/>
    <n v="0.14571454356012437"/>
    <x v="1"/>
  </r>
  <r>
    <s v="A224"/>
    <x v="0"/>
    <d v="2025-09-07T00:00:00"/>
    <s v="Tweet"/>
    <s v="#Sustainability"/>
    <n v="4472"/>
    <n v="1301"/>
    <n v="956"/>
    <n v="1186"/>
    <n v="3363"/>
    <n v="46471"/>
    <x v="4"/>
    <n v="0.14479998278496267"/>
    <x v="4"/>
  </r>
  <r>
    <s v="A224"/>
    <x v="0"/>
    <d v="2025-09-07T00:00:00"/>
    <s v="Tweet"/>
    <s v="#AppleEarth"/>
    <n v="4472"/>
    <n v="1301"/>
    <n v="956"/>
    <n v="1186"/>
    <n v="3363"/>
    <n v="46471"/>
    <x v="4"/>
    <n v="0.14479998278496267"/>
    <x v="4"/>
  </r>
  <r>
    <s v="A67"/>
    <x v="0"/>
    <d v="2025-03-29T00:00:00"/>
    <s v="Video"/>
    <s v="#AppleWatch"/>
    <n v="19461"/>
    <n v="1382"/>
    <n v="445"/>
    <n v="1307"/>
    <n v="84691"/>
    <n v="151453"/>
    <x v="1"/>
    <n v="0.14055845707909384"/>
    <x v="1"/>
  </r>
  <r>
    <s v="A67"/>
    <x v="0"/>
    <d v="2025-03-29T00:00:00"/>
    <s v="Video"/>
    <s v="#Health"/>
    <n v="19461"/>
    <n v="1382"/>
    <n v="445"/>
    <n v="1307"/>
    <n v="84691"/>
    <n v="151453"/>
    <x v="1"/>
    <n v="0.14055845707909384"/>
    <x v="1"/>
  </r>
  <r>
    <s v="A203"/>
    <x v="1"/>
    <d v="2024-11-21T00:00:00"/>
    <s v="Image"/>
    <s v="#AppleWatch"/>
    <n v="8229"/>
    <n v="977"/>
    <n v="152"/>
    <n v="1633"/>
    <n v="71447"/>
    <n v="67723"/>
    <x v="2"/>
    <n v="0.13818052950991538"/>
    <x v="2"/>
  </r>
  <r>
    <s v="A203"/>
    <x v="1"/>
    <d v="2024-11-21T00:00:00"/>
    <s v="Image"/>
    <s v="#Health"/>
    <n v="8229"/>
    <n v="977"/>
    <n v="152"/>
    <n v="1633"/>
    <n v="71447"/>
    <n v="67723"/>
    <x v="2"/>
    <n v="0.13818052950991538"/>
    <x v="2"/>
  </r>
  <r>
    <s v="A184"/>
    <x v="1"/>
    <d v="2025-10-13T00:00:00"/>
    <s v="Video"/>
    <s v="#AppleEvent"/>
    <n v="19302"/>
    <n v="1367"/>
    <n v="188"/>
    <n v="637"/>
    <n v="31404"/>
    <n v="154044"/>
    <x v="4"/>
    <n v="0.13539638025499209"/>
    <x v="4"/>
  </r>
  <r>
    <s v="A184"/>
    <x v="1"/>
    <d v="2025-10-13T00:00:00"/>
    <s v="Video"/>
    <s v="#iPhone16"/>
    <n v="19302"/>
    <n v="1367"/>
    <n v="188"/>
    <n v="637"/>
    <n v="31404"/>
    <n v="154044"/>
    <x v="4"/>
    <n v="0.13539638025499209"/>
    <x v="4"/>
  </r>
  <r>
    <s v="A88"/>
    <x v="3"/>
    <d v="2024-07-07T00:00:00"/>
    <s v="Tweet"/>
    <s v="#MacBookAirM3"/>
    <n v="24625"/>
    <n v="749"/>
    <n v="193"/>
    <n v="1340"/>
    <n v="4890"/>
    <n v="189381"/>
    <x v="0"/>
    <n v="0.13500298340382616"/>
    <x v="0"/>
  </r>
  <r>
    <s v="A88"/>
    <x v="3"/>
    <d v="2024-07-07T00:00:00"/>
    <s v="Tweet"/>
    <s v="#AppleInnovation"/>
    <n v="24625"/>
    <n v="749"/>
    <n v="193"/>
    <n v="1340"/>
    <n v="4890"/>
    <n v="189381"/>
    <x v="0"/>
    <n v="0.13500298340382616"/>
    <x v="0"/>
  </r>
  <r>
    <s v="A39"/>
    <x v="3"/>
    <d v="2025-09-13T00:00:00"/>
    <s v="Carousel"/>
    <s v="#AppleMusic"/>
    <n v="17106"/>
    <n v="702"/>
    <n v="459"/>
    <n v="999"/>
    <n v="59627"/>
    <n v="136059"/>
    <x v="4"/>
    <n v="0.13425793222058077"/>
    <x v="4"/>
  </r>
  <r>
    <s v="A39"/>
    <x v="3"/>
    <d v="2025-09-13T00:00:00"/>
    <s v="Carousel"/>
    <s v="#AppleLifestyle"/>
    <n v="17106"/>
    <n v="702"/>
    <n v="459"/>
    <n v="999"/>
    <n v="59627"/>
    <n v="136059"/>
    <x v="4"/>
    <n v="0.13425793222058077"/>
    <x v="4"/>
  </r>
  <r>
    <s v="A168"/>
    <x v="1"/>
    <d v="2024-11-12T00:00:00"/>
    <s v="Image"/>
    <s v="#MacBookAirM3"/>
    <n v="19022"/>
    <n v="541"/>
    <n v="575"/>
    <n v="2063"/>
    <n v="42743"/>
    <n v="150169"/>
    <x v="0"/>
    <n v="0.13410224480418728"/>
    <x v="0"/>
  </r>
  <r>
    <s v="A168"/>
    <x v="1"/>
    <d v="2024-11-12T00:00:00"/>
    <s v="Image"/>
    <s v="#AppleInnovation"/>
    <n v="19022"/>
    <n v="541"/>
    <n v="575"/>
    <n v="2063"/>
    <n v="42743"/>
    <n v="150169"/>
    <x v="0"/>
    <n v="0.13410224480418728"/>
    <x v="0"/>
  </r>
  <r>
    <s v="A60"/>
    <x v="3"/>
    <d v="2025-01-28T00:00:00"/>
    <s v="Tweet"/>
    <s v="#AppleWatch"/>
    <n v="9239"/>
    <n v="1477"/>
    <n v="631"/>
    <n v="1556"/>
    <n v="11580"/>
    <n v="84738"/>
    <x v="3"/>
    <n v="0.13390686586891359"/>
    <x v="3"/>
  </r>
  <r>
    <s v="A60"/>
    <x v="3"/>
    <d v="2025-01-28T00:00:00"/>
    <s v="Tweet"/>
    <s v="#Health"/>
    <n v="9239"/>
    <n v="1477"/>
    <n v="631"/>
    <n v="1556"/>
    <n v="11580"/>
    <n v="84738"/>
    <x v="3"/>
    <n v="0.13390686586891359"/>
    <x v="3"/>
  </r>
  <r>
    <s v="A147"/>
    <x v="1"/>
    <d v="2024-10-21T00:00:00"/>
    <s v="Tweet"/>
    <s v="#iPhone16Launch"/>
    <n v="20777"/>
    <n v="962"/>
    <n v="308"/>
    <n v="2777"/>
    <n v="25529"/>
    <n v="165354"/>
    <x v="0"/>
    <n v="0.13333212380710477"/>
    <x v="0"/>
  </r>
  <r>
    <s v="A147"/>
    <x v="1"/>
    <d v="2024-10-21T00:00:00"/>
    <s v="Tweet"/>
    <s v="#AppleEvent"/>
    <n v="20777"/>
    <n v="962"/>
    <n v="308"/>
    <n v="2777"/>
    <n v="25529"/>
    <n v="165354"/>
    <x v="0"/>
    <n v="0.13333212380710477"/>
    <x v="0"/>
  </r>
  <r>
    <s v="A72"/>
    <x v="2"/>
    <d v="2025-03-03T00:00:00"/>
    <s v="Carousel"/>
    <s v="#AppleEvent"/>
    <n v="24928"/>
    <n v="214"/>
    <n v="765"/>
    <n v="1556"/>
    <n v="5239"/>
    <n v="194571"/>
    <x v="2"/>
    <n v="0.13314933880177415"/>
    <x v="2"/>
  </r>
  <r>
    <s v="A72"/>
    <x v="2"/>
    <d v="2025-03-03T00:00:00"/>
    <s v="Carousel"/>
    <s v="#iPhone16"/>
    <n v="24928"/>
    <n v="214"/>
    <n v="765"/>
    <n v="1556"/>
    <n v="5239"/>
    <n v="194571"/>
    <x v="2"/>
    <n v="0.13314933880177415"/>
    <x v="2"/>
  </r>
  <r>
    <s v="A265"/>
    <x v="1"/>
    <d v="2025-02-20T00:00:00"/>
    <s v="Carousel"/>
    <s v="#iPhone16Launch"/>
    <n v="15703"/>
    <n v="1381"/>
    <n v="639"/>
    <n v="984"/>
    <n v="10967"/>
    <n v="133747"/>
    <x v="2"/>
    <n v="0.13251138343289942"/>
    <x v="2"/>
  </r>
  <r>
    <s v="A265"/>
    <x v="1"/>
    <d v="2025-02-20T00:00:00"/>
    <s v="Carousel"/>
    <s v="#AppleEvent"/>
    <n v="15703"/>
    <n v="1381"/>
    <n v="639"/>
    <n v="984"/>
    <n v="10967"/>
    <n v="133747"/>
    <x v="2"/>
    <n v="0.13251138343289942"/>
    <x v="2"/>
  </r>
  <r>
    <s v="A7"/>
    <x v="3"/>
    <d v="2024-06-24T00:00:00"/>
    <s v="Carousel"/>
    <s v="#AppleMusic"/>
    <n v="7713"/>
    <n v="575"/>
    <n v="417"/>
    <n v="336"/>
    <n v="61660"/>
    <n v="66017"/>
    <x v="1"/>
    <n v="0.13185997546086614"/>
    <x v="1"/>
  </r>
  <r>
    <s v="A7"/>
    <x v="3"/>
    <d v="2024-06-24T00:00:00"/>
    <s v="Carousel"/>
    <s v="#AppleLifestyle"/>
    <n v="7713"/>
    <n v="575"/>
    <n v="417"/>
    <n v="336"/>
    <n v="61660"/>
    <n v="66017"/>
    <x v="1"/>
    <n v="0.13185997546086614"/>
    <x v="1"/>
  </r>
  <r>
    <s v="A100"/>
    <x v="3"/>
    <d v="2025-09-25T00:00:00"/>
    <s v="Image"/>
    <s v="#ShotOniPhone"/>
    <n v="20564"/>
    <n v="1433"/>
    <n v="488"/>
    <n v="1015"/>
    <n v="24333"/>
    <n v="172130"/>
    <x v="4"/>
    <n v="0.13062801371056759"/>
    <x v="4"/>
  </r>
  <r>
    <s v="A294"/>
    <x v="2"/>
    <d v="2024-06-19T00:00:00"/>
    <s v="Carousel"/>
    <s v="#iPhonePhotography"/>
    <n v="20444"/>
    <n v="233"/>
    <n v="189"/>
    <n v="2879"/>
    <n v="28185"/>
    <n v="159891"/>
    <x v="1"/>
    <n v="0.13050140408153055"/>
    <x v="1"/>
  </r>
  <r>
    <s v="A294"/>
    <x v="2"/>
    <d v="2024-06-19T00:00:00"/>
    <s v="Carousel"/>
    <s v="#ShotOniPhone"/>
    <n v="20444"/>
    <n v="233"/>
    <n v="189"/>
    <n v="2879"/>
    <n v="28185"/>
    <n v="159891"/>
    <x v="1"/>
    <n v="0.13050140408153055"/>
    <x v="1"/>
  </r>
  <r>
    <s v="A1"/>
    <x v="1"/>
    <d v="2024-12-23T00:00:00"/>
    <s v="Image"/>
    <s v="#AppleWatchUltra2"/>
    <n v="24516"/>
    <n v="976"/>
    <n v="974"/>
    <n v="2675"/>
    <n v="23275"/>
    <n v="202932"/>
    <x v="0"/>
    <n v="0.13041807107799658"/>
    <x v="0"/>
  </r>
  <r>
    <s v="A1"/>
    <x v="1"/>
    <d v="2024-12-23T00:00:00"/>
    <s v="Image"/>
    <s v="#HealthTech"/>
    <n v="24516"/>
    <n v="976"/>
    <n v="974"/>
    <n v="2675"/>
    <n v="23275"/>
    <n v="202932"/>
    <x v="0"/>
    <n v="0.13041807107799658"/>
    <x v="0"/>
  </r>
  <r>
    <s v="A84"/>
    <x v="0"/>
    <d v="2024-12-09T00:00:00"/>
    <s v="Image"/>
    <s v="#MacBookAirM3"/>
    <n v="15051"/>
    <n v="268"/>
    <n v="251"/>
    <n v="783"/>
    <n v="34154"/>
    <n v="119671"/>
    <x v="1"/>
    <n v="0.13010670922779954"/>
    <x v="1"/>
  </r>
  <r>
    <s v="A84"/>
    <x v="0"/>
    <d v="2024-12-09T00:00:00"/>
    <s v="Image"/>
    <s v="#AppleInnovation"/>
    <n v="15051"/>
    <n v="268"/>
    <n v="251"/>
    <n v="783"/>
    <n v="34154"/>
    <n v="119671"/>
    <x v="1"/>
    <n v="0.13010670922779954"/>
    <x v="1"/>
  </r>
  <r>
    <s v="A53"/>
    <x v="1"/>
    <d v="2025-02-24T00:00:00"/>
    <s v="Image"/>
    <s v="#AppleEvent"/>
    <n v="23949"/>
    <n v="356"/>
    <n v="616"/>
    <n v="1847"/>
    <n v="3144"/>
    <n v="192999"/>
    <x v="1"/>
    <n v="0.12912502137316773"/>
    <x v="1"/>
  </r>
  <r>
    <s v="A53"/>
    <x v="1"/>
    <d v="2025-02-24T00:00:00"/>
    <s v="Image"/>
    <s v="#iPhone16"/>
    <n v="23949"/>
    <n v="356"/>
    <n v="616"/>
    <n v="1847"/>
    <n v="3144"/>
    <n v="192999"/>
    <x v="1"/>
    <n v="0.12912502137316773"/>
    <x v="1"/>
  </r>
  <r>
    <s v="A138"/>
    <x v="3"/>
    <d v="2025-03-29T00:00:00"/>
    <s v="Carousel"/>
    <s v="#AppleDesign"/>
    <n v="23508"/>
    <n v="585"/>
    <n v="743"/>
    <n v="2155"/>
    <n v="3704"/>
    <n v="194268"/>
    <x v="1"/>
    <n v="0.1278440093067309"/>
    <x v="1"/>
  </r>
  <r>
    <s v="A138"/>
    <x v="3"/>
    <d v="2025-03-29T00:00:00"/>
    <s v="Carousel"/>
    <s v="#Innovation"/>
    <n v="23508"/>
    <n v="585"/>
    <n v="743"/>
    <n v="2155"/>
    <n v="3704"/>
    <n v="194268"/>
    <x v="1"/>
    <n v="0.1278440093067309"/>
    <x v="1"/>
  </r>
  <r>
    <s v="A194"/>
    <x v="1"/>
    <d v="2024-10-02T00:00:00"/>
    <s v="Video"/>
    <s v="#AppleMusic"/>
    <n v="5086"/>
    <n v="1336"/>
    <n v="897"/>
    <n v="1715"/>
    <n v="60592"/>
    <n v="57772"/>
    <x v="3"/>
    <n v="0.12668766876687668"/>
    <x v="3"/>
  </r>
  <r>
    <s v="A194"/>
    <x v="1"/>
    <d v="2024-10-02T00:00:00"/>
    <s v="Video"/>
    <s v="#AppleLifestyle"/>
    <n v="5086"/>
    <n v="1336"/>
    <n v="897"/>
    <n v="1715"/>
    <n v="60592"/>
    <n v="57772"/>
    <x v="3"/>
    <n v="0.12668766876687668"/>
    <x v="3"/>
  </r>
  <r>
    <s v="A135"/>
    <x v="1"/>
    <d v="2024-11-28T00:00:00"/>
    <s v="Carousel"/>
    <s v="#iPhone16Launch"/>
    <n v="19055"/>
    <n v="443"/>
    <n v="976"/>
    <n v="869"/>
    <n v="75437"/>
    <n v="161863"/>
    <x v="3"/>
    <n v="0.12648968572187591"/>
    <x v="3"/>
  </r>
  <r>
    <s v="A135"/>
    <x v="1"/>
    <d v="2024-11-28T00:00:00"/>
    <s v="Carousel"/>
    <s v="#AppleEvent"/>
    <n v="19055"/>
    <n v="443"/>
    <n v="976"/>
    <n v="869"/>
    <n v="75437"/>
    <n v="161863"/>
    <x v="3"/>
    <n v="0.12648968572187591"/>
    <x v="3"/>
  </r>
  <r>
    <s v="A205"/>
    <x v="0"/>
    <d v="2025-09-23T00:00:00"/>
    <s v="Tweet"/>
    <s v="#AppleEvent"/>
    <n v="17147"/>
    <n v="286"/>
    <n v="291"/>
    <n v="2439"/>
    <n v="45631"/>
    <n v="140494"/>
    <x v="4"/>
    <n v="0.12615485358805359"/>
    <x v="4"/>
  </r>
  <r>
    <s v="A205"/>
    <x v="0"/>
    <d v="2025-09-23T00:00:00"/>
    <s v="Tweet"/>
    <s v="#iPhone16"/>
    <n v="17147"/>
    <n v="286"/>
    <n v="291"/>
    <n v="2439"/>
    <n v="45631"/>
    <n v="140494"/>
    <x v="4"/>
    <n v="0.12615485358805359"/>
    <x v="4"/>
  </r>
  <r>
    <s v="A24"/>
    <x v="0"/>
    <d v="2025-01-23T00:00:00"/>
    <s v="Video"/>
    <s v="#iPhone16Launch"/>
    <n v="23168"/>
    <n v="1265"/>
    <n v="441"/>
    <n v="1612"/>
    <n v="66615"/>
    <n v="197795"/>
    <x v="1"/>
    <n v="0.12575646502692181"/>
    <x v="1"/>
  </r>
  <r>
    <s v="A24"/>
    <x v="0"/>
    <d v="2025-01-23T00:00:00"/>
    <s v="Video"/>
    <s v="#AppleEvent"/>
    <n v="23168"/>
    <n v="1265"/>
    <n v="441"/>
    <n v="1612"/>
    <n v="66615"/>
    <n v="197795"/>
    <x v="1"/>
    <n v="0.12575646502692181"/>
    <x v="1"/>
  </r>
  <r>
    <s v="A271"/>
    <x v="2"/>
    <d v="2024-10-17T00:00:00"/>
    <s v="Video"/>
    <s v="#AppleDesign"/>
    <n v="18608"/>
    <n v="1338"/>
    <n v="365"/>
    <n v="2289"/>
    <n v="20785"/>
    <n v="161999"/>
    <x v="0"/>
    <n v="0.12537731714393299"/>
    <x v="0"/>
  </r>
  <r>
    <s v="A271"/>
    <x v="2"/>
    <d v="2024-10-17T00:00:00"/>
    <s v="Video"/>
    <s v="#Innovation"/>
    <n v="18608"/>
    <n v="1338"/>
    <n v="365"/>
    <n v="2289"/>
    <n v="20785"/>
    <n v="161999"/>
    <x v="0"/>
    <n v="0.12537731714393299"/>
    <x v="0"/>
  </r>
  <r>
    <s v="A131"/>
    <x v="0"/>
    <d v="2024-10-21T00:00:00"/>
    <s v="Image"/>
    <s v="#iPhone16Launch"/>
    <n v="20271"/>
    <n v="512"/>
    <n v="286"/>
    <n v="1982"/>
    <n v="43225"/>
    <n v="168335"/>
    <x v="1"/>
    <n v="0.12516113701844536"/>
    <x v="1"/>
  </r>
  <r>
    <s v="A131"/>
    <x v="0"/>
    <d v="2024-10-21T00:00:00"/>
    <s v="Image"/>
    <s v="#AppleEvent"/>
    <n v="20271"/>
    <n v="512"/>
    <n v="286"/>
    <n v="1982"/>
    <n v="43225"/>
    <n v="168335"/>
    <x v="1"/>
    <n v="0.12516113701844536"/>
    <x v="1"/>
  </r>
  <r>
    <s v="A36"/>
    <x v="3"/>
    <d v="2025-04-19T00:00:00"/>
    <s v="Carousel"/>
    <s v="#MacBookProM3"/>
    <n v="20384"/>
    <n v="344"/>
    <n v="956"/>
    <n v="655"/>
    <n v="67621"/>
    <n v="175720"/>
    <x v="3"/>
    <n v="0.12340086501251991"/>
    <x v="3"/>
  </r>
  <r>
    <s v="A144"/>
    <x v="0"/>
    <d v="2024-10-28T00:00:00"/>
    <s v="Carousel"/>
    <s v="#iPhonePhotography"/>
    <n v="8981"/>
    <n v="1138"/>
    <n v="764"/>
    <n v="2555"/>
    <n v="92810"/>
    <n v="88320"/>
    <x v="2"/>
    <n v="0.1232223731884058"/>
    <x v="2"/>
  </r>
  <r>
    <s v="A144"/>
    <x v="0"/>
    <d v="2024-10-28T00:00:00"/>
    <s v="Carousel"/>
    <s v="#ShotOniPhone"/>
    <n v="8981"/>
    <n v="1138"/>
    <n v="764"/>
    <n v="2555"/>
    <n v="92810"/>
    <n v="88320"/>
    <x v="2"/>
    <n v="0.1232223731884058"/>
    <x v="2"/>
  </r>
  <r>
    <s v="A157"/>
    <x v="1"/>
    <d v="2024-07-23T00:00:00"/>
    <s v="Video"/>
    <s v="#iPhonePhotography"/>
    <n v="24877"/>
    <n v="262"/>
    <n v="513"/>
    <n v="648"/>
    <n v="47544"/>
    <n v="208280"/>
    <x v="3"/>
    <n v="0.12316112924908777"/>
    <x v="3"/>
  </r>
  <r>
    <s v="A157"/>
    <x v="1"/>
    <d v="2024-07-23T00:00:00"/>
    <s v="Video"/>
    <s v="#ShotOniPhone"/>
    <n v="24877"/>
    <n v="262"/>
    <n v="513"/>
    <n v="648"/>
    <n v="47544"/>
    <n v="208280"/>
    <x v="3"/>
    <n v="0.12316112924908777"/>
    <x v="3"/>
  </r>
  <r>
    <s v="A109"/>
    <x v="2"/>
    <d v="2024-08-08T00:00:00"/>
    <s v="Carousel"/>
    <s v="#AppleWatch"/>
    <n v="24355"/>
    <n v="1087"/>
    <n v="686"/>
    <n v="2426"/>
    <n v="24963"/>
    <n v="212307"/>
    <x v="0"/>
    <n v="0.1230670679723231"/>
    <x v="0"/>
  </r>
  <r>
    <s v="A109"/>
    <x v="2"/>
    <d v="2024-08-08T00:00:00"/>
    <s v="Carousel"/>
    <s v="#Health"/>
    <n v="24355"/>
    <n v="1087"/>
    <n v="686"/>
    <n v="2426"/>
    <n v="24963"/>
    <n v="212307"/>
    <x v="0"/>
    <n v="0.1230670679723231"/>
    <x v="0"/>
  </r>
  <r>
    <s v="A217"/>
    <x v="0"/>
    <d v="2025-09-26T00:00:00"/>
    <s v="Carousel"/>
    <s v="#AppleWatchUltra2"/>
    <n v="16369"/>
    <n v="1452"/>
    <n v="493"/>
    <n v="1217"/>
    <n v="91440"/>
    <n v="149834"/>
    <x v="4"/>
    <n v="0.12222859965027964"/>
    <x v="4"/>
  </r>
  <r>
    <s v="A217"/>
    <x v="0"/>
    <d v="2025-09-26T00:00:00"/>
    <s v="Carousel"/>
    <s v="#HealthTech"/>
    <n v="16369"/>
    <n v="1452"/>
    <n v="493"/>
    <n v="1217"/>
    <n v="91440"/>
    <n v="149834"/>
    <x v="4"/>
    <n v="0.12222859965027964"/>
    <x v="4"/>
  </r>
  <r>
    <s v="A66"/>
    <x v="2"/>
    <d v="2024-07-26T00:00:00"/>
    <s v="Tweet"/>
    <s v="#AppleWatch"/>
    <n v="12176"/>
    <n v="1005"/>
    <n v="862"/>
    <n v="974"/>
    <n v="2285"/>
    <n v="116619"/>
    <x v="1"/>
    <n v="0.12041777068916729"/>
    <x v="1"/>
  </r>
  <r>
    <s v="A66"/>
    <x v="2"/>
    <d v="2024-07-26T00:00:00"/>
    <s v="Tweet"/>
    <s v="#Health"/>
    <n v="12176"/>
    <n v="1005"/>
    <n v="862"/>
    <n v="974"/>
    <n v="2285"/>
    <n v="116619"/>
    <x v="1"/>
    <n v="0.12041777068916729"/>
    <x v="1"/>
  </r>
  <r>
    <s v="A228"/>
    <x v="2"/>
    <d v="2024-07-01T00:00:00"/>
    <s v="Video"/>
    <s v="#AppleDesign"/>
    <n v="3761"/>
    <n v="651"/>
    <n v="493"/>
    <n v="2294"/>
    <n v="71696"/>
    <n v="41177"/>
    <x v="0"/>
    <n v="0.11911989702989532"/>
    <x v="0"/>
  </r>
  <r>
    <s v="A228"/>
    <x v="2"/>
    <d v="2024-07-01T00:00:00"/>
    <s v="Video"/>
    <s v="#Innovation"/>
    <n v="3761"/>
    <n v="651"/>
    <n v="493"/>
    <n v="2294"/>
    <n v="71696"/>
    <n v="41177"/>
    <x v="0"/>
    <n v="0.11911989702989532"/>
    <x v="0"/>
  </r>
  <r>
    <s v="A234"/>
    <x v="0"/>
    <d v="2024-06-01T00:00:00"/>
    <s v="Image"/>
    <s v="#AppleMusic"/>
    <n v="19844"/>
    <n v="1022"/>
    <n v="860"/>
    <n v="2570"/>
    <n v="23719"/>
    <n v="182628"/>
    <x v="3"/>
    <n v="0.11896313818253498"/>
    <x v="3"/>
  </r>
  <r>
    <s v="A234"/>
    <x v="0"/>
    <d v="2024-06-01T00:00:00"/>
    <s v="Image"/>
    <s v="#AppleLifestyle"/>
    <n v="19844"/>
    <n v="1022"/>
    <n v="860"/>
    <n v="2570"/>
    <n v="23719"/>
    <n v="182628"/>
    <x v="3"/>
    <n v="0.11896313818253498"/>
    <x v="3"/>
  </r>
  <r>
    <s v="A107"/>
    <x v="2"/>
    <d v="2024-06-21T00:00:00"/>
    <s v="Video"/>
    <s v="#AppleEvent"/>
    <n v="21216"/>
    <n v="1207"/>
    <n v="859"/>
    <n v="328"/>
    <n v="91296"/>
    <n v="196683"/>
    <x v="3"/>
    <n v="0.1183732198512327"/>
    <x v="3"/>
  </r>
  <r>
    <s v="A107"/>
    <x v="2"/>
    <d v="2024-06-21T00:00:00"/>
    <s v="Video"/>
    <s v="#iPadPro"/>
    <n v="21216"/>
    <n v="1207"/>
    <n v="859"/>
    <n v="328"/>
    <n v="91296"/>
    <n v="196683"/>
    <x v="3"/>
    <n v="0.1183732198512327"/>
    <x v="3"/>
  </r>
  <r>
    <s v="A63"/>
    <x v="3"/>
    <d v="2024-07-31T00:00:00"/>
    <s v="Image"/>
    <s v="#AppleWatchUltra2"/>
    <n v="12357"/>
    <n v="716"/>
    <n v="599"/>
    <n v="999"/>
    <n v="89591"/>
    <n v="116367"/>
    <x v="0"/>
    <n v="0.11749035379446063"/>
    <x v="0"/>
  </r>
  <r>
    <s v="A63"/>
    <x v="3"/>
    <d v="2024-07-31T00:00:00"/>
    <s v="Image"/>
    <s v="#HealthTech"/>
    <n v="12357"/>
    <n v="716"/>
    <n v="599"/>
    <n v="999"/>
    <n v="89591"/>
    <n v="116367"/>
    <x v="0"/>
    <n v="0.11749035379446063"/>
    <x v="0"/>
  </r>
  <r>
    <s v="A204"/>
    <x v="3"/>
    <d v="2025-09-22T00:00:00"/>
    <s v="Carousel"/>
    <s v="#ShotOniPhone"/>
    <n v="18509"/>
    <n v="361"/>
    <n v="578"/>
    <n v="1409"/>
    <n v="10569"/>
    <n v="166969"/>
    <x v="4"/>
    <n v="0.11647671124580011"/>
    <x v="4"/>
  </r>
  <r>
    <s v="A250"/>
    <x v="1"/>
    <d v="2024-06-22T00:00:00"/>
    <s v="Tweet"/>
    <s v="#AppleWatch"/>
    <n v="7342"/>
    <n v="906"/>
    <n v="902"/>
    <n v="1199"/>
    <n v="68488"/>
    <n v="79310"/>
    <x v="0"/>
    <n v="0.1153700668263775"/>
    <x v="0"/>
  </r>
  <r>
    <s v="A250"/>
    <x v="1"/>
    <d v="2024-06-22T00:00:00"/>
    <s v="Tweet"/>
    <s v="#Health"/>
    <n v="7342"/>
    <n v="906"/>
    <n v="902"/>
    <n v="1199"/>
    <n v="68488"/>
    <n v="79310"/>
    <x v="0"/>
    <n v="0.1153700668263775"/>
    <x v="0"/>
  </r>
  <r>
    <s v="A95"/>
    <x v="2"/>
    <d v="2024-11-08T00:00:00"/>
    <s v="Tweet"/>
    <s v="#AppleEvent"/>
    <n v="23499"/>
    <n v="562"/>
    <n v="964"/>
    <n v="2557"/>
    <n v="56890"/>
    <n v="218686"/>
    <x v="1"/>
    <n v="0.11443347996671026"/>
    <x v="1"/>
  </r>
  <r>
    <s v="A95"/>
    <x v="2"/>
    <d v="2024-11-08T00:00:00"/>
    <s v="Tweet"/>
    <s v="#iPadPro"/>
    <n v="23499"/>
    <n v="562"/>
    <n v="964"/>
    <n v="2557"/>
    <n v="56890"/>
    <n v="218686"/>
    <x v="1"/>
    <n v="0.11443347996671026"/>
    <x v="1"/>
  </r>
  <r>
    <s v="A143"/>
    <x v="0"/>
    <d v="2024-10-02T00:00:00"/>
    <s v="Image"/>
    <s v="#AppleDesign"/>
    <n v="15716"/>
    <n v="839"/>
    <n v="639"/>
    <n v="2839"/>
    <n v="349"/>
    <n v="150677"/>
    <x v="3"/>
    <n v="0.11411164278556117"/>
    <x v="3"/>
  </r>
  <r>
    <s v="A143"/>
    <x v="0"/>
    <d v="2024-10-02T00:00:00"/>
    <s v="Image"/>
    <s v="#Innovation"/>
    <n v="15716"/>
    <n v="839"/>
    <n v="639"/>
    <n v="2839"/>
    <n v="349"/>
    <n v="150677"/>
    <x v="3"/>
    <n v="0.11411164278556117"/>
    <x v="3"/>
  </r>
  <r>
    <s v="A98"/>
    <x v="0"/>
    <d v="2024-06-10T00:00:00"/>
    <s v="Video"/>
    <s v="#AppleMusic"/>
    <n v="21561"/>
    <n v="340"/>
    <n v="741"/>
    <n v="986"/>
    <n v="24826"/>
    <n v="198492"/>
    <x v="0"/>
    <n v="0.11407008846704149"/>
    <x v="0"/>
  </r>
  <r>
    <s v="A98"/>
    <x v="0"/>
    <d v="2024-06-10T00:00:00"/>
    <s v="Video"/>
    <s v="#AppleLifestyle"/>
    <n v="21561"/>
    <n v="340"/>
    <n v="741"/>
    <n v="986"/>
    <n v="24826"/>
    <n v="198492"/>
    <x v="0"/>
    <n v="0.11407008846704149"/>
    <x v="0"/>
  </r>
  <r>
    <s v="A161"/>
    <x v="1"/>
    <d v="2025-10-06T00:00:00"/>
    <s v="Video"/>
    <s v="#AppleDesign"/>
    <n v="22028"/>
    <n v="355"/>
    <n v="665"/>
    <n v="1859"/>
    <n v="50565"/>
    <n v="202962"/>
    <x v="4"/>
    <n v="0.11355820301337197"/>
    <x v="4"/>
  </r>
  <r>
    <s v="A161"/>
    <x v="1"/>
    <d v="2025-10-06T00:00:00"/>
    <s v="Video"/>
    <s v="#Innovation"/>
    <n v="22028"/>
    <n v="355"/>
    <n v="665"/>
    <n v="1859"/>
    <n v="50565"/>
    <n v="202962"/>
    <x v="4"/>
    <n v="0.11355820301337197"/>
    <x v="4"/>
  </r>
  <r>
    <s v="A27"/>
    <x v="2"/>
    <d v="2024-09-17T00:00:00"/>
    <s v="Tweet"/>
    <s v="#iPhone16Launch"/>
    <n v="20017"/>
    <n v="495"/>
    <n v="178"/>
    <n v="2683"/>
    <n v="32244"/>
    <n v="182633"/>
    <x v="0"/>
    <n v="0.11328730295182141"/>
    <x v="0"/>
  </r>
  <r>
    <s v="A27"/>
    <x v="2"/>
    <d v="2024-09-17T00:00:00"/>
    <s v="Tweet"/>
    <s v="#AppleEvent"/>
    <n v="20017"/>
    <n v="495"/>
    <n v="178"/>
    <n v="2683"/>
    <n v="32244"/>
    <n v="182633"/>
    <x v="0"/>
    <n v="0.11328730295182141"/>
    <x v="0"/>
  </r>
  <r>
    <s v="A128"/>
    <x v="3"/>
    <d v="2025-01-10T00:00:00"/>
    <s v="Carousel"/>
    <s v="#iPhonePhotography"/>
    <n v="14647"/>
    <n v="1168"/>
    <n v="484"/>
    <n v="2650"/>
    <n v="27217"/>
    <n v="144061"/>
    <x v="1"/>
    <n v="0.11313957281984714"/>
    <x v="1"/>
  </r>
  <r>
    <s v="A128"/>
    <x v="3"/>
    <d v="2025-01-10T00:00:00"/>
    <s v="Carousel"/>
    <s v="#ShotOniPhone"/>
    <n v="14647"/>
    <n v="1168"/>
    <n v="484"/>
    <n v="2650"/>
    <n v="27217"/>
    <n v="144061"/>
    <x v="1"/>
    <n v="0.11313957281984714"/>
    <x v="1"/>
  </r>
  <r>
    <s v="A159"/>
    <x v="3"/>
    <d v="2025-10-05T00:00:00"/>
    <s v="Tweet"/>
    <s v="#AppleMusic"/>
    <n v="21262"/>
    <n v="861"/>
    <n v="676"/>
    <n v="2263"/>
    <n v="12085"/>
    <n v="201731"/>
    <x v="4"/>
    <n v="0.11301683925623726"/>
    <x v="4"/>
  </r>
  <r>
    <s v="A159"/>
    <x v="3"/>
    <d v="2025-10-05T00:00:00"/>
    <s v="Tweet"/>
    <s v="#AppleLifestyle"/>
    <n v="21262"/>
    <n v="861"/>
    <n v="676"/>
    <n v="2263"/>
    <n v="12085"/>
    <n v="201731"/>
    <x v="4"/>
    <n v="0.11301683925623726"/>
    <x v="4"/>
  </r>
  <r>
    <s v="A195"/>
    <x v="1"/>
    <d v="2024-08-15T00:00:00"/>
    <s v="Image"/>
    <s v="#iPhone16Launch"/>
    <n v="15503"/>
    <n v="313"/>
    <n v="388"/>
    <n v="1078"/>
    <n v="11500"/>
    <n v="143754"/>
    <x v="1"/>
    <n v="0.1127203416948398"/>
    <x v="1"/>
  </r>
  <r>
    <s v="A195"/>
    <x v="1"/>
    <d v="2024-08-15T00:00:00"/>
    <s v="Image"/>
    <s v="#AppleEvent"/>
    <n v="15503"/>
    <n v="313"/>
    <n v="388"/>
    <n v="1078"/>
    <n v="11500"/>
    <n v="143754"/>
    <x v="1"/>
    <n v="0.1127203416948398"/>
    <x v="1"/>
  </r>
  <r>
    <s v="A71"/>
    <x v="2"/>
    <d v="2024-09-02T00:00:00"/>
    <s v="Carousel"/>
    <s v="#AppleEvent"/>
    <n v="12040"/>
    <n v="1147"/>
    <n v="210"/>
    <n v="885"/>
    <n v="30360"/>
    <n v="119530"/>
    <x v="1"/>
    <n v="0.1120806492094035"/>
    <x v="1"/>
  </r>
  <r>
    <s v="A71"/>
    <x v="2"/>
    <d v="2024-09-02T00:00:00"/>
    <s v="Carousel"/>
    <s v="#iPadPro"/>
    <n v="12040"/>
    <n v="1147"/>
    <n v="210"/>
    <n v="885"/>
    <n v="30360"/>
    <n v="119530"/>
    <x v="1"/>
    <n v="0.1120806492094035"/>
    <x v="1"/>
  </r>
  <r>
    <s v="A92"/>
    <x v="0"/>
    <d v="2024-10-21T00:00:00"/>
    <s v="Tweet"/>
    <s v="#MacBookAirM3"/>
    <n v="19715"/>
    <n v="1014"/>
    <n v="718"/>
    <n v="1185"/>
    <n v="37625"/>
    <n v="191409"/>
    <x v="0"/>
    <n v="0.11204802282024356"/>
    <x v="0"/>
  </r>
  <r>
    <s v="A92"/>
    <x v="0"/>
    <d v="2024-10-21T00:00:00"/>
    <s v="Tweet"/>
    <s v="#AppleInnovation"/>
    <n v="19715"/>
    <n v="1014"/>
    <n v="718"/>
    <n v="1185"/>
    <n v="37625"/>
    <n v="191409"/>
    <x v="0"/>
    <n v="0.11204802282024356"/>
    <x v="0"/>
  </r>
  <r>
    <s v="A225"/>
    <x v="2"/>
    <d v="2024-06-20T00:00:00"/>
    <s v="Video"/>
    <s v="#AppleWatch"/>
    <n v="21123"/>
    <n v="1343"/>
    <n v="589"/>
    <n v="727"/>
    <n v="87833"/>
    <n v="206703"/>
    <x v="0"/>
    <n v="0.11153684271636116"/>
    <x v="0"/>
  </r>
  <r>
    <s v="A225"/>
    <x v="2"/>
    <d v="2024-06-20T00:00:00"/>
    <s v="Video"/>
    <s v="#Health"/>
    <n v="21123"/>
    <n v="1343"/>
    <n v="589"/>
    <n v="727"/>
    <n v="87833"/>
    <n v="206703"/>
    <x v="0"/>
    <n v="0.11153684271636116"/>
    <x v="0"/>
  </r>
  <r>
    <s v="A19"/>
    <x v="0"/>
    <d v="2024-06-23T00:00:00"/>
    <s v="Tweet"/>
    <s v="#AppleEvent"/>
    <n v="16512"/>
    <n v="1050"/>
    <n v="971"/>
    <n v="1891"/>
    <n v="15865"/>
    <n v="166503"/>
    <x v="1"/>
    <n v="0.1113073037723044"/>
    <x v="1"/>
  </r>
  <r>
    <s v="A19"/>
    <x v="0"/>
    <d v="2024-06-23T00:00:00"/>
    <s v="Tweet"/>
    <s v="#iPhone16"/>
    <n v="16512"/>
    <n v="1050"/>
    <n v="971"/>
    <n v="1891"/>
    <n v="15865"/>
    <n v="166503"/>
    <x v="1"/>
    <n v="0.1113073037723044"/>
    <x v="1"/>
  </r>
  <r>
    <s v="A3"/>
    <x v="3"/>
    <d v="2025-05-12T00:00:00"/>
    <s v="Tweet"/>
    <s v="#AppleDesign"/>
    <n v="19308"/>
    <n v="1318"/>
    <n v="795"/>
    <n v="1499"/>
    <n v="52307"/>
    <n v="193087"/>
    <x v="3"/>
    <n v="0.11093962825047776"/>
    <x v="3"/>
  </r>
  <r>
    <s v="A3"/>
    <x v="3"/>
    <d v="2025-05-12T00:00:00"/>
    <s v="Tweet"/>
    <s v="#Innovation"/>
    <n v="19308"/>
    <n v="1318"/>
    <n v="795"/>
    <n v="1499"/>
    <n v="52307"/>
    <n v="193087"/>
    <x v="3"/>
    <n v="0.11093962825047776"/>
    <x v="3"/>
  </r>
  <r>
    <s v="A146"/>
    <x v="1"/>
    <d v="2024-06-05T00:00:00"/>
    <s v="Tweet"/>
    <s v="#iPhonePhotography"/>
    <n v="18907"/>
    <n v="1075"/>
    <n v="675"/>
    <n v="1383"/>
    <n v="17875"/>
    <n v="186649"/>
    <x v="0"/>
    <n v="0.11067297440650634"/>
    <x v="0"/>
  </r>
  <r>
    <s v="A146"/>
    <x v="1"/>
    <d v="2024-06-05T00:00:00"/>
    <s v="Tweet"/>
    <s v="#ShotOniPhone"/>
    <n v="18907"/>
    <n v="1075"/>
    <n v="675"/>
    <n v="1383"/>
    <n v="17875"/>
    <n v="186649"/>
    <x v="0"/>
    <n v="0.11067297440650634"/>
    <x v="0"/>
  </r>
  <r>
    <s v="A284"/>
    <x v="1"/>
    <d v="2024-09-17T00:00:00"/>
    <s v="Video"/>
    <s v="#AppleMusic"/>
    <n v="20410"/>
    <n v="1332"/>
    <n v="472"/>
    <n v="1202"/>
    <n v="9418"/>
    <n v="200806"/>
    <x v="0"/>
    <n v="0.11062418453631864"/>
    <x v="0"/>
  </r>
  <r>
    <s v="A284"/>
    <x v="1"/>
    <d v="2024-09-17T00:00:00"/>
    <s v="Video"/>
    <s v="#AppleLifestyle"/>
    <n v="20410"/>
    <n v="1332"/>
    <n v="472"/>
    <n v="1202"/>
    <n v="9418"/>
    <n v="200806"/>
    <x v="0"/>
    <n v="0.11062418453631864"/>
    <x v="0"/>
  </r>
  <r>
    <s v="A235"/>
    <x v="0"/>
    <d v="2024-12-22T00:00:00"/>
    <s v="Tweet"/>
    <s v="#AppleEvent"/>
    <n v="20117"/>
    <n v="1143"/>
    <n v="713"/>
    <n v="1739"/>
    <n v="34444"/>
    <n v="198670"/>
    <x v="2"/>
    <n v="0.11060049328031409"/>
    <x v="2"/>
  </r>
  <r>
    <s v="A235"/>
    <x v="0"/>
    <d v="2024-12-22T00:00:00"/>
    <s v="Tweet"/>
    <s v="#iPadPro"/>
    <n v="20117"/>
    <n v="1143"/>
    <n v="713"/>
    <n v="1739"/>
    <n v="34444"/>
    <n v="198670"/>
    <x v="2"/>
    <n v="0.11060049328031409"/>
    <x v="2"/>
  </r>
  <r>
    <s v="A282"/>
    <x v="0"/>
    <d v="2024-10-03T00:00:00"/>
    <s v="Image"/>
    <s v="#AppleEvent"/>
    <n v="22618"/>
    <n v="641"/>
    <n v="416"/>
    <n v="1530"/>
    <n v="18395"/>
    <n v="215211"/>
    <x v="2"/>
    <n v="0.1100083174187193"/>
    <x v="2"/>
  </r>
  <r>
    <s v="A282"/>
    <x v="0"/>
    <d v="2024-10-03T00:00:00"/>
    <s v="Image"/>
    <s v="#iPadPro"/>
    <n v="22618"/>
    <n v="641"/>
    <n v="416"/>
    <n v="1530"/>
    <n v="18395"/>
    <n v="215211"/>
    <x v="2"/>
    <n v="0.1100083174187193"/>
    <x v="2"/>
  </r>
  <r>
    <s v="A258"/>
    <x v="2"/>
    <d v="2024-08-05T00:00:00"/>
    <s v="Video"/>
    <s v="#AppleWatchUltra2"/>
    <n v="20935"/>
    <n v="1104"/>
    <n v="876"/>
    <n v="1270"/>
    <n v="21454"/>
    <n v="208722"/>
    <x v="3"/>
    <n v="0.10978718103506099"/>
    <x v="3"/>
  </r>
  <r>
    <s v="A258"/>
    <x v="2"/>
    <d v="2024-08-05T00:00:00"/>
    <s v="Video"/>
    <s v="#HealthTech"/>
    <n v="20935"/>
    <n v="1104"/>
    <n v="876"/>
    <n v="1270"/>
    <n v="21454"/>
    <n v="208722"/>
    <x v="3"/>
    <n v="0.10978718103506099"/>
    <x v="3"/>
  </r>
  <r>
    <s v="A153"/>
    <x v="3"/>
    <d v="2025-01-01T00:00:00"/>
    <s v="Video"/>
    <s v="#MacBookAirM3"/>
    <n v="24574"/>
    <n v="909"/>
    <n v="280"/>
    <n v="2009"/>
    <n v="6221"/>
    <n v="236910"/>
    <x v="2"/>
    <n v="0.10874593727575872"/>
    <x v="2"/>
  </r>
  <r>
    <s v="A153"/>
    <x v="3"/>
    <d v="2025-01-01T00:00:00"/>
    <s v="Video"/>
    <s v="#AppleInnovation"/>
    <n v="24574"/>
    <n v="909"/>
    <n v="280"/>
    <n v="2009"/>
    <n v="6221"/>
    <n v="236910"/>
    <x v="2"/>
    <n v="0.10874593727575872"/>
    <x v="2"/>
  </r>
  <r>
    <s v="A33"/>
    <x v="0"/>
    <d v="2025-09-11T00:00:00"/>
    <s v="Carousel"/>
    <s v="#iPhone16Launch"/>
    <n v="10175"/>
    <n v="342"/>
    <n v="825"/>
    <n v="2904"/>
    <n v="15954"/>
    <n v="104324"/>
    <x v="4"/>
    <n v="0.10871899083624094"/>
    <x v="4"/>
  </r>
  <r>
    <s v="A33"/>
    <x v="0"/>
    <d v="2025-09-11T00:00:00"/>
    <s v="Carousel"/>
    <s v="#AppleEvent"/>
    <n v="10175"/>
    <n v="342"/>
    <n v="825"/>
    <n v="2904"/>
    <n v="15954"/>
    <n v="104324"/>
    <x v="4"/>
    <n v="0.10871899083624094"/>
    <x v="4"/>
  </r>
  <r>
    <s v="A183"/>
    <x v="2"/>
    <d v="2024-12-17T00:00:00"/>
    <s v="Image"/>
    <s v="#AppleWatch"/>
    <n v="20030"/>
    <n v="485"/>
    <n v="888"/>
    <n v="1643"/>
    <n v="4322"/>
    <n v="196995"/>
    <x v="3"/>
    <n v="0.10864742759968526"/>
    <x v="3"/>
  </r>
  <r>
    <s v="A183"/>
    <x v="2"/>
    <d v="2024-12-17T00:00:00"/>
    <s v="Image"/>
    <s v="#Health"/>
    <n v="20030"/>
    <n v="485"/>
    <n v="888"/>
    <n v="1643"/>
    <n v="4322"/>
    <n v="196995"/>
    <x v="3"/>
    <n v="0.10864742759968526"/>
    <x v="3"/>
  </r>
  <r>
    <s v="A52"/>
    <x v="2"/>
    <d v="2025-09-19T00:00:00"/>
    <s v="Image"/>
    <s v="#AppleWatch"/>
    <n v="19100"/>
    <n v="619"/>
    <n v="297"/>
    <n v="2312"/>
    <n v="9730"/>
    <n v="184832"/>
    <x v="4"/>
    <n v="0.10829293628808864"/>
    <x v="4"/>
  </r>
  <r>
    <s v="A52"/>
    <x v="2"/>
    <d v="2025-09-19T00:00:00"/>
    <s v="Image"/>
    <s v="#Health"/>
    <n v="19100"/>
    <n v="619"/>
    <n v="297"/>
    <n v="2312"/>
    <n v="9730"/>
    <n v="184832"/>
    <x v="4"/>
    <n v="0.10829293628808864"/>
    <x v="4"/>
  </r>
  <r>
    <s v="A199"/>
    <x v="3"/>
    <d v="2025-09-20T00:00:00"/>
    <s v="Image"/>
    <s v="#AppleWatch"/>
    <n v="12267"/>
    <n v="1487"/>
    <n v="489"/>
    <n v="2748"/>
    <n v="34685"/>
    <n v="131736"/>
    <x v="4"/>
    <n v="0.1081177506528208"/>
    <x v="4"/>
  </r>
  <r>
    <s v="A199"/>
    <x v="3"/>
    <d v="2025-09-20T00:00:00"/>
    <s v="Image"/>
    <s v="#Health"/>
    <n v="12267"/>
    <n v="1487"/>
    <n v="489"/>
    <n v="2748"/>
    <n v="34685"/>
    <n v="131736"/>
    <x v="4"/>
    <n v="0.1081177506528208"/>
    <x v="4"/>
  </r>
  <r>
    <s v="A262"/>
    <x v="2"/>
    <d v="2025-01-18T00:00:00"/>
    <s v="Tweet"/>
    <s v="#iPhonePhotography"/>
    <n v="22673"/>
    <n v="1053"/>
    <n v="169"/>
    <n v="1566"/>
    <n v="9417"/>
    <n v="221187"/>
    <x v="1"/>
    <n v="0.10803076130152314"/>
    <x v="1"/>
  </r>
  <r>
    <s v="A262"/>
    <x v="2"/>
    <d v="2025-01-18T00:00:00"/>
    <s v="Tweet"/>
    <s v="#ShotOniPhone"/>
    <n v="22673"/>
    <n v="1053"/>
    <n v="169"/>
    <n v="1566"/>
    <n v="9417"/>
    <n v="221187"/>
    <x v="1"/>
    <n v="0.10803076130152314"/>
    <x v="1"/>
  </r>
  <r>
    <s v="A268"/>
    <x v="0"/>
    <d v="2025-04-13T00:00:00"/>
    <s v="Carousel"/>
    <s v="#MacBookProM3"/>
    <n v="24700"/>
    <n v="327"/>
    <n v="999"/>
    <n v="994"/>
    <n v="59400"/>
    <n v="243502"/>
    <x v="3"/>
    <n v="0.10688207899729776"/>
    <x v="3"/>
  </r>
  <r>
    <s v="A180"/>
    <x v="1"/>
    <d v="2025-10-11T00:00:00"/>
    <s v="Carousel"/>
    <s v="#AppleWatch"/>
    <n v="15623"/>
    <n v="869"/>
    <n v="423"/>
    <n v="371"/>
    <n v="47579"/>
    <n v="158516"/>
    <x v="4"/>
    <n v="0.10670847106916652"/>
    <x v="4"/>
  </r>
  <r>
    <s v="A180"/>
    <x v="1"/>
    <d v="2025-10-11T00:00:00"/>
    <s v="Carousel"/>
    <s v="#Health"/>
    <n v="15623"/>
    <n v="869"/>
    <n v="423"/>
    <n v="371"/>
    <n v="47579"/>
    <n v="158516"/>
    <x v="4"/>
    <n v="0.10670847106916652"/>
    <x v="4"/>
  </r>
  <r>
    <s v="A214"/>
    <x v="1"/>
    <d v="2024-12-23T00:00:00"/>
    <s v="Video"/>
    <s v="#AppleDesign"/>
    <n v="18616"/>
    <n v="1277"/>
    <n v="734"/>
    <n v="2249"/>
    <n v="3399"/>
    <n v="193515"/>
    <x v="1"/>
    <n v="0.10659122031883833"/>
    <x v="1"/>
  </r>
  <r>
    <s v="A214"/>
    <x v="1"/>
    <d v="2024-12-23T00:00:00"/>
    <s v="Video"/>
    <s v="#Innovation"/>
    <n v="18616"/>
    <n v="1277"/>
    <n v="734"/>
    <n v="2249"/>
    <n v="3399"/>
    <n v="193515"/>
    <x v="1"/>
    <n v="0.10659122031883833"/>
    <x v="1"/>
  </r>
  <r>
    <s v="A272"/>
    <x v="0"/>
    <d v="2025-03-27T00:00:00"/>
    <s v="Tweet"/>
    <s v="#iPhonePhotography"/>
    <n v="14819"/>
    <n v="1432"/>
    <n v="152"/>
    <n v="961"/>
    <n v="39154"/>
    <n v="154793"/>
    <x v="1"/>
    <n v="0.10596732410380315"/>
    <x v="1"/>
  </r>
  <r>
    <s v="A272"/>
    <x v="0"/>
    <d v="2025-03-27T00:00:00"/>
    <s v="Tweet"/>
    <s v="#ShotOniPhone"/>
    <n v="14819"/>
    <n v="1432"/>
    <n v="152"/>
    <n v="961"/>
    <n v="39154"/>
    <n v="154793"/>
    <x v="1"/>
    <n v="0.10596732410380315"/>
    <x v="1"/>
  </r>
  <r>
    <s v="A198"/>
    <x v="0"/>
    <d v="2025-09-19T00:00:00"/>
    <s v="Carousel"/>
    <s v="#AppleEvent"/>
    <n v="14772"/>
    <n v="1030"/>
    <n v="508"/>
    <n v="1876"/>
    <n v="8882"/>
    <n v="155142"/>
    <x v="4"/>
    <n v="0.10512949426976577"/>
    <x v="4"/>
  </r>
  <r>
    <s v="A198"/>
    <x v="0"/>
    <d v="2025-09-19T00:00:00"/>
    <s v="Carousel"/>
    <s v="#iPadPro"/>
    <n v="14772"/>
    <n v="1030"/>
    <n v="508"/>
    <n v="1876"/>
    <n v="8882"/>
    <n v="155142"/>
    <x v="4"/>
    <n v="0.10512949426976577"/>
    <x v="4"/>
  </r>
  <r>
    <s v="A296"/>
    <x v="0"/>
    <d v="2025-02-11T00:00:00"/>
    <s v="Carousel"/>
    <s v="#Sustainability"/>
    <n v="3619"/>
    <n v="1376"/>
    <n v="410"/>
    <n v="2499"/>
    <n v="58146"/>
    <n v="52149"/>
    <x v="0"/>
    <n v="0.10364532397553165"/>
    <x v="0"/>
  </r>
  <r>
    <s v="A296"/>
    <x v="0"/>
    <d v="2025-02-11T00:00:00"/>
    <s v="Carousel"/>
    <s v="#AppleEarth"/>
    <n v="3619"/>
    <n v="1376"/>
    <n v="410"/>
    <n v="2499"/>
    <n v="58146"/>
    <n v="52149"/>
    <x v="0"/>
    <n v="0.10364532397553165"/>
    <x v="0"/>
  </r>
  <r>
    <s v="A240"/>
    <x v="0"/>
    <d v="2025-09-11T00:00:00"/>
    <s v="Video"/>
    <s v="#AppleMusic"/>
    <n v="21901"/>
    <n v="1308"/>
    <n v="724"/>
    <n v="2183"/>
    <n v="15996"/>
    <n v="230961"/>
    <x v="4"/>
    <n v="0.10362355549205277"/>
    <x v="4"/>
  </r>
  <r>
    <s v="A240"/>
    <x v="0"/>
    <d v="2025-09-11T00:00:00"/>
    <s v="Video"/>
    <s v="#AppleLifestyle"/>
    <n v="21901"/>
    <n v="1308"/>
    <n v="724"/>
    <n v="2183"/>
    <n v="15996"/>
    <n v="230961"/>
    <x v="4"/>
    <n v="0.10362355549205277"/>
    <x v="4"/>
  </r>
  <r>
    <s v="A243"/>
    <x v="0"/>
    <d v="2025-03-06T00:00:00"/>
    <s v="Tweet"/>
    <s v="#iPhone16Launch"/>
    <n v="22119"/>
    <n v="899"/>
    <n v="642"/>
    <n v="410"/>
    <n v="49490"/>
    <n v="229420"/>
    <x v="1"/>
    <n v="0.10312963124400662"/>
    <x v="1"/>
  </r>
  <r>
    <s v="A243"/>
    <x v="0"/>
    <d v="2025-03-06T00:00:00"/>
    <s v="Tweet"/>
    <s v="#AppleEvent"/>
    <n v="22119"/>
    <n v="899"/>
    <n v="642"/>
    <n v="410"/>
    <n v="49490"/>
    <n v="229420"/>
    <x v="1"/>
    <n v="0.10312963124400662"/>
    <x v="1"/>
  </r>
  <r>
    <s v="A290"/>
    <x v="0"/>
    <d v="2025-09-20T00:00:00"/>
    <s v="Image"/>
    <s v="#ShotOniPhone"/>
    <n v="24422"/>
    <n v="327"/>
    <n v="481"/>
    <n v="2371"/>
    <n v="35340"/>
    <n v="245244"/>
    <x v="4"/>
    <n v="0.10287713460879777"/>
    <x v="4"/>
  </r>
  <r>
    <s v="A237"/>
    <x v="2"/>
    <d v="2024-10-22T00:00:00"/>
    <s v="Carousel"/>
    <s v="#AppleDesign"/>
    <n v="7622"/>
    <n v="529"/>
    <n v="720"/>
    <n v="1015"/>
    <n v="71322"/>
    <n v="86819"/>
    <x v="2"/>
    <n v="0.10217809465669957"/>
    <x v="2"/>
  </r>
  <r>
    <s v="A237"/>
    <x v="2"/>
    <d v="2024-10-22T00:00:00"/>
    <s v="Carousel"/>
    <s v="#Innovation"/>
    <n v="7622"/>
    <n v="529"/>
    <n v="720"/>
    <n v="1015"/>
    <n v="71322"/>
    <n v="86819"/>
    <x v="2"/>
    <n v="0.10217809465669957"/>
    <x v="2"/>
  </r>
  <r>
    <s v="A166"/>
    <x v="3"/>
    <d v="2025-02-16T00:00:00"/>
    <s v="Tweet"/>
    <s v="#AppleEvent"/>
    <n v="24195"/>
    <n v="888"/>
    <n v="165"/>
    <n v="1559"/>
    <n v="11596"/>
    <n v="249988"/>
    <x v="3"/>
    <n v="0.10099684784869674"/>
    <x v="3"/>
  </r>
  <r>
    <s v="A166"/>
    <x v="3"/>
    <d v="2025-02-16T00:00:00"/>
    <s v="Tweet"/>
    <s v="#iPhone16"/>
    <n v="24195"/>
    <n v="888"/>
    <n v="165"/>
    <n v="1559"/>
    <n v="11596"/>
    <n v="249988"/>
    <x v="3"/>
    <n v="0.10099684784869674"/>
    <x v="3"/>
  </r>
  <r>
    <s v="A122"/>
    <x v="3"/>
    <d v="2024-10-02T00:00:00"/>
    <s v="Video"/>
    <s v="#iPhonePhotography"/>
    <n v="9350"/>
    <n v="1024"/>
    <n v="550"/>
    <n v="2123"/>
    <n v="53916"/>
    <n v="108785"/>
    <x v="3"/>
    <n v="0.10041825619340902"/>
    <x v="3"/>
  </r>
  <r>
    <s v="A122"/>
    <x v="3"/>
    <d v="2024-10-02T00:00:00"/>
    <s v="Video"/>
    <s v="#ShotOniPhone"/>
    <n v="9350"/>
    <n v="1024"/>
    <n v="550"/>
    <n v="2123"/>
    <n v="53916"/>
    <n v="108785"/>
    <x v="3"/>
    <n v="0.10041825619340902"/>
    <x v="3"/>
  </r>
  <r>
    <s v="A249"/>
    <x v="3"/>
    <d v="2024-07-18T00:00:00"/>
    <s v="Video"/>
    <s v="#MacBookProM3"/>
    <n v="11111"/>
    <n v="1222"/>
    <n v="367"/>
    <n v="507"/>
    <n v="14129"/>
    <n v="127163"/>
    <x v="2"/>
    <n v="9.9871818060284834E-2"/>
    <x v="2"/>
  </r>
  <r>
    <s v="A165"/>
    <x v="2"/>
    <d v="2025-10-07T00:00:00"/>
    <s v="Carousel"/>
    <s v="#AppleWatch"/>
    <n v="19660"/>
    <n v="1307"/>
    <n v="310"/>
    <n v="2802"/>
    <n v="22171"/>
    <n v="213359"/>
    <x v="4"/>
    <n v="9.9723939463533293E-2"/>
    <x v="4"/>
  </r>
  <r>
    <s v="A165"/>
    <x v="2"/>
    <d v="2025-10-07T00:00:00"/>
    <s v="Carousel"/>
    <s v="#Health"/>
    <n v="19660"/>
    <n v="1307"/>
    <n v="310"/>
    <n v="2802"/>
    <n v="22171"/>
    <n v="213359"/>
    <x v="4"/>
    <n v="9.9723939463533293E-2"/>
    <x v="4"/>
  </r>
  <r>
    <s v="A10"/>
    <x v="2"/>
    <d v="2025-03-11T00:00:00"/>
    <s v="Video"/>
    <s v="#iPhone16Launch"/>
    <n v="20222"/>
    <n v="712"/>
    <n v="604"/>
    <n v="1272"/>
    <n v="71598"/>
    <n v="216422"/>
    <x v="3"/>
    <n v="9.9518533235992648E-2"/>
    <x v="3"/>
  </r>
  <r>
    <s v="A10"/>
    <x v="2"/>
    <d v="2025-03-11T00:00:00"/>
    <s v="Video"/>
    <s v="#AppleEvent"/>
    <n v="20222"/>
    <n v="712"/>
    <n v="604"/>
    <n v="1272"/>
    <n v="71598"/>
    <n v="216422"/>
    <x v="3"/>
    <n v="9.9518533235992648E-2"/>
    <x v="3"/>
  </r>
  <r>
    <s v="A103"/>
    <x v="2"/>
    <d v="2025-09-27T00:00:00"/>
    <s v="Tweet"/>
    <s v="#MacBookAirM3"/>
    <n v="18521"/>
    <n v="1027"/>
    <n v="230"/>
    <n v="1247"/>
    <n v="39588"/>
    <n v="200928"/>
    <x v="4"/>
    <n v="9.8433269628921807E-2"/>
    <x v="4"/>
  </r>
  <r>
    <s v="A103"/>
    <x v="2"/>
    <d v="2025-09-27T00:00:00"/>
    <s v="Tweet"/>
    <s v="#AppleInnovation"/>
    <n v="18521"/>
    <n v="1027"/>
    <n v="230"/>
    <n v="1247"/>
    <n v="39588"/>
    <n v="200928"/>
    <x v="4"/>
    <n v="9.8433269628921807E-2"/>
    <x v="4"/>
  </r>
  <r>
    <s v="A118"/>
    <x v="2"/>
    <d v="2024-11-04T00:00:00"/>
    <s v="Video"/>
    <s v="#ShotOniPhone"/>
    <n v="14234"/>
    <n v="1013"/>
    <n v="437"/>
    <n v="338"/>
    <n v="67754"/>
    <n v="160030"/>
    <x v="3"/>
    <n v="9.8006623758045364E-2"/>
    <x v="3"/>
  </r>
  <r>
    <s v="A253"/>
    <x v="0"/>
    <d v="2025-09-16T00:00:00"/>
    <s v="Image"/>
    <s v="#MacBookProM3"/>
    <n v="16043"/>
    <n v="595"/>
    <n v="923"/>
    <n v="1194"/>
    <n v="52613"/>
    <n v="179978"/>
    <x v="4"/>
    <n v="9.757303670448611E-2"/>
    <x v="4"/>
  </r>
  <r>
    <s v="A114"/>
    <x v="2"/>
    <d v="2024-11-14T00:00:00"/>
    <s v="Image"/>
    <s v="#AppleDesign"/>
    <n v="6300"/>
    <n v="1213"/>
    <n v="720"/>
    <n v="1037"/>
    <n v="39569"/>
    <n v="85272"/>
    <x v="1"/>
    <n v="9.6549863964724647E-2"/>
    <x v="1"/>
  </r>
  <r>
    <s v="A114"/>
    <x v="2"/>
    <d v="2024-11-14T00:00:00"/>
    <s v="Image"/>
    <s v="#Innovation"/>
    <n v="6300"/>
    <n v="1213"/>
    <n v="720"/>
    <n v="1037"/>
    <n v="39569"/>
    <n v="85272"/>
    <x v="1"/>
    <n v="9.6549863964724647E-2"/>
    <x v="1"/>
  </r>
  <r>
    <s v="A208"/>
    <x v="0"/>
    <d v="2024-06-24T00:00:00"/>
    <s v="Tweet"/>
    <s v="#MacBookAirM3"/>
    <n v="5596"/>
    <n v="1231"/>
    <n v="473"/>
    <n v="2251"/>
    <n v="43705"/>
    <n v="75643"/>
    <x v="0"/>
    <n v="9.6505955607260427E-2"/>
    <x v="0"/>
  </r>
  <r>
    <s v="A208"/>
    <x v="0"/>
    <d v="2024-06-24T00:00:00"/>
    <s v="Tweet"/>
    <s v="#AppleInnovation"/>
    <n v="5596"/>
    <n v="1231"/>
    <n v="473"/>
    <n v="2251"/>
    <n v="43705"/>
    <n v="75643"/>
    <x v="0"/>
    <n v="9.6505955607260427E-2"/>
    <x v="0"/>
  </r>
  <r>
    <s v="A263"/>
    <x v="3"/>
    <d v="2024-08-20T00:00:00"/>
    <s v="Tweet"/>
    <s v="#ShotOniPhone"/>
    <n v="2846"/>
    <n v="792"/>
    <n v="902"/>
    <n v="2469"/>
    <n v="12130"/>
    <n v="47151"/>
    <x v="0"/>
    <n v="9.6286399015927546E-2"/>
    <x v="0"/>
  </r>
  <r>
    <s v="A35"/>
    <x v="2"/>
    <d v="2024-11-30T00:00:00"/>
    <s v="Video"/>
    <s v="#AppleEvent"/>
    <n v="14763"/>
    <n v="864"/>
    <n v="336"/>
    <n v="1493"/>
    <n v="33310"/>
    <n v="165932"/>
    <x v="1"/>
    <n v="9.6202058674637797E-2"/>
    <x v="1"/>
  </r>
  <r>
    <s v="A35"/>
    <x v="2"/>
    <d v="2024-11-30T00:00:00"/>
    <s v="Video"/>
    <s v="#iPhone16"/>
    <n v="14763"/>
    <n v="864"/>
    <n v="336"/>
    <n v="1493"/>
    <n v="33310"/>
    <n v="165932"/>
    <x v="1"/>
    <n v="9.6202058674637797E-2"/>
    <x v="1"/>
  </r>
  <r>
    <s v="A26"/>
    <x v="2"/>
    <d v="2025-04-05T00:00:00"/>
    <s v="Video"/>
    <s v="#AppleWatch"/>
    <n v="22384"/>
    <n v="601"/>
    <n v="943"/>
    <n v="515"/>
    <n v="41309"/>
    <n v="249373"/>
    <x v="0"/>
    <n v="9.5952649244304716E-2"/>
    <x v="0"/>
  </r>
  <r>
    <s v="A26"/>
    <x v="2"/>
    <d v="2025-04-05T00:00:00"/>
    <s v="Video"/>
    <s v="#Health"/>
    <n v="22384"/>
    <n v="601"/>
    <n v="943"/>
    <n v="515"/>
    <n v="41309"/>
    <n v="249373"/>
    <x v="0"/>
    <n v="9.5952649244304716E-2"/>
    <x v="0"/>
  </r>
  <r>
    <s v="A238"/>
    <x v="2"/>
    <d v="2024-07-16T00:00:00"/>
    <s v="Tweet"/>
    <s v="#iPhone16Launch"/>
    <n v="8767"/>
    <n v="974"/>
    <n v="733"/>
    <n v="1587"/>
    <n v="74927"/>
    <n v="113770"/>
    <x v="0"/>
    <n v="9.2062933989628198E-2"/>
    <x v="0"/>
  </r>
  <r>
    <s v="A238"/>
    <x v="2"/>
    <d v="2024-07-16T00:00:00"/>
    <s v="Tweet"/>
    <s v="#AppleEvent"/>
    <n v="8767"/>
    <n v="974"/>
    <n v="733"/>
    <n v="1587"/>
    <n v="74927"/>
    <n v="113770"/>
    <x v="0"/>
    <n v="9.2062933989628198E-2"/>
    <x v="0"/>
  </r>
  <r>
    <s v="A56"/>
    <x v="0"/>
    <d v="2024-12-18T00:00:00"/>
    <s v="Tweet"/>
    <s v="#iPhone16Launch"/>
    <n v="14775"/>
    <n v="1220"/>
    <n v="640"/>
    <n v="1547"/>
    <n v="28527"/>
    <n v="183660"/>
    <x v="2"/>
    <n v="9.0574975498203203E-2"/>
    <x v="2"/>
  </r>
  <r>
    <s v="A56"/>
    <x v="0"/>
    <d v="2024-12-18T00:00:00"/>
    <s v="Tweet"/>
    <s v="#AppleEvent"/>
    <n v="14775"/>
    <n v="1220"/>
    <n v="640"/>
    <n v="1547"/>
    <n v="28527"/>
    <n v="183660"/>
    <x v="2"/>
    <n v="9.0574975498203203E-2"/>
    <x v="2"/>
  </r>
  <r>
    <s v="A266"/>
    <x v="2"/>
    <d v="2024-11-25T00:00:00"/>
    <s v="Video"/>
    <s v="#iPhone16Launch"/>
    <n v="17385"/>
    <n v="831"/>
    <n v="568"/>
    <n v="2227"/>
    <n v="49351"/>
    <n v="207450"/>
    <x v="3"/>
    <n v="9.0547119787900698E-2"/>
    <x v="3"/>
  </r>
  <r>
    <s v="A266"/>
    <x v="2"/>
    <d v="2024-11-25T00:00:00"/>
    <s v="Video"/>
    <s v="#AppleEvent"/>
    <n v="17385"/>
    <n v="831"/>
    <n v="568"/>
    <n v="2227"/>
    <n v="49351"/>
    <n v="207450"/>
    <x v="3"/>
    <n v="9.0547119787900698E-2"/>
    <x v="3"/>
  </r>
  <r>
    <s v="A179"/>
    <x v="3"/>
    <d v="2024-07-15T00:00:00"/>
    <s v="Image"/>
    <s v="#AppleEvent"/>
    <n v="17034"/>
    <n v="231"/>
    <n v="290"/>
    <n v="1387"/>
    <n v="63550"/>
    <n v="198280"/>
    <x v="2"/>
    <n v="8.8536413153116805E-2"/>
    <x v="2"/>
  </r>
  <r>
    <s v="A179"/>
    <x v="3"/>
    <d v="2024-07-15T00:00:00"/>
    <s v="Image"/>
    <s v="#iPhone16"/>
    <n v="17034"/>
    <n v="231"/>
    <n v="290"/>
    <n v="1387"/>
    <n v="63550"/>
    <n v="198280"/>
    <x v="2"/>
    <n v="8.8536413153116805E-2"/>
    <x v="2"/>
  </r>
  <r>
    <s v="A2"/>
    <x v="0"/>
    <d v="2025-09-03T00:00:00"/>
    <s v="Image"/>
    <s v="#MacBookAirM3"/>
    <n v="4779"/>
    <n v="1110"/>
    <n v="436"/>
    <n v="1574"/>
    <n v="77167"/>
    <n v="71585"/>
    <x v="4"/>
    <n v="8.8356499266606131E-2"/>
    <x v="4"/>
  </r>
  <r>
    <s v="A2"/>
    <x v="0"/>
    <d v="2025-09-03T00:00:00"/>
    <s v="Image"/>
    <s v="#AppleInnovation"/>
    <n v="4779"/>
    <n v="1110"/>
    <n v="436"/>
    <n v="1574"/>
    <n v="77167"/>
    <n v="71585"/>
    <x v="4"/>
    <n v="8.8356499266606131E-2"/>
    <x v="4"/>
  </r>
  <r>
    <s v="A86"/>
    <x v="1"/>
    <d v="2025-01-27T00:00:00"/>
    <s v="Carousel"/>
    <s v="#iPhone16Launch"/>
    <n v="8949"/>
    <n v="1477"/>
    <n v="424"/>
    <n v="1030"/>
    <n v="58052"/>
    <n v="123310"/>
    <x v="0"/>
    <n v="8.7989619657773091E-2"/>
    <x v="0"/>
  </r>
  <r>
    <s v="A86"/>
    <x v="1"/>
    <d v="2025-01-27T00:00:00"/>
    <s v="Carousel"/>
    <s v="#AppleEvent"/>
    <n v="8949"/>
    <n v="1477"/>
    <n v="424"/>
    <n v="1030"/>
    <n v="58052"/>
    <n v="123310"/>
    <x v="0"/>
    <n v="8.7989619657773091E-2"/>
    <x v="0"/>
  </r>
  <r>
    <s v="A57"/>
    <x v="0"/>
    <d v="2024-10-21T00:00:00"/>
    <s v="Video"/>
    <s v="#AppleEvent"/>
    <n v="12015"/>
    <n v="1196"/>
    <n v="998"/>
    <n v="1848"/>
    <n v="44739"/>
    <n v="161750"/>
    <x v="2"/>
    <n v="8.7845440494590421E-2"/>
    <x v="2"/>
  </r>
  <r>
    <s v="A57"/>
    <x v="0"/>
    <d v="2024-10-21T00:00:00"/>
    <s v="Video"/>
    <s v="#iPhone16"/>
    <n v="12015"/>
    <n v="1196"/>
    <n v="998"/>
    <n v="1848"/>
    <n v="44739"/>
    <n v="161750"/>
    <x v="2"/>
    <n v="8.7845440494590421E-2"/>
    <x v="2"/>
  </r>
  <r>
    <s v="A297"/>
    <x v="2"/>
    <d v="2024-12-24T00:00:00"/>
    <s v="Image"/>
    <s v="#MacBookProM3"/>
    <n v="10512"/>
    <n v="1197"/>
    <n v="544"/>
    <n v="2012"/>
    <n v="10245"/>
    <n v="140102"/>
    <x v="0"/>
    <n v="8.745770938316369E-2"/>
    <x v="0"/>
  </r>
  <r>
    <s v="A137"/>
    <x v="3"/>
    <d v="2024-07-31T00:00:00"/>
    <s v="Carousel"/>
    <s v="#AppleEvent"/>
    <n v="13314"/>
    <n v="274"/>
    <n v="626"/>
    <n v="2280"/>
    <n v="14639"/>
    <n v="163008"/>
    <x v="1"/>
    <n v="8.7198174322732622E-2"/>
    <x v="1"/>
  </r>
  <r>
    <s v="A137"/>
    <x v="3"/>
    <d v="2024-07-31T00:00:00"/>
    <s v="Carousel"/>
    <s v="#iPadPro"/>
    <n v="13314"/>
    <n v="274"/>
    <n v="626"/>
    <n v="2280"/>
    <n v="14639"/>
    <n v="163008"/>
    <x v="1"/>
    <n v="8.7198174322732622E-2"/>
    <x v="1"/>
  </r>
  <r>
    <s v="A29"/>
    <x v="0"/>
    <d v="2025-09-10T00:00:00"/>
    <s v="Carousel"/>
    <s v="#MacBookProM3"/>
    <n v="9266"/>
    <n v="999"/>
    <n v="928"/>
    <n v="2700"/>
    <n v="12264"/>
    <n v="128397"/>
    <x v="4"/>
    <n v="8.7174933993784898E-2"/>
    <x v="4"/>
  </r>
  <r>
    <s v="A34"/>
    <x v="2"/>
    <d v="2025-09-12T00:00:00"/>
    <s v="Tweet"/>
    <s v="#AppleDesign"/>
    <n v="17158"/>
    <n v="1192"/>
    <n v="262"/>
    <n v="2016"/>
    <n v="28771"/>
    <n v="216037"/>
    <x v="4"/>
    <n v="8.6151909163708074E-2"/>
    <x v="4"/>
  </r>
  <r>
    <s v="A34"/>
    <x v="2"/>
    <d v="2025-09-12T00:00:00"/>
    <s v="Tweet"/>
    <s v="#Innovation"/>
    <n v="17158"/>
    <n v="1192"/>
    <n v="262"/>
    <n v="2016"/>
    <n v="28771"/>
    <n v="216037"/>
    <x v="4"/>
    <n v="8.6151909163708074E-2"/>
    <x v="4"/>
  </r>
  <r>
    <s v="A64"/>
    <x v="3"/>
    <d v="2024-08-17T00:00:00"/>
    <s v="Video"/>
    <s v="#ShotOniPhone"/>
    <n v="19154"/>
    <n v="1064"/>
    <n v="650"/>
    <n v="747"/>
    <n v="42667"/>
    <n v="242332"/>
    <x v="3"/>
    <n v="8.6113266097750191E-2"/>
    <x v="3"/>
  </r>
  <r>
    <s v="A55"/>
    <x v="1"/>
    <d v="2024-06-17T00:00:00"/>
    <s v="Carousel"/>
    <s v="#AppleWatchUltra2"/>
    <n v="6976"/>
    <n v="1320"/>
    <n v="393"/>
    <n v="2285"/>
    <n v="14049"/>
    <n v="101367"/>
    <x v="2"/>
    <n v="8.5718231771681114E-2"/>
    <x v="2"/>
  </r>
  <r>
    <s v="A55"/>
    <x v="1"/>
    <d v="2024-06-17T00:00:00"/>
    <s v="Carousel"/>
    <s v="#HealthTech"/>
    <n v="6976"/>
    <n v="1320"/>
    <n v="393"/>
    <n v="2285"/>
    <n v="14049"/>
    <n v="101367"/>
    <x v="2"/>
    <n v="8.5718231771681114E-2"/>
    <x v="2"/>
  </r>
  <r>
    <s v="A259"/>
    <x v="0"/>
    <d v="2025-02-10T00:00:00"/>
    <s v="Carousel"/>
    <s v="#MacBookAirM3"/>
    <n v="16309"/>
    <n v="1449"/>
    <n v="838"/>
    <n v="2434"/>
    <n v="2940"/>
    <n v="217953"/>
    <x v="1"/>
    <n v="8.5321147219813445E-2"/>
    <x v="1"/>
  </r>
  <r>
    <s v="A259"/>
    <x v="0"/>
    <d v="2025-02-10T00:00:00"/>
    <s v="Carousel"/>
    <s v="#AppleInnovation"/>
    <n v="16309"/>
    <n v="1449"/>
    <n v="838"/>
    <n v="2434"/>
    <n v="2940"/>
    <n v="217953"/>
    <x v="1"/>
    <n v="8.5321147219813445E-2"/>
    <x v="1"/>
  </r>
  <r>
    <s v="A25"/>
    <x v="0"/>
    <d v="2025-09-09T00:00:00"/>
    <s v="Video"/>
    <s v="#AppleWatch"/>
    <n v="15772"/>
    <n v="288"/>
    <n v="520"/>
    <n v="1585"/>
    <n v="59182"/>
    <n v="194351"/>
    <x v="4"/>
    <n v="8.5309568769905988E-2"/>
    <x v="4"/>
  </r>
  <r>
    <s v="A25"/>
    <x v="0"/>
    <d v="2025-09-09T00:00:00"/>
    <s v="Video"/>
    <s v="#Health"/>
    <n v="15772"/>
    <n v="288"/>
    <n v="520"/>
    <n v="1585"/>
    <n v="59182"/>
    <n v="194351"/>
    <x v="4"/>
    <n v="8.5309568769905988E-2"/>
    <x v="4"/>
  </r>
  <r>
    <s v="A213"/>
    <x v="3"/>
    <d v="2025-05-01T00:00:00"/>
    <s v="Tweet"/>
    <s v="#iPhone16Launch"/>
    <n v="10258"/>
    <n v="527"/>
    <n v="854"/>
    <n v="2068"/>
    <n v="45632"/>
    <n v="136546"/>
    <x v="2"/>
    <n v="8.5238674146441498E-2"/>
    <x v="2"/>
  </r>
  <r>
    <s v="A213"/>
    <x v="3"/>
    <d v="2025-05-01T00:00:00"/>
    <s v="Tweet"/>
    <s v="#AppleEvent"/>
    <n v="10258"/>
    <n v="527"/>
    <n v="854"/>
    <n v="2068"/>
    <n v="45632"/>
    <n v="136546"/>
    <x v="2"/>
    <n v="8.5238674146441498E-2"/>
    <x v="2"/>
  </r>
  <r>
    <s v="A255"/>
    <x v="3"/>
    <d v="2025-04-03T00:00:00"/>
    <s v="Image"/>
    <s v="#Sustainability"/>
    <n v="10837"/>
    <n v="1004"/>
    <n v="922"/>
    <n v="1108"/>
    <n v="36807"/>
    <n v="150350"/>
    <x v="3"/>
    <n v="8.4888593282341204E-2"/>
    <x v="3"/>
  </r>
  <r>
    <s v="A255"/>
    <x v="3"/>
    <d v="2025-04-03T00:00:00"/>
    <s v="Image"/>
    <s v="#AppleEarth"/>
    <n v="10837"/>
    <n v="1004"/>
    <n v="922"/>
    <n v="1108"/>
    <n v="36807"/>
    <n v="150350"/>
    <x v="3"/>
    <n v="8.4888593282341204E-2"/>
    <x v="3"/>
  </r>
  <r>
    <s v="A8"/>
    <x v="3"/>
    <d v="2024-07-13T00:00:00"/>
    <s v="Video"/>
    <s v="#AppleWatch"/>
    <n v="18639"/>
    <n v="1360"/>
    <n v="898"/>
    <n v="2011"/>
    <n v="42841"/>
    <n v="247779"/>
    <x v="1"/>
    <n v="8.4337252148083575E-2"/>
    <x v="1"/>
  </r>
  <r>
    <s v="A8"/>
    <x v="3"/>
    <d v="2024-07-13T00:00:00"/>
    <s v="Video"/>
    <s v="#Health"/>
    <n v="18639"/>
    <n v="1360"/>
    <n v="898"/>
    <n v="2011"/>
    <n v="42841"/>
    <n v="247779"/>
    <x v="1"/>
    <n v="8.4337252148083575E-2"/>
    <x v="1"/>
  </r>
  <r>
    <s v="A215"/>
    <x v="1"/>
    <d v="2025-09-25T00:00:00"/>
    <s v="Video"/>
    <s v="#iPhonePhotography"/>
    <n v="8371"/>
    <n v="960"/>
    <n v="548"/>
    <n v="2936"/>
    <n v="82543"/>
    <n v="119973"/>
    <x v="4"/>
    <n v="8.2343527293641069E-2"/>
    <x v="4"/>
  </r>
  <r>
    <s v="A215"/>
    <x v="1"/>
    <d v="2025-09-25T00:00:00"/>
    <s v="Video"/>
    <s v="#ShotOniPhone"/>
    <n v="8371"/>
    <n v="960"/>
    <n v="548"/>
    <n v="2936"/>
    <n v="82543"/>
    <n v="119973"/>
    <x v="4"/>
    <n v="8.2343527293641069E-2"/>
    <x v="4"/>
  </r>
  <r>
    <s v="A117"/>
    <x v="3"/>
    <d v="2024-11-04T00:00:00"/>
    <s v="Image"/>
    <s v="#AppleEvent"/>
    <n v="14015"/>
    <n v="978"/>
    <n v="196"/>
    <n v="2744"/>
    <n v="20190"/>
    <n v="186470"/>
    <x v="3"/>
    <n v="8.1455462004611998E-2"/>
    <x v="3"/>
  </r>
  <r>
    <s v="A117"/>
    <x v="3"/>
    <d v="2024-11-04T00:00:00"/>
    <s v="Image"/>
    <s v="#iPhone16"/>
    <n v="14015"/>
    <n v="978"/>
    <n v="196"/>
    <n v="2744"/>
    <n v="20190"/>
    <n v="186470"/>
    <x v="3"/>
    <n v="8.1455462004611998E-2"/>
    <x v="3"/>
  </r>
  <r>
    <s v="A176"/>
    <x v="2"/>
    <d v="2025-10-09T00:00:00"/>
    <s v="Carousel"/>
    <s v="#AppleDesign"/>
    <n v="18748"/>
    <n v="634"/>
    <n v="400"/>
    <n v="1667"/>
    <n v="75813"/>
    <n v="244456"/>
    <x v="4"/>
    <n v="8.0922538207284747E-2"/>
    <x v="4"/>
  </r>
  <r>
    <s v="A176"/>
    <x v="2"/>
    <d v="2025-10-09T00:00:00"/>
    <s v="Carousel"/>
    <s v="#Innovation"/>
    <n v="18748"/>
    <n v="634"/>
    <n v="400"/>
    <n v="1667"/>
    <n v="75813"/>
    <n v="244456"/>
    <x v="4"/>
    <n v="8.0922538207284747E-2"/>
    <x v="4"/>
  </r>
  <r>
    <s v="A175"/>
    <x v="0"/>
    <d v="2025-10-08T00:00:00"/>
    <s v="Tweet"/>
    <s v="#AppleEvent"/>
    <n v="17745"/>
    <n v="414"/>
    <n v="563"/>
    <n v="2733"/>
    <n v="995"/>
    <n v="231648"/>
    <x v="4"/>
    <n v="8.0820900676889074E-2"/>
    <x v="4"/>
  </r>
  <r>
    <s v="A175"/>
    <x v="0"/>
    <d v="2025-10-08T00:00:00"/>
    <s v="Tweet"/>
    <s v="#iPhone16"/>
    <n v="17745"/>
    <n v="414"/>
    <n v="563"/>
    <n v="2733"/>
    <n v="995"/>
    <n v="231648"/>
    <x v="4"/>
    <n v="8.0820900676889074E-2"/>
    <x v="4"/>
  </r>
  <r>
    <s v="A212"/>
    <x v="1"/>
    <d v="2025-03-03T00:00:00"/>
    <s v="Video"/>
    <s v="#AppleWatchUltra2"/>
    <n v="9561"/>
    <n v="642"/>
    <n v="581"/>
    <n v="2572"/>
    <n v="38552"/>
    <n v="133680"/>
    <x v="0"/>
    <n v="8.0670257330939563E-2"/>
    <x v="0"/>
  </r>
  <r>
    <s v="A212"/>
    <x v="1"/>
    <d v="2025-03-03T00:00:00"/>
    <s v="Video"/>
    <s v="#HealthTech"/>
    <n v="9561"/>
    <n v="642"/>
    <n v="581"/>
    <n v="2572"/>
    <n v="38552"/>
    <n v="133680"/>
    <x v="0"/>
    <n v="8.0670257330939563E-2"/>
    <x v="0"/>
  </r>
  <r>
    <s v="A172"/>
    <x v="3"/>
    <d v="2024-08-14T00:00:00"/>
    <s v="Carousel"/>
    <s v="#Sustainability"/>
    <n v="10150"/>
    <n v="526"/>
    <n v="888"/>
    <n v="1313"/>
    <n v="51605"/>
    <n v="143409"/>
    <x v="0"/>
    <n v="8.0636501195880311E-2"/>
    <x v="0"/>
  </r>
  <r>
    <s v="A172"/>
    <x v="3"/>
    <d v="2024-08-14T00:00:00"/>
    <s v="Carousel"/>
    <s v="#AppleEarth"/>
    <n v="10150"/>
    <n v="526"/>
    <n v="888"/>
    <n v="1313"/>
    <n v="51605"/>
    <n v="143409"/>
    <x v="0"/>
    <n v="8.0636501195880311E-2"/>
    <x v="0"/>
  </r>
  <r>
    <s v="A191"/>
    <x v="1"/>
    <d v="2025-10-14T00:00:00"/>
    <s v="Carousel"/>
    <s v="#iPhonePhotography"/>
    <n v="9673"/>
    <n v="393"/>
    <n v="846"/>
    <n v="1028"/>
    <n v="55556"/>
    <n v="136652"/>
    <x v="4"/>
    <n v="7.9852471972601938E-2"/>
    <x v="4"/>
  </r>
  <r>
    <s v="A191"/>
    <x v="1"/>
    <d v="2025-10-14T00:00:00"/>
    <s v="Carousel"/>
    <s v="#ShotOniPhone"/>
    <n v="9673"/>
    <n v="393"/>
    <n v="846"/>
    <n v="1028"/>
    <n v="55556"/>
    <n v="136652"/>
    <x v="4"/>
    <n v="7.9852471972601938E-2"/>
    <x v="4"/>
  </r>
  <r>
    <s v="A227"/>
    <x v="3"/>
    <d v="2024-06-12T00:00:00"/>
    <s v="Tweet"/>
    <s v="#MacBookAirM3"/>
    <n v="17679"/>
    <n v="690"/>
    <n v="451"/>
    <n v="2195"/>
    <n v="4390"/>
    <n v="235804"/>
    <x v="2"/>
    <n v="7.9812047293514959E-2"/>
    <x v="2"/>
  </r>
  <r>
    <s v="A227"/>
    <x v="3"/>
    <d v="2024-06-12T00:00:00"/>
    <s v="Tweet"/>
    <s v="#AppleInnovation"/>
    <n v="17679"/>
    <n v="690"/>
    <n v="451"/>
    <n v="2195"/>
    <n v="4390"/>
    <n v="235804"/>
    <x v="2"/>
    <n v="7.9812047293514959E-2"/>
    <x v="2"/>
  </r>
  <r>
    <s v="A267"/>
    <x v="0"/>
    <d v="2024-10-04T00:00:00"/>
    <s v="Video"/>
    <s v="#AppleEvent"/>
    <n v="15746"/>
    <n v="258"/>
    <n v="839"/>
    <n v="2656"/>
    <n v="66614"/>
    <n v="213724"/>
    <x v="3"/>
    <n v="7.8807246729426739E-2"/>
    <x v="3"/>
  </r>
  <r>
    <s v="A267"/>
    <x v="0"/>
    <d v="2024-10-04T00:00:00"/>
    <s v="Video"/>
    <s v="#iPhone16"/>
    <n v="15746"/>
    <n v="258"/>
    <n v="839"/>
    <n v="2656"/>
    <n v="66614"/>
    <n v="213724"/>
    <x v="3"/>
    <n v="7.8807246729426739E-2"/>
    <x v="3"/>
  </r>
  <r>
    <s v="A59"/>
    <x v="1"/>
    <d v="2024-06-22T00:00:00"/>
    <s v="Image"/>
    <s v="#AppleWatch"/>
    <n v="16430"/>
    <n v="488"/>
    <n v="514"/>
    <n v="1436"/>
    <n v="30059"/>
    <n v="223305"/>
    <x v="1"/>
    <n v="7.8063634938760881E-2"/>
    <x v="1"/>
  </r>
  <r>
    <s v="A59"/>
    <x v="1"/>
    <d v="2024-06-22T00:00:00"/>
    <s v="Image"/>
    <s v="#Health"/>
    <n v="16430"/>
    <n v="488"/>
    <n v="514"/>
    <n v="1436"/>
    <n v="30059"/>
    <n v="223305"/>
    <x v="1"/>
    <n v="7.8063634938760881E-2"/>
    <x v="1"/>
  </r>
  <r>
    <s v="A124"/>
    <x v="1"/>
    <d v="2025-04-06T00:00:00"/>
    <s v="Tweet"/>
    <s v="#iPhonePhotography"/>
    <n v="8238"/>
    <n v="766"/>
    <n v="235"/>
    <n v="1273"/>
    <n v="4706"/>
    <n v="119141"/>
    <x v="1"/>
    <n v="7.7546772311798629E-2"/>
    <x v="1"/>
  </r>
  <r>
    <s v="A124"/>
    <x v="1"/>
    <d v="2025-04-06T00:00:00"/>
    <s v="Tweet"/>
    <s v="#ShotOniPhone"/>
    <n v="8238"/>
    <n v="766"/>
    <n v="235"/>
    <n v="1273"/>
    <n v="4706"/>
    <n v="119141"/>
    <x v="1"/>
    <n v="7.7546772311798629E-2"/>
    <x v="1"/>
  </r>
  <r>
    <s v="A101"/>
    <x v="1"/>
    <d v="2024-10-18T00:00:00"/>
    <s v="Carousel"/>
    <s v="#MacBookAirM3"/>
    <n v="6892"/>
    <n v="1184"/>
    <n v="925"/>
    <n v="1062"/>
    <n v="75008"/>
    <n v="116260"/>
    <x v="2"/>
    <n v="7.7421297092723204E-2"/>
    <x v="2"/>
  </r>
  <r>
    <s v="A101"/>
    <x v="1"/>
    <d v="2024-10-18T00:00:00"/>
    <s v="Carousel"/>
    <s v="#AppleInnovation"/>
    <n v="6892"/>
    <n v="1184"/>
    <n v="925"/>
    <n v="1062"/>
    <n v="75008"/>
    <n v="116260"/>
    <x v="2"/>
    <n v="7.7421297092723204E-2"/>
    <x v="2"/>
  </r>
  <r>
    <s v="A278"/>
    <x v="2"/>
    <d v="2024-11-26T00:00:00"/>
    <s v="Video"/>
    <s v="#AppleMusic"/>
    <n v="14607"/>
    <n v="1458"/>
    <n v="478"/>
    <n v="334"/>
    <n v="49257"/>
    <n v="214668"/>
    <x v="1"/>
    <n v="7.7063185942944451E-2"/>
    <x v="1"/>
  </r>
  <r>
    <s v="A278"/>
    <x v="2"/>
    <d v="2024-11-26T00:00:00"/>
    <s v="Video"/>
    <s v="#AppleLifestyle"/>
    <n v="14607"/>
    <n v="1458"/>
    <n v="478"/>
    <n v="334"/>
    <n v="49257"/>
    <n v="214668"/>
    <x v="1"/>
    <n v="7.7063185942944451E-2"/>
    <x v="1"/>
  </r>
  <r>
    <s v="A11"/>
    <x v="1"/>
    <d v="2025-02-02T00:00:00"/>
    <s v="Carousel"/>
    <s v="#AppleEvent"/>
    <n v="12136"/>
    <n v="1117"/>
    <n v="834"/>
    <n v="892"/>
    <n v="24675"/>
    <n v="183273"/>
    <x v="3"/>
    <n v="7.6863476889667326E-2"/>
    <x v="3"/>
  </r>
  <r>
    <s v="A11"/>
    <x v="1"/>
    <d v="2025-02-02T00:00:00"/>
    <s v="Carousel"/>
    <s v="#iPadPro"/>
    <n v="12136"/>
    <n v="1117"/>
    <n v="834"/>
    <n v="892"/>
    <n v="24675"/>
    <n v="183273"/>
    <x v="3"/>
    <n v="7.6863476889667326E-2"/>
    <x v="3"/>
  </r>
  <r>
    <s v="A277"/>
    <x v="3"/>
    <d v="2025-04-06T00:00:00"/>
    <s v="Image"/>
    <s v="#MacBookProM3"/>
    <n v="14941"/>
    <n v="1424"/>
    <n v="238"/>
    <n v="1054"/>
    <n v="20516"/>
    <n v="216048"/>
    <x v="2"/>
    <n v="7.6848663260016298E-2"/>
    <x v="2"/>
  </r>
  <r>
    <s v="A116"/>
    <x v="0"/>
    <d v="2025-03-18T00:00:00"/>
    <s v="Image"/>
    <s v="#AppleWatch"/>
    <n v="5818"/>
    <n v="1252"/>
    <n v="687"/>
    <n v="2300"/>
    <n v="25081"/>
    <n v="101212"/>
    <x v="2"/>
    <n v="7.6641109749832043E-2"/>
    <x v="2"/>
  </r>
  <r>
    <s v="A116"/>
    <x v="0"/>
    <d v="2025-03-18T00:00:00"/>
    <s v="Image"/>
    <s v="#Health"/>
    <n v="5818"/>
    <n v="1252"/>
    <n v="687"/>
    <n v="2300"/>
    <n v="25081"/>
    <n v="101212"/>
    <x v="2"/>
    <n v="7.6641109749832043E-2"/>
    <x v="2"/>
  </r>
  <r>
    <s v="A112"/>
    <x v="1"/>
    <d v="2024-10-05T00:00:00"/>
    <s v="Carousel"/>
    <s v="#MacBookAirM3"/>
    <n v="16388"/>
    <n v="1208"/>
    <n v="417"/>
    <n v="2306"/>
    <n v="16865"/>
    <n v="236733"/>
    <x v="0"/>
    <n v="7.6089940988370866E-2"/>
    <x v="0"/>
  </r>
  <r>
    <s v="A112"/>
    <x v="1"/>
    <d v="2024-10-05T00:00:00"/>
    <s v="Carousel"/>
    <s v="#AppleInnovation"/>
    <n v="16388"/>
    <n v="1208"/>
    <n v="417"/>
    <n v="2306"/>
    <n v="16865"/>
    <n v="236733"/>
    <x v="0"/>
    <n v="7.6089940988370866E-2"/>
    <x v="0"/>
  </r>
  <r>
    <s v="A211"/>
    <x v="1"/>
    <d v="2025-09-24T00:00:00"/>
    <s v="Image"/>
    <s v="#MacBookProM3"/>
    <n v="11795"/>
    <n v="958"/>
    <n v="814"/>
    <n v="301"/>
    <n v="12564"/>
    <n v="179999"/>
    <x v="4"/>
    <n v="7.5372640959116444E-2"/>
    <x v="4"/>
  </r>
  <r>
    <s v="A233"/>
    <x v="0"/>
    <d v="2025-03-08T00:00:00"/>
    <s v="Image"/>
    <s v="#AppleWatchUltra2"/>
    <n v="5812"/>
    <n v="934"/>
    <n v="302"/>
    <n v="2356"/>
    <n v="37437"/>
    <n v="93551"/>
    <x v="0"/>
    <n v="7.5338585370546551E-2"/>
    <x v="0"/>
  </r>
  <r>
    <s v="A233"/>
    <x v="0"/>
    <d v="2025-03-08T00:00:00"/>
    <s v="Image"/>
    <s v="#HealthTech"/>
    <n v="5812"/>
    <n v="934"/>
    <n v="302"/>
    <n v="2356"/>
    <n v="37437"/>
    <n v="93551"/>
    <x v="0"/>
    <n v="7.5338585370546551E-2"/>
    <x v="0"/>
  </r>
  <r>
    <s v="A239"/>
    <x v="1"/>
    <d v="2025-09-10T00:00:00"/>
    <s v="Image"/>
    <s v="#MacBookAirM3"/>
    <n v="13613"/>
    <n v="350"/>
    <n v="809"/>
    <n v="2013"/>
    <n v="20471"/>
    <n v="198038"/>
    <x v="4"/>
    <n v="7.4591745018632791E-2"/>
    <x v="4"/>
  </r>
  <r>
    <s v="A239"/>
    <x v="1"/>
    <d v="2025-09-10T00:00:00"/>
    <s v="Image"/>
    <s v="#AppleInnovation"/>
    <n v="13613"/>
    <n v="350"/>
    <n v="809"/>
    <n v="2013"/>
    <n v="20471"/>
    <n v="198038"/>
    <x v="4"/>
    <n v="7.4591745018632791E-2"/>
    <x v="4"/>
  </r>
  <r>
    <s v="A17"/>
    <x v="0"/>
    <d v="2025-05-05T00:00:00"/>
    <s v="Tweet"/>
    <s v="#AppleEvent"/>
    <n v="10415"/>
    <n v="1388"/>
    <n v="725"/>
    <n v="2462"/>
    <n v="53082"/>
    <n v="168267"/>
    <x v="2"/>
    <n v="7.4453101321114656E-2"/>
    <x v="2"/>
  </r>
  <r>
    <s v="A17"/>
    <x v="0"/>
    <d v="2025-05-05T00:00:00"/>
    <s v="Tweet"/>
    <s v="#iPhone16"/>
    <n v="10415"/>
    <n v="1388"/>
    <n v="725"/>
    <n v="2462"/>
    <n v="53082"/>
    <n v="168267"/>
    <x v="2"/>
    <n v="7.4453101321114656E-2"/>
    <x v="2"/>
  </r>
  <r>
    <s v="A252"/>
    <x v="3"/>
    <d v="2025-04-28T00:00:00"/>
    <s v="Carousel"/>
    <s v="#AppleEvent"/>
    <n v="10659"/>
    <n v="1342"/>
    <n v="408"/>
    <n v="709"/>
    <n v="16309"/>
    <n v="168803"/>
    <x v="3"/>
    <n v="7.3511726687321907E-2"/>
    <x v="3"/>
  </r>
  <r>
    <s v="A252"/>
    <x v="3"/>
    <d v="2025-04-28T00:00:00"/>
    <s v="Carousel"/>
    <s v="#iPhone16"/>
    <n v="10659"/>
    <n v="1342"/>
    <n v="408"/>
    <n v="709"/>
    <n v="16309"/>
    <n v="168803"/>
    <x v="3"/>
    <n v="7.3511726687321907E-2"/>
    <x v="3"/>
  </r>
  <r>
    <s v="A209"/>
    <x v="2"/>
    <d v="2025-03-19T00:00:00"/>
    <s v="Carousel"/>
    <s v="#AppleEvent"/>
    <n v="13475"/>
    <n v="1032"/>
    <n v="295"/>
    <n v="541"/>
    <n v="43666"/>
    <n v="202396"/>
    <x v="2"/>
    <n v="7.3133856400324118E-2"/>
    <x v="2"/>
  </r>
  <r>
    <s v="A209"/>
    <x v="2"/>
    <d v="2025-03-19T00:00:00"/>
    <s v="Carousel"/>
    <s v="#iPadPro"/>
    <n v="13475"/>
    <n v="1032"/>
    <n v="295"/>
    <n v="541"/>
    <n v="43666"/>
    <n v="202396"/>
    <x v="2"/>
    <n v="7.3133856400324118E-2"/>
    <x v="2"/>
  </r>
  <r>
    <s v="A18"/>
    <x v="0"/>
    <d v="2024-08-19T00:00:00"/>
    <s v="Image"/>
    <s v="#AppleWatch"/>
    <n v="15550"/>
    <n v="204"/>
    <n v="279"/>
    <n v="1646"/>
    <n v="35819"/>
    <n v="219436"/>
    <x v="0"/>
    <n v="7.306458375107093E-2"/>
    <x v="0"/>
  </r>
  <r>
    <s v="A18"/>
    <x v="0"/>
    <d v="2024-08-19T00:00:00"/>
    <s v="Image"/>
    <s v="#Health"/>
    <n v="15550"/>
    <n v="204"/>
    <n v="279"/>
    <n v="1646"/>
    <n v="35819"/>
    <n v="219436"/>
    <x v="0"/>
    <n v="7.306458375107093E-2"/>
    <x v="0"/>
  </r>
  <r>
    <s v="A229"/>
    <x v="3"/>
    <d v="2024-07-03T00:00:00"/>
    <s v="Video"/>
    <s v="#MacBookAirM3"/>
    <n v="12167"/>
    <n v="364"/>
    <n v="160"/>
    <n v="616"/>
    <n v="42228"/>
    <n v="175832"/>
    <x v="3"/>
    <n v="7.2176850630146963E-2"/>
    <x v="3"/>
  </r>
  <r>
    <s v="A229"/>
    <x v="3"/>
    <d v="2024-07-03T00:00:00"/>
    <s v="Video"/>
    <s v="#AppleInnovation"/>
    <n v="12167"/>
    <n v="364"/>
    <n v="160"/>
    <n v="616"/>
    <n v="42228"/>
    <n v="175832"/>
    <x v="3"/>
    <n v="7.2176850630146963E-2"/>
    <x v="3"/>
  </r>
  <r>
    <s v="A89"/>
    <x v="0"/>
    <d v="2025-09-23T00:00:00"/>
    <s v="Image"/>
    <s v="#Sustainability"/>
    <n v="10017"/>
    <n v="1357"/>
    <n v="966"/>
    <n v="2871"/>
    <n v="14800"/>
    <n v="171691"/>
    <x v="4"/>
    <n v="7.1873307278774071E-2"/>
    <x v="4"/>
  </r>
  <r>
    <s v="A89"/>
    <x v="0"/>
    <d v="2025-09-23T00:00:00"/>
    <s v="Image"/>
    <s v="#AppleEarth"/>
    <n v="10017"/>
    <n v="1357"/>
    <n v="966"/>
    <n v="2871"/>
    <n v="14800"/>
    <n v="171691"/>
    <x v="4"/>
    <n v="7.1873307278774071E-2"/>
    <x v="4"/>
  </r>
  <r>
    <s v="A177"/>
    <x v="1"/>
    <d v="2024-07-10T00:00:00"/>
    <s v="Image"/>
    <s v="#iPhonePhotography"/>
    <n v="8809"/>
    <n v="1151"/>
    <n v="908"/>
    <n v="883"/>
    <n v="42921"/>
    <n v="151279"/>
    <x v="2"/>
    <n v="7.1840771025720687E-2"/>
    <x v="2"/>
  </r>
  <r>
    <s v="A177"/>
    <x v="1"/>
    <d v="2024-07-10T00:00:00"/>
    <s v="Image"/>
    <s v="#ShotOniPhone"/>
    <n v="8809"/>
    <n v="1151"/>
    <n v="908"/>
    <n v="883"/>
    <n v="42921"/>
    <n v="151279"/>
    <x v="2"/>
    <n v="7.1840771025720687E-2"/>
    <x v="2"/>
  </r>
  <r>
    <s v="A192"/>
    <x v="1"/>
    <d v="2025-10-15T00:00:00"/>
    <s v="Image"/>
    <s v="#AppleWatch"/>
    <n v="8882"/>
    <n v="701"/>
    <n v="421"/>
    <n v="2343"/>
    <n v="13588"/>
    <n v="139304"/>
    <x v="4"/>
    <n v="7.1814161833113191E-2"/>
    <x v="4"/>
  </r>
  <r>
    <s v="A192"/>
    <x v="1"/>
    <d v="2025-10-15T00:00:00"/>
    <s v="Image"/>
    <s v="#Health"/>
    <n v="8882"/>
    <n v="701"/>
    <n v="421"/>
    <n v="2343"/>
    <n v="13588"/>
    <n v="139304"/>
    <x v="4"/>
    <n v="7.1814161833113191E-2"/>
    <x v="4"/>
  </r>
  <r>
    <s v="A115"/>
    <x v="1"/>
    <d v="2025-09-30T00:00:00"/>
    <s v="Tweet"/>
    <s v="#AppleWatchUltra2"/>
    <n v="8269"/>
    <n v="250"/>
    <n v="638"/>
    <n v="815"/>
    <n v="41991"/>
    <n v="129393"/>
    <x v="4"/>
    <n v="7.0768897853825175E-2"/>
    <x v="4"/>
  </r>
  <r>
    <s v="A115"/>
    <x v="1"/>
    <d v="2025-09-30T00:00:00"/>
    <s v="Tweet"/>
    <s v="#HealthTech"/>
    <n v="8269"/>
    <n v="250"/>
    <n v="638"/>
    <n v="815"/>
    <n v="41991"/>
    <n v="129393"/>
    <x v="4"/>
    <n v="7.0768897853825175E-2"/>
    <x v="4"/>
  </r>
  <r>
    <s v="A257"/>
    <x v="1"/>
    <d v="2025-04-06T00:00:00"/>
    <s v="Carousel"/>
    <s v="#AppleEvent"/>
    <n v="15917"/>
    <n v="1479"/>
    <n v="196"/>
    <n v="313"/>
    <n v="48524"/>
    <n v="249684"/>
    <x v="1"/>
    <n v="7.0457057720959296E-2"/>
    <x v="1"/>
  </r>
  <r>
    <s v="A257"/>
    <x v="1"/>
    <d v="2025-04-06T00:00:00"/>
    <s v="Carousel"/>
    <s v="#iPhone16"/>
    <n v="15917"/>
    <n v="1479"/>
    <n v="196"/>
    <n v="313"/>
    <n v="48524"/>
    <n v="249684"/>
    <x v="1"/>
    <n v="7.0457057720959296E-2"/>
    <x v="1"/>
  </r>
  <r>
    <s v="A291"/>
    <x v="3"/>
    <d v="2024-11-06T00:00:00"/>
    <s v="Image"/>
    <s v="#AppleMusic"/>
    <n v="11865"/>
    <n v="241"/>
    <n v="319"/>
    <n v="703"/>
    <n v="69596"/>
    <n v="177513"/>
    <x v="1"/>
    <n v="6.999487361489018E-2"/>
    <x v="1"/>
  </r>
  <r>
    <s v="A291"/>
    <x v="3"/>
    <d v="2024-11-06T00:00:00"/>
    <s v="Image"/>
    <s v="#AppleLifestyle"/>
    <n v="11865"/>
    <n v="241"/>
    <n v="319"/>
    <n v="703"/>
    <n v="69596"/>
    <n v="177513"/>
    <x v="1"/>
    <n v="6.999487361489018E-2"/>
    <x v="1"/>
  </r>
  <r>
    <s v="A299"/>
    <x v="3"/>
    <d v="2025-09-25T00:00:00"/>
    <s v="Carousel"/>
    <s v="#iPhonePhotography"/>
    <n v="12568"/>
    <n v="541"/>
    <n v="273"/>
    <n v="2767"/>
    <n v="22331"/>
    <n v="192747"/>
    <x v="4"/>
    <n v="6.9427799135654514E-2"/>
    <x v="4"/>
  </r>
  <r>
    <s v="A299"/>
    <x v="3"/>
    <d v="2025-09-25T00:00:00"/>
    <s v="Carousel"/>
    <s v="#ShotOniPhone"/>
    <n v="12568"/>
    <n v="541"/>
    <n v="273"/>
    <n v="2767"/>
    <n v="22331"/>
    <n v="192747"/>
    <x v="4"/>
    <n v="6.9427799135654514E-2"/>
    <x v="4"/>
  </r>
  <r>
    <s v="A45"/>
    <x v="0"/>
    <d v="2025-09-17T00:00:00"/>
    <s v="Tweet"/>
    <s v="#AppleMusic"/>
    <n v="15456"/>
    <n v="590"/>
    <n v="555"/>
    <n v="2882"/>
    <n v="49816"/>
    <n v="240422"/>
    <x v="4"/>
    <n v="6.9049421433978589E-2"/>
    <x v="4"/>
  </r>
  <r>
    <s v="A45"/>
    <x v="0"/>
    <d v="2025-09-17T00:00:00"/>
    <s v="Tweet"/>
    <s v="#AppleLifestyle"/>
    <n v="15456"/>
    <n v="590"/>
    <n v="555"/>
    <n v="2882"/>
    <n v="49816"/>
    <n v="240422"/>
    <x v="4"/>
    <n v="6.9049421433978589E-2"/>
    <x v="4"/>
  </r>
  <r>
    <s v="A37"/>
    <x v="0"/>
    <d v="2025-01-06T00:00:00"/>
    <s v="Image"/>
    <s v="#AppleDesign"/>
    <n v="11860"/>
    <n v="1448"/>
    <n v="893"/>
    <n v="490"/>
    <n v="23518"/>
    <n v="206205"/>
    <x v="0"/>
    <n v="6.8868359157149436E-2"/>
    <x v="0"/>
  </r>
  <r>
    <s v="A37"/>
    <x v="0"/>
    <d v="2025-01-06T00:00:00"/>
    <s v="Image"/>
    <s v="#Innovation"/>
    <n v="11860"/>
    <n v="1448"/>
    <n v="893"/>
    <n v="490"/>
    <n v="23518"/>
    <n v="206205"/>
    <x v="0"/>
    <n v="6.8868359157149436E-2"/>
    <x v="0"/>
  </r>
  <r>
    <s v="A162"/>
    <x v="3"/>
    <d v="2025-04-01T00:00:00"/>
    <s v="Image"/>
    <s v="#AppleMusic"/>
    <n v="6432"/>
    <n v="1272"/>
    <n v="498"/>
    <n v="677"/>
    <n v="47305"/>
    <n v="119134"/>
    <x v="0"/>
    <n v="6.8846844729464299E-2"/>
    <x v="0"/>
  </r>
  <r>
    <s v="A162"/>
    <x v="3"/>
    <d v="2025-04-01T00:00:00"/>
    <s v="Image"/>
    <s v="#AppleLifestyle"/>
    <n v="6432"/>
    <n v="1272"/>
    <n v="498"/>
    <n v="677"/>
    <n v="47305"/>
    <n v="119134"/>
    <x v="0"/>
    <n v="6.8846844729464299E-2"/>
    <x v="0"/>
  </r>
  <r>
    <s v="A279"/>
    <x v="3"/>
    <d v="2024-09-02T00:00:00"/>
    <s v="Video"/>
    <s v="#AppleEvent"/>
    <n v="11765"/>
    <n v="693"/>
    <n v="729"/>
    <n v="744"/>
    <n v="97772"/>
    <n v="194243"/>
    <x v="0"/>
    <n v="6.7889190344053579E-2"/>
    <x v="0"/>
  </r>
  <r>
    <s v="A279"/>
    <x v="3"/>
    <d v="2024-09-02T00:00:00"/>
    <s v="Video"/>
    <s v="#iPadPro"/>
    <n v="11765"/>
    <n v="693"/>
    <n v="729"/>
    <n v="744"/>
    <n v="97772"/>
    <n v="194243"/>
    <x v="0"/>
    <n v="6.7889190344053579E-2"/>
    <x v="0"/>
  </r>
  <r>
    <s v="A241"/>
    <x v="2"/>
    <d v="2025-01-18T00:00:00"/>
    <s v="Tweet"/>
    <s v="#iPhonePhotography"/>
    <n v="12589"/>
    <n v="346"/>
    <n v="459"/>
    <n v="1407"/>
    <n v="29254"/>
    <n v="198059"/>
    <x v="3"/>
    <n v="6.7626313371268162E-2"/>
    <x v="3"/>
  </r>
  <r>
    <s v="A241"/>
    <x v="2"/>
    <d v="2025-01-18T00:00:00"/>
    <s v="Tweet"/>
    <s v="#ShotOniPhone"/>
    <n v="12589"/>
    <n v="346"/>
    <n v="459"/>
    <n v="1407"/>
    <n v="29254"/>
    <n v="198059"/>
    <x v="3"/>
    <n v="6.7626313371268162E-2"/>
    <x v="3"/>
  </r>
  <r>
    <s v="A111"/>
    <x v="0"/>
    <d v="2024-11-23T00:00:00"/>
    <s v="Tweet"/>
    <s v="#ShotOniPhone"/>
    <n v="9941"/>
    <n v="1329"/>
    <n v="238"/>
    <n v="869"/>
    <n v="40281"/>
    <n v="172311"/>
    <x v="3"/>
    <n v="6.6786217943137702E-2"/>
    <x v="3"/>
  </r>
  <r>
    <s v="A99"/>
    <x v="2"/>
    <d v="2024-07-02T00:00:00"/>
    <s v="Carousel"/>
    <s v="#AppleMusic"/>
    <n v="12320"/>
    <n v="1157"/>
    <n v="365"/>
    <n v="584"/>
    <n v="66634"/>
    <n v="210102"/>
    <x v="1"/>
    <n v="6.5882285746922925E-2"/>
    <x v="1"/>
  </r>
  <r>
    <s v="A99"/>
    <x v="2"/>
    <d v="2024-07-02T00:00:00"/>
    <s v="Carousel"/>
    <s v="#AppleLifestyle"/>
    <n v="12320"/>
    <n v="1157"/>
    <n v="365"/>
    <n v="584"/>
    <n v="66634"/>
    <n v="210102"/>
    <x v="1"/>
    <n v="6.5882285746922925E-2"/>
    <x v="1"/>
  </r>
  <r>
    <s v="A222"/>
    <x v="1"/>
    <d v="2024-10-08T00:00:00"/>
    <s v="Tweet"/>
    <s v="#MacBookProM3"/>
    <n v="8738"/>
    <n v="295"/>
    <n v="529"/>
    <n v="442"/>
    <n v="25286"/>
    <n v="147522"/>
    <x v="1"/>
    <n v="6.4817450956467515E-2"/>
    <x v="1"/>
  </r>
  <r>
    <s v="A54"/>
    <x v="0"/>
    <d v="2025-03-13T00:00:00"/>
    <s v="Carousel"/>
    <s v="#AppleDesign"/>
    <n v="6544"/>
    <n v="749"/>
    <n v="888"/>
    <n v="594"/>
    <n v="18171"/>
    <n v="126475"/>
    <x v="3"/>
    <n v="6.4684720300454635E-2"/>
    <x v="3"/>
  </r>
  <r>
    <s v="A54"/>
    <x v="0"/>
    <d v="2025-03-13T00:00:00"/>
    <s v="Carousel"/>
    <s v="#Innovation"/>
    <n v="6544"/>
    <n v="749"/>
    <n v="888"/>
    <n v="594"/>
    <n v="18171"/>
    <n v="126475"/>
    <x v="3"/>
    <n v="6.4684720300454635E-2"/>
    <x v="3"/>
  </r>
  <r>
    <s v="A218"/>
    <x v="3"/>
    <d v="2024-06-11T00:00:00"/>
    <s v="Video"/>
    <s v="#MacBookProM3"/>
    <n v="14910"/>
    <n v="778"/>
    <n v="289"/>
    <n v="2541"/>
    <n v="14309"/>
    <n v="247815"/>
    <x v="3"/>
    <n v="6.4471480741682297E-2"/>
    <x v="3"/>
  </r>
  <r>
    <s v="A154"/>
    <x v="1"/>
    <d v="2024-10-09T00:00:00"/>
    <s v="Video"/>
    <s v="#iPhone16Launch"/>
    <n v="7240"/>
    <n v="1384"/>
    <n v="954"/>
    <n v="2335"/>
    <n v="6757"/>
    <n v="150448"/>
    <x v="3"/>
    <n v="6.3663192598106988E-2"/>
    <x v="3"/>
  </r>
  <r>
    <s v="A154"/>
    <x v="1"/>
    <d v="2024-10-09T00:00:00"/>
    <s v="Video"/>
    <s v="#AppleEvent"/>
    <n v="7240"/>
    <n v="1384"/>
    <n v="954"/>
    <n v="2335"/>
    <n v="6757"/>
    <n v="150448"/>
    <x v="3"/>
    <n v="6.3663192598106988E-2"/>
    <x v="3"/>
  </r>
  <r>
    <s v="A210"/>
    <x v="3"/>
    <d v="2025-02-19T00:00:00"/>
    <s v="Video"/>
    <s v="#iPhone16Launch"/>
    <n v="8168"/>
    <n v="512"/>
    <n v="442"/>
    <n v="2343"/>
    <n v="2753"/>
    <n v="143896"/>
    <x v="2"/>
    <n v="6.3393006059932172E-2"/>
    <x v="2"/>
  </r>
  <r>
    <s v="A210"/>
    <x v="3"/>
    <d v="2025-02-19T00:00:00"/>
    <s v="Video"/>
    <s v="#AppleEvent"/>
    <n v="8168"/>
    <n v="512"/>
    <n v="442"/>
    <n v="2343"/>
    <n v="2753"/>
    <n v="143896"/>
    <x v="2"/>
    <n v="6.3393006059932172E-2"/>
    <x v="2"/>
  </r>
  <r>
    <s v="A149"/>
    <x v="3"/>
    <d v="2024-06-16T00:00:00"/>
    <s v="Tweet"/>
    <s v="#AppleWatchUltra2"/>
    <n v="12160"/>
    <n v="1405"/>
    <n v="769"/>
    <n v="1980"/>
    <n v="33174"/>
    <n v="226481"/>
    <x v="0"/>
    <n v="6.329007731332871E-2"/>
    <x v="0"/>
  </r>
  <r>
    <s v="A149"/>
    <x v="3"/>
    <d v="2024-06-16T00:00:00"/>
    <s v="Tweet"/>
    <s v="#HealthTech"/>
    <n v="12160"/>
    <n v="1405"/>
    <n v="769"/>
    <n v="1980"/>
    <n v="33174"/>
    <n v="226481"/>
    <x v="0"/>
    <n v="6.329007731332871E-2"/>
    <x v="0"/>
  </r>
  <r>
    <s v="A295"/>
    <x v="2"/>
    <d v="2025-05-06T00:00:00"/>
    <s v="Carousel"/>
    <s v="#AppleWatchUltra2"/>
    <n v="7287"/>
    <n v="1240"/>
    <n v="686"/>
    <n v="1255"/>
    <n v="15403"/>
    <n v="147971"/>
    <x v="0"/>
    <n v="6.2262200025680704E-2"/>
    <x v="0"/>
  </r>
  <r>
    <s v="A295"/>
    <x v="2"/>
    <d v="2025-05-06T00:00:00"/>
    <s v="Carousel"/>
    <s v="#HealthTech"/>
    <n v="7287"/>
    <n v="1240"/>
    <n v="686"/>
    <n v="1255"/>
    <n v="15403"/>
    <n v="147971"/>
    <x v="0"/>
    <n v="6.2262200025680704E-2"/>
    <x v="0"/>
  </r>
  <r>
    <s v="A85"/>
    <x v="1"/>
    <d v="2025-04-19T00:00:00"/>
    <s v="Image"/>
    <s v="#AppleMusic"/>
    <n v="8881"/>
    <n v="210"/>
    <n v="673"/>
    <n v="1565"/>
    <n v="24847"/>
    <n v="156891"/>
    <x v="3"/>
    <n v="6.223429004850501E-2"/>
    <x v="3"/>
  </r>
  <r>
    <s v="A85"/>
    <x v="1"/>
    <d v="2025-04-19T00:00:00"/>
    <s v="Image"/>
    <s v="#AppleLifestyle"/>
    <n v="8881"/>
    <n v="210"/>
    <n v="673"/>
    <n v="1565"/>
    <n v="24847"/>
    <n v="156891"/>
    <x v="3"/>
    <n v="6.223429004850501E-2"/>
    <x v="3"/>
  </r>
  <r>
    <s v="A156"/>
    <x v="2"/>
    <d v="2024-10-22T00:00:00"/>
    <s v="Tweet"/>
    <s v="#AppleMusic"/>
    <n v="12478"/>
    <n v="484"/>
    <n v="332"/>
    <n v="2734"/>
    <n v="43338"/>
    <n v="213895"/>
    <x v="1"/>
    <n v="6.2151990462610156E-2"/>
    <x v="1"/>
  </r>
  <r>
    <s v="A156"/>
    <x v="2"/>
    <d v="2024-10-22T00:00:00"/>
    <s v="Tweet"/>
    <s v="#AppleLifestyle"/>
    <n v="12478"/>
    <n v="484"/>
    <n v="332"/>
    <n v="2734"/>
    <n v="43338"/>
    <n v="213895"/>
    <x v="1"/>
    <n v="6.2151990462610156E-2"/>
    <x v="1"/>
  </r>
  <r>
    <s v="A270"/>
    <x v="1"/>
    <d v="2025-01-15T00:00:00"/>
    <s v="Tweet"/>
    <s v="#MacBookAirM3"/>
    <n v="11333"/>
    <n v="920"/>
    <n v="294"/>
    <n v="606"/>
    <n v="59490"/>
    <n v="202082"/>
    <x v="3"/>
    <n v="6.2088657079799291E-2"/>
    <x v="3"/>
  </r>
  <r>
    <s v="A270"/>
    <x v="1"/>
    <d v="2025-01-15T00:00:00"/>
    <s v="Tweet"/>
    <s v="#AppleInnovation"/>
    <n v="11333"/>
    <n v="920"/>
    <n v="294"/>
    <n v="606"/>
    <n v="59490"/>
    <n v="202082"/>
    <x v="3"/>
    <n v="6.2088657079799291E-2"/>
    <x v="3"/>
  </r>
  <r>
    <s v="A169"/>
    <x v="1"/>
    <d v="2024-12-03T00:00:00"/>
    <s v="Image"/>
    <s v="#AppleMusic"/>
    <n v="2055"/>
    <n v="675"/>
    <n v="257"/>
    <n v="820"/>
    <n v="33534"/>
    <n v="48125"/>
    <x v="0"/>
    <n v="6.2067532467532466E-2"/>
    <x v="0"/>
  </r>
  <r>
    <s v="A169"/>
    <x v="1"/>
    <d v="2024-12-03T00:00:00"/>
    <s v="Image"/>
    <s v="#AppleLifestyle"/>
    <n v="2055"/>
    <n v="675"/>
    <n v="257"/>
    <n v="820"/>
    <n v="33534"/>
    <n v="48125"/>
    <x v="0"/>
    <n v="6.2067532467532466E-2"/>
    <x v="0"/>
  </r>
  <r>
    <s v="A81"/>
    <x v="1"/>
    <d v="2024-10-19T00:00:00"/>
    <s v="Carousel"/>
    <s v="#AppleEvent"/>
    <n v="6673"/>
    <n v="826"/>
    <n v="321"/>
    <n v="577"/>
    <n v="19262"/>
    <n v="132324"/>
    <x v="2"/>
    <n v="5.9097367068710133E-2"/>
    <x v="2"/>
  </r>
  <r>
    <s v="A81"/>
    <x v="1"/>
    <d v="2024-10-19T00:00:00"/>
    <s v="Carousel"/>
    <s v="#iPadPro"/>
    <n v="6673"/>
    <n v="826"/>
    <n v="321"/>
    <n v="577"/>
    <n v="19262"/>
    <n v="132324"/>
    <x v="2"/>
    <n v="5.9097367068710133E-2"/>
    <x v="2"/>
  </r>
  <r>
    <s v="A48"/>
    <x v="1"/>
    <d v="2025-03-11T00:00:00"/>
    <s v="Carousel"/>
    <s v="#AppleWatchUltra2"/>
    <n v="7997"/>
    <n v="1238"/>
    <n v="438"/>
    <n v="1874"/>
    <n v="36272"/>
    <n v="165818"/>
    <x v="2"/>
    <n v="5.8335042034037318E-2"/>
    <x v="2"/>
  </r>
  <r>
    <s v="A48"/>
    <x v="1"/>
    <d v="2025-03-11T00:00:00"/>
    <s v="Carousel"/>
    <s v="#HealthTech"/>
    <n v="7997"/>
    <n v="1238"/>
    <n v="438"/>
    <n v="1874"/>
    <n v="36272"/>
    <n v="165818"/>
    <x v="2"/>
    <n v="5.8335042034037318E-2"/>
    <x v="2"/>
  </r>
  <r>
    <s v="A15"/>
    <x v="0"/>
    <d v="2025-09-07T00:00:00"/>
    <s v="Tweet"/>
    <s v="#AppleDesign"/>
    <n v="3015"/>
    <n v="997"/>
    <n v="783"/>
    <n v="617"/>
    <n v="77167"/>
    <n v="82229"/>
    <x v="4"/>
    <n v="5.8312760704860814E-2"/>
    <x v="4"/>
  </r>
  <r>
    <s v="A15"/>
    <x v="0"/>
    <d v="2025-09-07T00:00:00"/>
    <s v="Tweet"/>
    <s v="#Innovation"/>
    <n v="3015"/>
    <n v="997"/>
    <n v="783"/>
    <n v="617"/>
    <n v="77167"/>
    <n v="82229"/>
    <x v="4"/>
    <n v="5.8312760704860814E-2"/>
    <x v="4"/>
  </r>
  <r>
    <s v="A288"/>
    <x v="3"/>
    <d v="2025-04-17T00:00:00"/>
    <s v="Tweet"/>
    <s v="#AppleWatch"/>
    <n v="2009"/>
    <n v="1037"/>
    <n v="344"/>
    <n v="2277"/>
    <n v="85743"/>
    <n v="58743"/>
    <x v="1"/>
    <n v="5.7709003625963942E-2"/>
    <x v="1"/>
  </r>
  <r>
    <s v="A288"/>
    <x v="3"/>
    <d v="2025-04-17T00:00:00"/>
    <s v="Tweet"/>
    <s v="#Health"/>
    <n v="2009"/>
    <n v="1037"/>
    <n v="344"/>
    <n v="2277"/>
    <n v="85743"/>
    <n v="58743"/>
    <x v="1"/>
    <n v="5.7709003625963942E-2"/>
    <x v="1"/>
  </r>
  <r>
    <s v="A32"/>
    <x v="3"/>
    <d v="2024-07-31T00:00:00"/>
    <s v="Image"/>
    <s v="#AppleEvent"/>
    <n v="2404"/>
    <n v="774"/>
    <n v="661"/>
    <n v="662"/>
    <n v="12676"/>
    <n v="66916"/>
    <x v="0"/>
    <n v="5.7370434574690654E-2"/>
    <x v="0"/>
  </r>
  <r>
    <s v="A32"/>
    <x v="3"/>
    <d v="2024-07-31T00:00:00"/>
    <s v="Image"/>
    <s v="#iPhone16"/>
    <n v="2404"/>
    <n v="774"/>
    <n v="661"/>
    <n v="662"/>
    <n v="12676"/>
    <n v="66916"/>
    <x v="0"/>
    <n v="5.7370434574690654E-2"/>
    <x v="0"/>
  </r>
  <r>
    <s v="A133"/>
    <x v="3"/>
    <d v="2025-02-06T00:00:00"/>
    <s v="Image"/>
    <s v="#AppleWatchUltra2"/>
    <n v="2666"/>
    <n v="1136"/>
    <n v="989"/>
    <n v="1710"/>
    <n v="36467"/>
    <n v="83753"/>
    <x v="3"/>
    <n v="5.7203921053574198E-2"/>
    <x v="3"/>
  </r>
  <r>
    <s v="A133"/>
    <x v="3"/>
    <d v="2025-02-06T00:00:00"/>
    <s v="Image"/>
    <s v="#HealthTech"/>
    <n v="2666"/>
    <n v="1136"/>
    <n v="989"/>
    <n v="1710"/>
    <n v="36467"/>
    <n v="83753"/>
    <x v="3"/>
    <n v="5.7203921053574198E-2"/>
    <x v="3"/>
  </r>
  <r>
    <s v="A28"/>
    <x v="2"/>
    <d v="2025-03-04T00:00:00"/>
    <s v="Tweet"/>
    <s v="#ShotOniPhone"/>
    <n v="12344"/>
    <n v="815"/>
    <n v="298"/>
    <n v="2439"/>
    <n v="6259"/>
    <n v="237133"/>
    <x v="1"/>
    <n v="5.6748744375519224E-2"/>
    <x v="1"/>
  </r>
  <r>
    <s v="A96"/>
    <x v="2"/>
    <d v="2024-09-10T00:00:00"/>
    <s v="Carousel"/>
    <s v="#AppleWatch"/>
    <n v="6637"/>
    <n v="595"/>
    <n v="161"/>
    <n v="2653"/>
    <n v="19334"/>
    <n v="131155"/>
    <x v="3"/>
    <n v="5.6368419046166747E-2"/>
    <x v="3"/>
  </r>
  <r>
    <s v="A96"/>
    <x v="2"/>
    <d v="2024-09-10T00:00:00"/>
    <s v="Carousel"/>
    <s v="#Health"/>
    <n v="6637"/>
    <n v="595"/>
    <n v="161"/>
    <n v="2653"/>
    <n v="19334"/>
    <n v="131155"/>
    <x v="3"/>
    <n v="5.6368419046166747E-2"/>
    <x v="3"/>
  </r>
  <r>
    <s v="A87"/>
    <x v="2"/>
    <d v="2024-06-06T00:00:00"/>
    <s v="Tweet"/>
    <s v="#iPhone16Launch"/>
    <n v="11521"/>
    <n v="1071"/>
    <n v="762"/>
    <n v="2539"/>
    <n v="12701"/>
    <n v="238350"/>
    <x v="3"/>
    <n v="5.6026851269142017E-2"/>
    <x v="3"/>
  </r>
  <r>
    <s v="A87"/>
    <x v="2"/>
    <d v="2024-06-06T00:00:00"/>
    <s v="Tweet"/>
    <s v="#AppleEvent"/>
    <n v="11521"/>
    <n v="1071"/>
    <n v="762"/>
    <n v="2539"/>
    <n v="12701"/>
    <n v="238350"/>
    <x v="3"/>
    <n v="5.6026851269142017E-2"/>
    <x v="3"/>
  </r>
  <r>
    <s v="A49"/>
    <x v="2"/>
    <d v="2025-09-18T00:00:00"/>
    <s v="Carousel"/>
    <s v="#AppleEvent"/>
    <n v="4048"/>
    <n v="677"/>
    <n v="911"/>
    <n v="2429"/>
    <n v="27361"/>
    <n v="101272"/>
    <x v="4"/>
    <n v="5.5652105221581483E-2"/>
    <x v="4"/>
  </r>
  <r>
    <s v="A49"/>
    <x v="2"/>
    <d v="2025-09-18T00:00:00"/>
    <s v="Carousel"/>
    <s v="#iPhone16"/>
    <n v="4048"/>
    <n v="677"/>
    <n v="911"/>
    <n v="2429"/>
    <n v="27361"/>
    <n v="101272"/>
    <x v="4"/>
    <n v="5.5652105221581483E-2"/>
    <x v="4"/>
  </r>
  <r>
    <s v="A20"/>
    <x v="1"/>
    <d v="2024-09-09T00:00:00"/>
    <s v="Video"/>
    <s v="#AppleDesign"/>
    <n v="6158"/>
    <n v="277"/>
    <n v="512"/>
    <n v="2189"/>
    <n v="76881"/>
    <n v="124878"/>
    <x v="1"/>
    <n v="5.563029516808405E-2"/>
    <x v="1"/>
  </r>
  <r>
    <s v="A20"/>
    <x v="1"/>
    <d v="2024-09-09T00:00:00"/>
    <s v="Video"/>
    <s v="#Innovation"/>
    <n v="6158"/>
    <n v="277"/>
    <n v="512"/>
    <n v="2189"/>
    <n v="76881"/>
    <n v="124878"/>
    <x v="1"/>
    <n v="5.563029516808405E-2"/>
    <x v="1"/>
  </r>
  <r>
    <s v="A102"/>
    <x v="2"/>
    <d v="2025-09-26T00:00:00"/>
    <s v="Carousel"/>
    <s v="#ShotOniPhone"/>
    <n v="9043"/>
    <n v="1192"/>
    <n v="810"/>
    <n v="1550"/>
    <n v="5221"/>
    <n v="199476"/>
    <x v="4"/>
    <n v="5.5370069582305642E-2"/>
    <x v="4"/>
  </r>
  <r>
    <s v="A69"/>
    <x v="0"/>
    <d v="2025-03-08T00:00:00"/>
    <s v="Tweet"/>
    <s v="#AppleWatch"/>
    <n v="10580"/>
    <n v="427"/>
    <n v="790"/>
    <n v="2814"/>
    <n v="24916"/>
    <n v="213312"/>
    <x v="2"/>
    <n v="5.530396789678968E-2"/>
    <x v="2"/>
  </r>
  <r>
    <s v="A69"/>
    <x v="0"/>
    <d v="2025-03-08T00:00:00"/>
    <s v="Tweet"/>
    <s v="#Health"/>
    <n v="10580"/>
    <n v="427"/>
    <n v="790"/>
    <n v="2814"/>
    <n v="24916"/>
    <n v="213312"/>
    <x v="2"/>
    <n v="5.530396789678968E-2"/>
    <x v="2"/>
  </r>
  <r>
    <s v="A120"/>
    <x v="3"/>
    <d v="2024-10-21T00:00:00"/>
    <s v="Video"/>
    <s v="#AppleEvent"/>
    <n v="8254"/>
    <n v="1405"/>
    <n v="165"/>
    <n v="2504"/>
    <n v="8081"/>
    <n v="177710"/>
    <x v="0"/>
    <n v="5.5281075910190762E-2"/>
    <x v="0"/>
  </r>
  <r>
    <s v="A120"/>
    <x v="3"/>
    <d v="2024-10-21T00:00:00"/>
    <s v="Video"/>
    <s v="#iPadPro"/>
    <n v="8254"/>
    <n v="1405"/>
    <n v="165"/>
    <n v="2504"/>
    <n v="8081"/>
    <n v="177710"/>
    <x v="0"/>
    <n v="5.5281075910190762E-2"/>
    <x v="0"/>
  </r>
  <r>
    <s v="A293"/>
    <x v="3"/>
    <d v="2025-05-14T00:00:00"/>
    <s v="Image"/>
    <s v="#AppleEvent"/>
    <n v="9041"/>
    <n v="1133"/>
    <n v="612"/>
    <n v="1687"/>
    <n v="28102"/>
    <n v="195683"/>
    <x v="1"/>
    <n v="5.5119760020032396E-2"/>
    <x v="1"/>
  </r>
  <r>
    <s v="A293"/>
    <x v="3"/>
    <d v="2025-05-14T00:00:00"/>
    <s v="Image"/>
    <s v="#iPhone16"/>
    <n v="9041"/>
    <n v="1133"/>
    <n v="612"/>
    <n v="1687"/>
    <n v="28102"/>
    <n v="195683"/>
    <x v="1"/>
    <n v="5.5119760020032396E-2"/>
    <x v="1"/>
  </r>
  <r>
    <s v="A113"/>
    <x v="0"/>
    <d v="2025-09-29T00:00:00"/>
    <s v="Video"/>
    <s v="#iPhonePhotography"/>
    <n v="7569"/>
    <n v="803"/>
    <n v="804"/>
    <n v="1753"/>
    <n v="43582"/>
    <n v="166945"/>
    <x v="4"/>
    <n v="5.4964209769684629E-2"/>
    <x v="4"/>
  </r>
  <r>
    <s v="A113"/>
    <x v="0"/>
    <d v="2025-09-29T00:00:00"/>
    <s v="Video"/>
    <s v="#ShotOniPhone"/>
    <n v="7569"/>
    <n v="803"/>
    <n v="804"/>
    <n v="1753"/>
    <n v="43582"/>
    <n v="166945"/>
    <x v="4"/>
    <n v="5.4964209769684629E-2"/>
    <x v="4"/>
  </r>
  <r>
    <s v="A197"/>
    <x v="2"/>
    <d v="2024-10-22T00:00:00"/>
    <s v="Tweet"/>
    <s v="#AppleDesign"/>
    <n v="7750"/>
    <n v="1146"/>
    <n v="415"/>
    <n v="1411"/>
    <n v="85339"/>
    <n v="172439"/>
    <x v="3"/>
    <n v="5.3995905798572247E-2"/>
    <x v="3"/>
  </r>
  <r>
    <s v="A197"/>
    <x v="2"/>
    <d v="2024-10-22T00:00:00"/>
    <s v="Tweet"/>
    <s v="#Innovation"/>
    <n v="7750"/>
    <n v="1146"/>
    <n v="415"/>
    <n v="1411"/>
    <n v="85339"/>
    <n v="172439"/>
    <x v="3"/>
    <n v="5.3995905798572247E-2"/>
    <x v="3"/>
  </r>
  <r>
    <s v="A94"/>
    <x v="2"/>
    <d v="2024-11-07T00:00:00"/>
    <s v="Carousel"/>
    <s v="#iPhone16Launch"/>
    <n v="11550"/>
    <n v="501"/>
    <n v="646"/>
    <n v="773"/>
    <n v="17841"/>
    <n v="237576"/>
    <x v="1"/>
    <n v="5.3443950567397383E-2"/>
    <x v="1"/>
  </r>
  <r>
    <s v="A94"/>
    <x v="2"/>
    <d v="2024-11-07T00:00:00"/>
    <s v="Carousel"/>
    <s v="#AppleEvent"/>
    <n v="11550"/>
    <n v="501"/>
    <n v="646"/>
    <n v="773"/>
    <n v="17841"/>
    <n v="237576"/>
    <x v="1"/>
    <n v="5.3443950567397383E-2"/>
    <x v="1"/>
  </r>
  <r>
    <s v="A30"/>
    <x v="0"/>
    <d v="2025-02-25T00:00:00"/>
    <s v="Carousel"/>
    <s v="#iPhonePhotography"/>
    <n v="10702"/>
    <n v="621"/>
    <n v="445"/>
    <n v="2918"/>
    <n v="54808"/>
    <n v="220225"/>
    <x v="0"/>
    <n v="5.3436258372119426E-2"/>
    <x v="0"/>
  </r>
  <r>
    <s v="A30"/>
    <x v="0"/>
    <d v="2025-02-25T00:00:00"/>
    <s v="Carousel"/>
    <s v="#ShotOniPhone"/>
    <n v="10702"/>
    <n v="621"/>
    <n v="445"/>
    <n v="2918"/>
    <n v="54808"/>
    <n v="220225"/>
    <x v="0"/>
    <n v="5.3436258372119426E-2"/>
    <x v="0"/>
  </r>
  <r>
    <s v="A12"/>
    <x v="1"/>
    <d v="2024-07-21T00:00:00"/>
    <s v="Tweet"/>
    <s v="#MacBookAirM3"/>
    <n v="2009"/>
    <n v="1072"/>
    <n v="550"/>
    <n v="1437"/>
    <n v="22982"/>
    <n v="69426"/>
    <x v="1"/>
    <n v="5.2300290957278256E-2"/>
    <x v="1"/>
  </r>
  <r>
    <s v="A12"/>
    <x v="1"/>
    <d v="2024-07-21T00:00:00"/>
    <s v="Tweet"/>
    <s v="#AppleInnovation"/>
    <n v="2009"/>
    <n v="1072"/>
    <n v="550"/>
    <n v="1437"/>
    <n v="22982"/>
    <n v="69426"/>
    <x v="1"/>
    <n v="5.2300290957278256E-2"/>
    <x v="1"/>
  </r>
  <r>
    <s v="A269"/>
    <x v="1"/>
    <d v="2024-11-05T00:00:00"/>
    <s v="Tweet"/>
    <s v="#MacBookProM3"/>
    <n v="8469"/>
    <n v="935"/>
    <n v="211"/>
    <n v="2635"/>
    <n v="21890"/>
    <n v="184539"/>
    <x v="2"/>
    <n v="5.2102807536618279E-2"/>
    <x v="2"/>
  </r>
  <r>
    <s v="A9"/>
    <x v="1"/>
    <d v="2024-08-30T00:00:00"/>
    <s v="Carousel"/>
    <s v="#MacBookAirM3"/>
    <n v="6804"/>
    <n v="787"/>
    <n v="970"/>
    <n v="1095"/>
    <n v="56343"/>
    <n v="164677"/>
    <x v="0"/>
    <n v="5.1986616224487935E-2"/>
    <x v="0"/>
  </r>
  <r>
    <s v="A9"/>
    <x v="1"/>
    <d v="2024-08-30T00:00:00"/>
    <s v="Carousel"/>
    <s v="#AppleInnovation"/>
    <n v="6804"/>
    <n v="787"/>
    <n v="970"/>
    <n v="1095"/>
    <n v="56343"/>
    <n v="164677"/>
    <x v="0"/>
    <n v="5.1986616224487935E-2"/>
    <x v="0"/>
  </r>
  <r>
    <s v="A31"/>
    <x v="3"/>
    <d v="2024-12-16T00:00:00"/>
    <s v="Image"/>
    <s v="#AppleEvent"/>
    <n v="2384"/>
    <n v="1246"/>
    <n v="160"/>
    <n v="2004"/>
    <n v="2701"/>
    <n v="73142"/>
    <x v="0"/>
    <n v="5.1817013480626728E-2"/>
    <x v="0"/>
  </r>
  <r>
    <s v="A31"/>
    <x v="3"/>
    <d v="2024-12-16T00:00:00"/>
    <s v="Image"/>
    <s v="#iPadPro"/>
    <n v="2384"/>
    <n v="1246"/>
    <n v="160"/>
    <n v="2004"/>
    <n v="2701"/>
    <n v="73142"/>
    <x v="0"/>
    <n v="5.1817013480626728E-2"/>
    <x v="0"/>
  </r>
  <r>
    <s v="A22"/>
    <x v="3"/>
    <d v="2025-02-27T00:00:00"/>
    <s v="Image"/>
    <s v="#AppleMusic"/>
    <n v="8970"/>
    <n v="331"/>
    <n v="968"/>
    <n v="2296"/>
    <n v="24613"/>
    <n v="198562"/>
    <x v="1"/>
    <n v="5.1716844109144754E-2"/>
    <x v="1"/>
  </r>
  <r>
    <s v="A22"/>
    <x v="3"/>
    <d v="2025-02-27T00:00:00"/>
    <s v="Image"/>
    <s v="#AppleLifestyle"/>
    <n v="8970"/>
    <n v="331"/>
    <n v="968"/>
    <n v="2296"/>
    <n v="24613"/>
    <n v="198562"/>
    <x v="1"/>
    <n v="5.1716844109144754E-2"/>
    <x v="1"/>
  </r>
  <r>
    <s v="A200"/>
    <x v="1"/>
    <d v="2025-04-07T00:00:00"/>
    <s v="Carousel"/>
    <s v="#iPhonePhotography"/>
    <n v="3062"/>
    <n v="1124"/>
    <n v="538"/>
    <n v="2935"/>
    <n v="69749"/>
    <n v="91924"/>
    <x v="1"/>
    <n v="5.1390278926069365E-2"/>
    <x v="1"/>
  </r>
  <r>
    <s v="A200"/>
    <x v="1"/>
    <d v="2025-04-07T00:00:00"/>
    <s v="Carousel"/>
    <s v="#ShotOniPhone"/>
    <n v="3062"/>
    <n v="1124"/>
    <n v="538"/>
    <n v="2935"/>
    <n v="69749"/>
    <n v="91924"/>
    <x v="1"/>
    <n v="5.1390278926069365E-2"/>
    <x v="1"/>
  </r>
  <r>
    <s v="A261"/>
    <x v="3"/>
    <d v="2024-10-27T00:00:00"/>
    <s v="Carousel"/>
    <s v="#AppleWatchUltra2"/>
    <n v="7560"/>
    <n v="1139"/>
    <n v="248"/>
    <n v="1624"/>
    <n v="72237"/>
    <n v="177084"/>
    <x v="3"/>
    <n v="5.0524045085947912E-2"/>
    <x v="3"/>
  </r>
  <r>
    <s v="A261"/>
    <x v="3"/>
    <d v="2024-10-27T00:00:00"/>
    <s v="Carousel"/>
    <s v="#HealthTech"/>
    <n v="7560"/>
    <n v="1139"/>
    <n v="248"/>
    <n v="1624"/>
    <n v="72237"/>
    <n v="177084"/>
    <x v="3"/>
    <n v="5.0524045085947912E-2"/>
    <x v="3"/>
  </r>
  <r>
    <s v="A219"/>
    <x v="0"/>
    <d v="2025-01-28T00:00:00"/>
    <s v="Carousel"/>
    <s v="#AppleMusic"/>
    <n v="9943"/>
    <n v="1274"/>
    <n v="336"/>
    <n v="389"/>
    <n v="6145"/>
    <n v="231305"/>
    <x v="0"/>
    <n v="4.9947039623008581E-2"/>
    <x v="0"/>
  </r>
  <r>
    <s v="A219"/>
    <x v="0"/>
    <d v="2025-01-28T00:00:00"/>
    <s v="Carousel"/>
    <s v="#AppleLifestyle"/>
    <n v="9943"/>
    <n v="1274"/>
    <n v="336"/>
    <n v="389"/>
    <n v="6145"/>
    <n v="231305"/>
    <x v="0"/>
    <n v="4.9947039623008581E-2"/>
    <x v="0"/>
  </r>
  <r>
    <s v="A171"/>
    <x v="0"/>
    <d v="2024-12-31T00:00:00"/>
    <s v="Image"/>
    <s v="#AppleWatchUltra2"/>
    <n v="10717"/>
    <n v="760"/>
    <n v="460"/>
    <n v="1316"/>
    <n v="18164"/>
    <n v="240641"/>
    <x v="2"/>
    <n v="4.9605013277039242E-2"/>
    <x v="2"/>
  </r>
  <r>
    <s v="A171"/>
    <x v="0"/>
    <d v="2024-12-31T00:00:00"/>
    <s v="Image"/>
    <s v="#HealthTech"/>
    <n v="10717"/>
    <n v="760"/>
    <n v="460"/>
    <n v="1316"/>
    <n v="18164"/>
    <n v="240641"/>
    <x v="2"/>
    <n v="4.9605013277039242E-2"/>
    <x v="2"/>
  </r>
  <r>
    <s v="A65"/>
    <x v="1"/>
    <d v="2025-03-28T00:00:00"/>
    <s v="Tweet"/>
    <s v="#AppleWatchUltra2"/>
    <n v="6363"/>
    <n v="1341"/>
    <n v="222"/>
    <n v="2712"/>
    <n v="19987"/>
    <n v="160585"/>
    <x v="3"/>
    <n v="4.9357038328611019E-2"/>
    <x v="3"/>
  </r>
  <r>
    <s v="A65"/>
    <x v="1"/>
    <d v="2025-03-28T00:00:00"/>
    <s v="Tweet"/>
    <s v="#HealthTech"/>
    <n v="6363"/>
    <n v="1341"/>
    <n v="222"/>
    <n v="2712"/>
    <n v="19987"/>
    <n v="160585"/>
    <x v="3"/>
    <n v="4.9357038328611019E-2"/>
    <x v="3"/>
  </r>
  <r>
    <s v="A130"/>
    <x v="0"/>
    <d v="2024-09-29T00:00:00"/>
    <s v="Carousel"/>
    <s v="#MacBookAirM3"/>
    <n v="10472"/>
    <n v="401"/>
    <n v="668"/>
    <n v="383"/>
    <n v="37571"/>
    <n v="249203"/>
    <x v="3"/>
    <n v="4.6311641513143903E-2"/>
    <x v="3"/>
  </r>
  <r>
    <s v="A130"/>
    <x v="0"/>
    <d v="2024-09-29T00:00:00"/>
    <s v="Carousel"/>
    <s v="#AppleInnovation"/>
    <n v="10472"/>
    <n v="401"/>
    <n v="668"/>
    <n v="383"/>
    <n v="37571"/>
    <n v="249203"/>
    <x v="3"/>
    <n v="4.6311641513143903E-2"/>
    <x v="3"/>
  </r>
  <r>
    <s v="A16"/>
    <x v="3"/>
    <d v="2024-08-26T00:00:00"/>
    <s v="Carousel"/>
    <s v="#AppleWatch"/>
    <n v="4193"/>
    <n v="924"/>
    <n v="707"/>
    <n v="2696"/>
    <n v="55075"/>
    <n v="126652"/>
    <x v="1"/>
    <n v="4.5984271863057827E-2"/>
    <x v="1"/>
  </r>
  <r>
    <s v="A16"/>
    <x v="3"/>
    <d v="2024-08-26T00:00:00"/>
    <s v="Carousel"/>
    <s v="#Health"/>
    <n v="4193"/>
    <n v="924"/>
    <n v="707"/>
    <n v="2696"/>
    <n v="55075"/>
    <n v="126652"/>
    <x v="1"/>
    <n v="4.5984271863057827E-2"/>
    <x v="1"/>
  </r>
  <r>
    <s v="A58"/>
    <x v="3"/>
    <d v="2025-04-15T00:00:00"/>
    <s v="Carousel"/>
    <s v="#AppleDesign"/>
    <n v="5419"/>
    <n v="1150"/>
    <n v="656"/>
    <n v="1990"/>
    <n v="410"/>
    <n v="158154"/>
    <x v="3"/>
    <n v="4.5683321319726342E-2"/>
    <x v="3"/>
  </r>
  <r>
    <s v="A58"/>
    <x v="3"/>
    <d v="2025-04-15T00:00:00"/>
    <s v="Carousel"/>
    <s v="#Innovation"/>
    <n v="5419"/>
    <n v="1150"/>
    <n v="656"/>
    <n v="1990"/>
    <n v="410"/>
    <n v="158154"/>
    <x v="3"/>
    <n v="4.5683321319726342E-2"/>
    <x v="3"/>
  </r>
  <r>
    <s v="A145"/>
    <x v="0"/>
    <d v="2024-08-12T00:00:00"/>
    <s v="Carousel"/>
    <s v="#MacBookAirM3"/>
    <n v="8376"/>
    <n v="1154"/>
    <n v="422"/>
    <n v="1907"/>
    <n v="36874"/>
    <n v="218486"/>
    <x v="3"/>
    <n v="4.5549829279679245E-2"/>
    <x v="3"/>
  </r>
  <r>
    <s v="A145"/>
    <x v="0"/>
    <d v="2024-08-12T00:00:00"/>
    <s v="Carousel"/>
    <s v="#AppleInnovation"/>
    <n v="8376"/>
    <n v="1154"/>
    <n v="422"/>
    <n v="1907"/>
    <n v="36874"/>
    <n v="218486"/>
    <x v="3"/>
    <n v="4.5549829279679245E-2"/>
    <x v="3"/>
  </r>
  <r>
    <s v="A283"/>
    <x v="2"/>
    <d v="2025-05-09T00:00:00"/>
    <s v="Carousel"/>
    <s v="#AppleWatch"/>
    <n v="8988"/>
    <n v="228"/>
    <n v="766"/>
    <n v="652"/>
    <n v="63789"/>
    <n v="219785"/>
    <x v="3"/>
    <n v="4.541711217781013E-2"/>
    <x v="3"/>
  </r>
  <r>
    <s v="A283"/>
    <x v="2"/>
    <d v="2025-05-09T00:00:00"/>
    <s v="Carousel"/>
    <s v="#Health"/>
    <n v="8988"/>
    <n v="228"/>
    <n v="766"/>
    <n v="652"/>
    <n v="63789"/>
    <n v="219785"/>
    <x v="3"/>
    <n v="4.541711217781013E-2"/>
    <x v="3"/>
  </r>
  <r>
    <s v="A298"/>
    <x v="1"/>
    <d v="2025-09-24T00:00:00"/>
    <s v="Tweet"/>
    <s v="#iPhone16Launch"/>
    <n v="3342"/>
    <n v="787"/>
    <n v="375"/>
    <n v="907"/>
    <n v="85823"/>
    <n v="99189"/>
    <x v="4"/>
    <n v="4.5408260996683103E-2"/>
    <x v="4"/>
  </r>
  <r>
    <s v="A298"/>
    <x v="1"/>
    <d v="2025-09-24T00:00:00"/>
    <s v="Tweet"/>
    <s v="#AppleEvent"/>
    <n v="3342"/>
    <n v="787"/>
    <n v="375"/>
    <n v="907"/>
    <n v="85823"/>
    <n v="99189"/>
    <x v="4"/>
    <n v="4.5408260996683103E-2"/>
    <x v="4"/>
  </r>
  <r>
    <s v="A90"/>
    <x v="2"/>
    <d v="2024-06-03T00:00:00"/>
    <s v="Image"/>
    <s v="#AppleEvent"/>
    <n v="8941"/>
    <n v="911"/>
    <n v="166"/>
    <n v="1217"/>
    <n v="68817"/>
    <n v="221180"/>
    <x v="2"/>
    <n v="4.5293426168731353E-2"/>
    <x v="2"/>
  </r>
  <r>
    <s v="A90"/>
    <x v="2"/>
    <d v="2024-06-03T00:00:00"/>
    <s v="Image"/>
    <s v="#iPhone16"/>
    <n v="8941"/>
    <n v="911"/>
    <n v="166"/>
    <n v="1217"/>
    <n v="68817"/>
    <n v="221180"/>
    <x v="2"/>
    <n v="4.5293426168731353E-2"/>
    <x v="2"/>
  </r>
  <r>
    <s v="A134"/>
    <x v="3"/>
    <d v="2025-10-01T00:00:00"/>
    <s v="Carousel"/>
    <s v="#ShotOniPhone"/>
    <n v="6188"/>
    <n v="774"/>
    <n v="647"/>
    <n v="1830"/>
    <n v="55436"/>
    <n v="175542"/>
    <x v="4"/>
    <n v="4.3345752013763089E-2"/>
    <x v="4"/>
  </r>
  <r>
    <s v="A38"/>
    <x v="3"/>
    <d v="2025-02-17T00:00:00"/>
    <s v="Tweet"/>
    <s v="#MacBookAirM3"/>
    <n v="7989"/>
    <n v="1206"/>
    <n v="376"/>
    <n v="2769"/>
    <n v="27550"/>
    <n v="221749"/>
    <x v="3"/>
    <n v="4.3161412227338117E-2"/>
    <x v="3"/>
  </r>
  <r>
    <s v="A38"/>
    <x v="3"/>
    <d v="2025-02-17T00:00:00"/>
    <s v="Tweet"/>
    <s v="#AppleInnovation"/>
    <n v="7989"/>
    <n v="1206"/>
    <n v="376"/>
    <n v="2769"/>
    <n v="27550"/>
    <n v="221749"/>
    <x v="3"/>
    <n v="4.3161412227338117E-2"/>
    <x v="3"/>
  </r>
  <r>
    <s v="A70"/>
    <x v="2"/>
    <d v="2025-04-02T00:00:00"/>
    <s v="Tweet"/>
    <s v="#iPhone16Launch"/>
    <n v="6858"/>
    <n v="415"/>
    <n v="366"/>
    <n v="2761"/>
    <n v="2988"/>
    <n v="177348"/>
    <x v="0"/>
    <n v="4.3073505198818141E-2"/>
    <x v="0"/>
  </r>
  <r>
    <s v="A70"/>
    <x v="2"/>
    <d v="2025-04-02T00:00:00"/>
    <s v="Tweet"/>
    <s v="#AppleEvent"/>
    <n v="6858"/>
    <n v="415"/>
    <n v="366"/>
    <n v="2761"/>
    <n v="2988"/>
    <n v="177348"/>
    <x v="0"/>
    <n v="4.3073505198818141E-2"/>
    <x v="0"/>
  </r>
  <r>
    <s v="A142"/>
    <x v="3"/>
    <d v="2025-03-25T00:00:00"/>
    <s v="Carousel"/>
    <s v="#AppleDesign"/>
    <n v="5900"/>
    <n v="546"/>
    <n v="592"/>
    <n v="1594"/>
    <n v="38627"/>
    <n v="164398"/>
    <x v="2"/>
    <n v="4.2810739790021778E-2"/>
    <x v="2"/>
  </r>
  <r>
    <s v="A142"/>
    <x v="3"/>
    <d v="2025-03-25T00:00:00"/>
    <s v="Carousel"/>
    <s v="#Innovation"/>
    <n v="5900"/>
    <n v="546"/>
    <n v="592"/>
    <n v="1594"/>
    <n v="38627"/>
    <n v="164398"/>
    <x v="2"/>
    <n v="4.2810739790021778E-2"/>
    <x v="2"/>
  </r>
  <r>
    <s v="A207"/>
    <x v="0"/>
    <d v="2024-12-29T00:00:00"/>
    <s v="Carousel"/>
    <s v="#MacBookProM3"/>
    <n v="8288"/>
    <n v="1401"/>
    <n v="819"/>
    <n v="1235"/>
    <n v="33446"/>
    <n v="248786"/>
    <x v="0"/>
    <n v="4.2237103373984064E-2"/>
    <x v="0"/>
  </r>
  <r>
    <s v="A274"/>
    <x v="0"/>
    <d v="2025-01-01T00:00:00"/>
    <s v="Video"/>
    <s v="#AppleMusic"/>
    <n v="8283"/>
    <n v="720"/>
    <n v="888"/>
    <n v="611"/>
    <n v="52791"/>
    <n v="235229"/>
    <x v="0"/>
    <n v="4.2048386891072105E-2"/>
    <x v="0"/>
  </r>
  <r>
    <s v="A274"/>
    <x v="0"/>
    <d v="2025-01-01T00:00:00"/>
    <s v="Video"/>
    <s v="#AppleLifestyle"/>
    <n v="8283"/>
    <n v="720"/>
    <n v="888"/>
    <n v="611"/>
    <n v="52791"/>
    <n v="235229"/>
    <x v="0"/>
    <n v="4.2048386891072105E-2"/>
    <x v="0"/>
  </r>
  <r>
    <s v="A206"/>
    <x v="3"/>
    <d v="2024-06-24T00:00:00"/>
    <s v="Image"/>
    <s v="#AppleEvent"/>
    <n v="6632"/>
    <n v="254"/>
    <n v="525"/>
    <n v="1013"/>
    <n v="13838"/>
    <n v="180180"/>
    <x v="0"/>
    <n v="4.1131091131091133E-2"/>
    <x v="0"/>
  </r>
  <r>
    <s v="A206"/>
    <x v="3"/>
    <d v="2024-06-24T00:00:00"/>
    <s v="Image"/>
    <s v="#iPhone16"/>
    <n v="6632"/>
    <n v="254"/>
    <n v="525"/>
    <n v="1013"/>
    <n v="13838"/>
    <n v="180180"/>
    <x v="0"/>
    <n v="4.1131091131091133E-2"/>
    <x v="0"/>
  </r>
  <r>
    <s v="A256"/>
    <x v="1"/>
    <d v="2025-09-17T00:00:00"/>
    <s v="Carousel"/>
    <s v="#AppleMusic"/>
    <n v="2117"/>
    <n v="1133"/>
    <n v="203"/>
    <n v="1173"/>
    <n v="40125"/>
    <n v="85379"/>
    <x v="4"/>
    <n v="4.0443200318579509E-2"/>
    <x v="4"/>
  </r>
  <r>
    <s v="A256"/>
    <x v="1"/>
    <d v="2025-09-17T00:00:00"/>
    <s v="Carousel"/>
    <s v="#AppleLifestyle"/>
    <n v="2117"/>
    <n v="1133"/>
    <n v="203"/>
    <n v="1173"/>
    <n v="40125"/>
    <n v="85379"/>
    <x v="4"/>
    <n v="4.0443200318579509E-2"/>
    <x v="4"/>
  </r>
  <r>
    <s v="A182"/>
    <x v="1"/>
    <d v="2024-07-31T00:00:00"/>
    <s v="Video"/>
    <s v="#AppleDesign"/>
    <n v="7122"/>
    <n v="628"/>
    <n v="757"/>
    <n v="2313"/>
    <n v="50924"/>
    <n v="210954"/>
    <x v="2"/>
    <n v="4.0326327066564277E-2"/>
    <x v="2"/>
  </r>
  <r>
    <s v="A182"/>
    <x v="1"/>
    <d v="2024-07-31T00:00:00"/>
    <s v="Video"/>
    <s v="#Innovation"/>
    <n v="7122"/>
    <n v="628"/>
    <n v="757"/>
    <n v="2313"/>
    <n v="50924"/>
    <n v="210954"/>
    <x v="2"/>
    <n v="4.0326327066564277E-2"/>
    <x v="2"/>
  </r>
  <r>
    <s v="A79"/>
    <x v="1"/>
    <d v="2025-09-22T00:00:00"/>
    <s v="Video"/>
    <s v="#Sustainability"/>
    <n v="8996"/>
    <n v="329"/>
    <n v="378"/>
    <n v="2384"/>
    <n v="39404"/>
    <n v="242724"/>
    <x v="4"/>
    <n v="3.9975445361810122E-2"/>
    <x v="4"/>
  </r>
  <r>
    <s v="A79"/>
    <x v="1"/>
    <d v="2025-09-22T00:00:00"/>
    <s v="Video"/>
    <s v="#AppleEarth"/>
    <n v="8996"/>
    <n v="329"/>
    <n v="378"/>
    <n v="2384"/>
    <n v="39404"/>
    <n v="242724"/>
    <x v="4"/>
    <n v="3.9975445361810122E-2"/>
    <x v="4"/>
  </r>
  <r>
    <s v="A14"/>
    <x v="1"/>
    <d v="2025-09-06T00:00:00"/>
    <s v="Tweet"/>
    <s v="#AppleWatch"/>
    <n v="7124"/>
    <n v="469"/>
    <n v="851"/>
    <n v="2571"/>
    <n v="33802"/>
    <n v="216313"/>
    <x v="4"/>
    <n v="3.9036026498638549E-2"/>
    <x v="4"/>
  </r>
  <r>
    <s v="A14"/>
    <x v="1"/>
    <d v="2025-09-06T00:00:00"/>
    <s v="Tweet"/>
    <s v="#Health"/>
    <n v="7124"/>
    <n v="469"/>
    <n v="851"/>
    <n v="2571"/>
    <n v="33802"/>
    <n v="216313"/>
    <x v="4"/>
    <n v="3.9036026498638549E-2"/>
    <x v="4"/>
  </r>
  <r>
    <s v="A275"/>
    <x v="3"/>
    <d v="2024-08-05T00:00:00"/>
    <s v="Tweet"/>
    <s v="#AppleWatch"/>
    <n v="4048"/>
    <n v="751"/>
    <n v="930"/>
    <n v="1382"/>
    <n v="16844"/>
    <n v="148177"/>
    <x v="1"/>
    <n v="3.8663220337839206E-2"/>
    <x v="1"/>
  </r>
  <r>
    <s v="A275"/>
    <x v="3"/>
    <d v="2024-08-05T00:00:00"/>
    <s v="Tweet"/>
    <s v="#Health"/>
    <n v="4048"/>
    <n v="751"/>
    <n v="930"/>
    <n v="1382"/>
    <n v="16844"/>
    <n v="148177"/>
    <x v="1"/>
    <n v="3.8663220337839206E-2"/>
    <x v="1"/>
  </r>
  <r>
    <s v="A141"/>
    <x v="0"/>
    <d v="2025-10-03T00:00:00"/>
    <s v="Image"/>
    <s v="#iPhone16Launch"/>
    <n v="6777"/>
    <n v="617"/>
    <n v="551"/>
    <n v="2109"/>
    <n v="18559"/>
    <n v="208452"/>
    <x v="4"/>
    <n v="3.8114290100358834E-2"/>
    <x v="4"/>
  </r>
  <r>
    <s v="A141"/>
    <x v="0"/>
    <d v="2025-10-03T00:00:00"/>
    <s v="Image"/>
    <s v="#AppleEvent"/>
    <n v="6777"/>
    <n v="617"/>
    <n v="551"/>
    <n v="2109"/>
    <n v="18559"/>
    <n v="208452"/>
    <x v="4"/>
    <n v="3.8114290100358834E-2"/>
    <x v="4"/>
  </r>
  <r>
    <s v="A43"/>
    <x v="2"/>
    <d v="2025-09-16T00:00:00"/>
    <s v="Tweet"/>
    <s v="#MacBookProM3"/>
    <n v="6809"/>
    <n v="397"/>
    <n v="813"/>
    <n v="1125"/>
    <n v="12206"/>
    <n v="218136"/>
    <x v="4"/>
    <n v="3.6761469908680823E-2"/>
    <x v="4"/>
  </r>
  <r>
    <s v="A281"/>
    <x v="0"/>
    <d v="2025-03-22T00:00:00"/>
    <s v="Video"/>
    <s v="#AppleEvent"/>
    <n v="3917"/>
    <n v="865"/>
    <n v="759"/>
    <n v="2282"/>
    <n v="56125"/>
    <n v="154014"/>
    <x v="0"/>
    <n v="3.5977248821535704E-2"/>
    <x v="0"/>
  </r>
  <r>
    <s v="A281"/>
    <x v="0"/>
    <d v="2025-03-22T00:00:00"/>
    <s v="Video"/>
    <s v="#iPhone16"/>
    <n v="3917"/>
    <n v="865"/>
    <n v="759"/>
    <n v="2282"/>
    <n v="56125"/>
    <n v="154014"/>
    <x v="0"/>
    <n v="3.5977248821535704E-2"/>
    <x v="0"/>
  </r>
  <r>
    <s v="A280"/>
    <x v="2"/>
    <d v="2025-09-18T00:00:00"/>
    <s v="Video"/>
    <s v="#AppleMusic"/>
    <n v="3828"/>
    <n v="203"/>
    <n v="506"/>
    <n v="2440"/>
    <n v="63650"/>
    <n v="126365"/>
    <x v="4"/>
    <n v="3.5903929094290347E-2"/>
    <x v="4"/>
  </r>
  <r>
    <s v="A280"/>
    <x v="2"/>
    <d v="2025-09-18T00:00:00"/>
    <s v="Video"/>
    <s v="#AppleLifestyle"/>
    <n v="3828"/>
    <n v="203"/>
    <n v="506"/>
    <n v="2440"/>
    <n v="63650"/>
    <n v="126365"/>
    <x v="4"/>
    <n v="3.5903929094290347E-2"/>
    <x v="4"/>
  </r>
  <r>
    <s v="A178"/>
    <x v="1"/>
    <d v="2025-10-10T00:00:00"/>
    <s v="Carousel"/>
    <s v="#AppleDesign"/>
    <n v="6621"/>
    <n v="922"/>
    <n v="930"/>
    <n v="694"/>
    <n v="839"/>
    <n v="243532"/>
    <x v="4"/>
    <n v="3.479214230573395E-2"/>
    <x v="4"/>
  </r>
  <r>
    <s v="A178"/>
    <x v="1"/>
    <d v="2025-10-10T00:00:00"/>
    <s v="Carousel"/>
    <s v="#Innovation"/>
    <n v="6621"/>
    <n v="922"/>
    <n v="930"/>
    <n v="694"/>
    <n v="839"/>
    <n v="243532"/>
    <x v="4"/>
    <n v="3.479214230573395E-2"/>
    <x v="4"/>
  </r>
  <r>
    <s v="A181"/>
    <x v="3"/>
    <d v="2025-10-12T00:00:00"/>
    <s v="Carousel"/>
    <s v="#AppleWatch"/>
    <n v="7126"/>
    <n v="484"/>
    <n v="565"/>
    <n v="573"/>
    <n v="7389"/>
    <n v="237096"/>
    <x v="4"/>
    <n v="3.4479704423524646E-2"/>
    <x v="4"/>
  </r>
  <r>
    <s v="A181"/>
    <x v="3"/>
    <d v="2025-10-12T00:00:00"/>
    <s v="Carousel"/>
    <s v="#Health"/>
    <n v="7126"/>
    <n v="484"/>
    <n v="565"/>
    <n v="573"/>
    <n v="7389"/>
    <n v="237096"/>
    <x v="4"/>
    <n v="3.4479704423524646E-2"/>
    <x v="4"/>
  </r>
  <r>
    <s v="A110"/>
    <x v="1"/>
    <d v="2024-07-29T00:00:00"/>
    <s v="Video"/>
    <s v="#AppleWatch"/>
    <n v="6164"/>
    <n v="326"/>
    <n v="615"/>
    <n v="2806"/>
    <n v="38579"/>
    <n v="206129"/>
    <x v="2"/>
    <n v="3.4468706489625425E-2"/>
    <x v="2"/>
  </r>
  <r>
    <s v="A110"/>
    <x v="1"/>
    <d v="2024-07-29T00:00:00"/>
    <s v="Video"/>
    <s v="#Health"/>
    <n v="6164"/>
    <n v="326"/>
    <n v="615"/>
    <n v="2806"/>
    <n v="38579"/>
    <n v="206129"/>
    <x v="2"/>
    <n v="3.4468706489625425E-2"/>
    <x v="2"/>
  </r>
  <r>
    <s v="A292"/>
    <x v="1"/>
    <d v="2024-11-17T00:00:00"/>
    <s v="Carousel"/>
    <s v="#AppleMusic"/>
    <n v="4219"/>
    <n v="240"/>
    <n v="670"/>
    <n v="815"/>
    <n v="11978"/>
    <n v="159735"/>
    <x v="1"/>
    <n v="3.2109431245500357E-2"/>
    <x v="1"/>
  </r>
  <r>
    <s v="A292"/>
    <x v="1"/>
    <d v="2024-11-17T00:00:00"/>
    <s v="Carousel"/>
    <s v="#AppleLifestyle"/>
    <n v="4219"/>
    <n v="240"/>
    <n v="670"/>
    <n v="815"/>
    <n v="11978"/>
    <n v="159735"/>
    <x v="1"/>
    <n v="3.2109431245500357E-2"/>
    <x v="1"/>
  </r>
  <r>
    <s v="A273"/>
    <x v="0"/>
    <d v="2024-10-12T00:00:00"/>
    <s v="Image"/>
    <s v="#Sustainability"/>
    <n v="6208"/>
    <n v="725"/>
    <n v="309"/>
    <n v="848"/>
    <n v="39319"/>
    <n v="225763"/>
    <x v="0"/>
    <n v="3.207788698768177E-2"/>
    <x v="0"/>
  </r>
  <r>
    <s v="A273"/>
    <x v="0"/>
    <d v="2024-10-12T00:00:00"/>
    <s v="Image"/>
    <s v="#AppleEarth"/>
    <n v="6208"/>
    <n v="725"/>
    <n v="309"/>
    <n v="848"/>
    <n v="39319"/>
    <n v="225763"/>
    <x v="0"/>
    <n v="3.207788698768177E-2"/>
    <x v="0"/>
  </r>
  <r>
    <s v="A247"/>
    <x v="3"/>
    <d v="2024-08-27T00:00:00"/>
    <s v="Image"/>
    <s v="#MacBookProM3"/>
    <n v="6324"/>
    <n v="908"/>
    <n v="375"/>
    <n v="758"/>
    <n v="34850"/>
    <n v="241039"/>
    <x v="0"/>
    <n v="3.1559208260903839E-2"/>
    <x v="0"/>
  </r>
  <r>
    <s v="A173"/>
    <x v="1"/>
    <d v="2024-12-05T00:00:00"/>
    <s v="Tweet"/>
    <s v="#AppleEvent"/>
    <n v="4125"/>
    <n v="1364"/>
    <n v="319"/>
    <n v="2848"/>
    <n v="15379"/>
    <n v="188159"/>
    <x v="2"/>
    <n v="3.0867510988047343E-2"/>
    <x v="2"/>
  </r>
  <r>
    <s v="A173"/>
    <x v="1"/>
    <d v="2024-12-05T00:00:00"/>
    <s v="Tweet"/>
    <s v="#iPhone16"/>
    <n v="4125"/>
    <n v="1364"/>
    <n v="319"/>
    <n v="2848"/>
    <n v="15379"/>
    <n v="188159"/>
    <x v="2"/>
    <n v="3.0867510988047343E-2"/>
    <x v="2"/>
  </r>
  <r>
    <s v="A193"/>
    <x v="3"/>
    <d v="2024-09-11T00:00:00"/>
    <s v="Image"/>
    <s v="#AppleWatch"/>
    <n v="3906"/>
    <n v="1187"/>
    <n v="589"/>
    <n v="401"/>
    <n v="52687"/>
    <n v="196498"/>
    <x v="0"/>
    <n v="2.8916324848090057E-2"/>
    <x v="0"/>
  </r>
  <r>
    <s v="A193"/>
    <x v="3"/>
    <d v="2024-09-11T00:00:00"/>
    <s v="Image"/>
    <s v="#Health"/>
    <n v="3906"/>
    <n v="1187"/>
    <n v="589"/>
    <n v="401"/>
    <n v="52687"/>
    <n v="196498"/>
    <x v="0"/>
    <n v="2.8916324848090057E-2"/>
    <x v="0"/>
  </r>
  <r>
    <s v="A245"/>
    <x v="1"/>
    <d v="2025-01-12T00:00:00"/>
    <s v="Image"/>
    <s v="#AppleEvent"/>
    <n v="4590"/>
    <n v="713"/>
    <n v="479"/>
    <n v="2730"/>
    <n v="41050"/>
    <n v="204246"/>
    <x v="3"/>
    <n v="2.8308999931455206E-2"/>
    <x v="3"/>
  </r>
  <r>
    <s v="A245"/>
    <x v="1"/>
    <d v="2025-01-12T00:00:00"/>
    <s v="Image"/>
    <s v="#iPadPro"/>
    <n v="4590"/>
    <n v="713"/>
    <n v="479"/>
    <n v="2730"/>
    <n v="41050"/>
    <n v="204246"/>
    <x v="3"/>
    <n v="2.8308999931455206E-2"/>
    <x v="3"/>
  </r>
  <r>
    <s v="A236"/>
    <x v="0"/>
    <d v="2024-08-19T00:00:00"/>
    <s v="Video"/>
    <s v="#iPhonePhotography"/>
    <n v="3605"/>
    <n v="206"/>
    <n v="921"/>
    <n v="852"/>
    <n v="11660"/>
    <n v="182635"/>
    <x v="1"/>
    <n v="2.590960111698196E-2"/>
    <x v="1"/>
  </r>
  <r>
    <s v="A236"/>
    <x v="0"/>
    <d v="2024-08-19T00:00:00"/>
    <s v="Video"/>
    <s v="#ShotOniPhone"/>
    <n v="3605"/>
    <n v="206"/>
    <n v="921"/>
    <n v="852"/>
    <n v="11660"/>
    <n v="182635"/>
    <x v="1"/>
    <n v="2.590960111698196E-2"/>
    <x v="1"/>
  </r>
  <r>
    <s v="A41"/>
    <x v="1"/>
    <d v="2025-09-15T00:00:00"/>
    <s v="Tweet"/>
    <s v="#MacBookAirM3"/>
    <n v="5636"/>
    <n v="303"/>
    <n v="204"/>
    <n v="2480"/>
    <n v="7377"/>
    <n v="241207"/>
    <x v="4"/>
    <n v="2.5467751765081443E-2"/>
    <x v="4"/>
  </r>
  <r>
    <s v="A41"/>
    <x v="1"/>
    <d v="2025-09-15T00:00:00"/>
    <s v="Tweet"/>
    <s v="#AppleInnovation"/>
    <n v="5636"/>
    <n v="303"/>
    <n v="204"/>
    <n v="2480"/>
    <n v="7377"/>
    <n v="241207"/>
    <x v="4"/>
    <n v="2.5467751765081443E-2"/>
    <x v="4"/>
  </r>
  <r>
    <s v="A78"/>
    <x v="0"/>
    <d v="2024-06-17T00:00:00"/>
    <s v="Image"/>
    <s v="#AppleMusic"/>
    <n v="3252"/>
    <n v="1043"/>
    <n v="647"/>
    <n v="1545"/>
    <n v="18859"/>
    <n v="222958"/>
    <x v="0"/>
    <n v="2.2165609666394567E-2"/>
    <x v="0"/>
  </r>
  <r>
    <s v="A78"/>
    <x v="0"/>
    <d v="2024-06-17T00:00:00"/>
    <s v="Image"/>
    <s v="#AppleLifestyle"/>
    <n v="3252"/>
    <n v="1043"/>
    <n v="647"/>
    <n v="1545"/>
    <n v="18859"/>
    <n v="222958"/>
    <x v="0"/>
    <n v="2.2165609666394567E-2"/>
    <x v="0"/>
  </r>
  <r>
    <s v="A188"/>
    <x v="1"/>
    <d v="2024-06-06T00:00:00"/>
    <s v="Carousel"/>
    <s v="#Sustainability"/>
    <n v="3531"/>
    <n v="789"/>
    <n v="467"/>
    <n v="1867"/>
    <n v="40816"/>
    <n v="236037"/>
    <x v="3"/>
    <n v="2.0280718700881641E-2"/>
    <x v="3"/>
  </r>
  <r>
    <s v="A188"/>
    <x v="1"/>
    <d v="2024-06-06T00:00:00"/>
    <s v="Carousel"/>
    <s v="#AppleEarth"/>
    <n v="3531"/>
    <n v="789"/>
    <n v="467"/>
    <n v="1867"/>
    <n v="40816"/>
    <n v="236037"/>
    <x v="3"/>
    <n v="2.0280718700881641E-2"/>
    <x v="3"/>
  </r>
  <r>
    <s v="A4"/>
    <x v="1"/>
    <d v="2024-08-12T00:00:00"/>
    <s v="Video"/>
    <s v="#AppleEvent"/>
    <n v="3581"/>
    <n v="517"/>
    <n v="880"/>
    <n v="1925"/>
    <n v="18636"/>
    <n v="248611"/>
    <x v="1"/>
    <n v="2.0023249172401864E-2"/>
    <x v="1"/>
  </r>
  <r>
    <s v="A4"/>
    <x v="1"/>
    <d v="2024-08-12T00:00:00"/>
    <s v="Video"/>
    <s v="#iPadPro"/>
    <n v="3581"/>
    <n v="517"/>
    <n v="880"/>
    <n v="1925"/>
    <n v="18636"/>
    <n v="248611"/>
    <x v="1"/>
    <n v="2.0023249172401864E-2"/>
    <x v="1"/>
  </r>
  <r>
    <s v="A167"/>
    <x v="0"/>
    <d v="2024-11-28T00:00:00"/>
    <s v="Carousel"/>
    <s v="#AppleEvent"/>
    <n v="2302"/>
    <n v="347"/>
    <n v="642"/>
    <n v="2175"/>
    <n v="56378"/>
    <n v="198056"/>
    <x v="2"/>
    <n v="1.6616512501514722E-2"/>
    <x v="2"/>
  </r>
  <r>
    <s v="A167"/>
    <x v="0"/>
    <d v="2024-11-28T00:00:00"/>
    <s v="Carousel"/>
    <s v="#iPhone16"/>
    <n v="2302"/>
    <n v="347"/>
    <n v="642"/>
    <n v="2175"/>
    <n v="56378"/>
    <n v="198056"/>
    <x v="2"/>
    <n v="1.6616512501514722E-2"/>
    <x v="2"/>
  </r>
  <r>
    <m/>
    <x v="4"/>
    <m/>
    <m/>
    <m/>
    <m/>
    <m/>
    <m/>
    <m/>
    <m/>
    <m/>
    <x v="5"/>
    <m/>
    <x v="5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d v="2024-06-03T00:00:00"/>
    <x v="0"/>
    <n v="4138"/>
    <n v="361"/>
    <n v="103777"/>
    <x v="0"/>
    <n v="23944"/>
    <n v="3777"/>
    <n v="3.7769999999999998E-2"/>
  </r>
  <r>
    <d v="2024-06-03T00:00:00"/>
    <x v="1"/>
    <n v="8693"/>
    <n v="1261"/>
    <n v="111209"/>
    <x v="1"/>
    <n v="29873"/>
    <n v="7432"/>
    <n v="7.1615097757691967E-2"/>
  </r>
  <r>
    <d v="2024-06-03T00:00:00"/>
    <x v="2"/>
    <n v="9264"/>
    <n v="1141"/>
    <n v="119332"/>
    <x v="2"/>
    <n v="50372"/>
    <n v="8123"/>
    <n v="7.3042649425855824E-2"/>
  </r>
  <r>
    <d v="2024-06-03T00:00:00"/>
    <x v="2"/>
    <n v="8842"/>
    <n v="971"/>
    <n v="127203"/>
    <x v="3"/>
    <n v="33928"/>
    <n v="7871"/>
    <n v="6.5958837528910935E-2"/>
  </r>
  <r>
    <d v="2024-06-10T00:00:00"/>
    <x v="0"/>
    <n v="7721"/>
    <n v="506"/>
    <n v="134418"/>
    <x v="4"/>
    <n v="25379"/>
    <n v="7215"/>
    <n v="5.6720360368859225E-2"/>
  </r>
  <r>
    <d v="2024-06-10T00:00:00"/>
    <x v="2"/>
    <n v="8002"/>
    <n v="524"/>
    <n v="141896"/>
    <x v="5"/>
    <n v="46751"/>
    <n v="7478"/>
    <n v="5.5632430180481779E-2"/>
  </r>
  <r>
    <d v="2024-06-10T00:00:00"/>
    <x v="1"/>
    <n v="5225"/>
    <n v="291"/>
    <n v="146830"/>
    <x v="6"/>
    <n v="44546"/>
    <n v="4934"/>
    <n v="3.4771945650335458E-2"/>
  </r>
  <r>
    <d v="2024-06-10T00:00:00"/>
    <x v="1"/>
    <n v="3978"/>
    <n v="543"/>
    <n v="150265"/>
    <x v="7"/>
    <n v="34286"/>
    <n v="3435"/>
    <n v="2.3394401689028128E-2"/>
  </r>
  <r>
    <d v="2024-06-17T00:00:00"/>
    <x v="0"/>
    <n v="8373"/>
    <n v="921"/>
    <n v="157717"/>
    <x v="8"/>
    <n v="15110"/>
    <n v="7452"/>
    <n v="4.9592386783349415E-2"/>
  </r>
  <r>
    <d v="2024-06-17T00:00:00"/>
    <x v="1"/>
    <n v="6907"/>
    <n v="834"/>
    <n v="163790"/>
    <x v="9"/>
    <n v="22087"/>
    <n v="6073"/>
    <n v="3.8505677891413098E-2"/>
  </r>
  <r>
    <d v="2024-06-17T00:00:00"/>
    <x v="3"/>
    <n v="7097"/>
    <n v="369"/>
    <n v="170518"/>
    <x v="10"/>
    <n v="33762"/>
    <n v="6728"/>
    <n v="4.1076988827156727E-2"/>
  </r>
  <r>
    <d v="2024-06-17T00:00:00"/>
    <x v="0"/>
    <n v="6656"/>
    <n v="978"/>
    <n v="176196"/>
    <x v="11"/>
    <n v="27081"/>
    <n v="5678"/>
    <n v="3.3298537397811377E-2"/>
  </r>
  <r>
    <d v="2024-06-24T00:00:00"/>
    <x v="1"/>
    <n v="9984"/>
    <n v="1330"/>
    <n v="184850"/>
    <x v="12"/>
    <n v="44947"/>
    <n v="8654"/>
    <n v="4.9115757451928532E-2"/>
  </r>
  <r>
    <d v="2024-06-24T00:00:00"/>
    <x v="0"/>
    <n v="5259"/>
    <n v="374"/>
    <n v="189735"/>
    <x v="13"/>
    <n v="19596"/>
    <n v="4885"/>
    <n v="2.6426832566946171E-2"/>
  </r>
  <r>
    <d v="2024-06-24T00:00:00"/>
    <x v="2"/>
    <n v="9286"/>
    <n v="633"/>
    <n v="198388"/>
    <x v="14"/>
    <n v="48019"/>
    <n v="8653"/>
    <n v="4.5605713231612513E-2"/>
  </r>
  <r>
    <d v="2024-06-24T00:00:00"/>
    <x v="1"/>
    <n v="6901"/>
    <n v="471"/>
    <n v="204818"/>
    <x v="15"/>
    <n v="52003"/>
    <n v="6430"/>
    <n v="3.2411234550476842E-2"/>
  </r>
  <r>
    <d v="2024-07-01T00:00:00"/>
    <x v="3"/>
    <n v="5917"/>
    <n v="475"/>
    <n v="210260"/>
    <x v="16"/>
    <n v="28313"/>
    <n v="5442"/>
    <n v="2.656993037721294E-2"/>
  </r>
  <r>
    <d v="2024-07-01T00:00:00"/>
    <x v="1"/>
    <n v="9429"/>
    <n v="966"/>
    <n v="218723"/>
    <x v="17"/>
    <n v="57639"/>
    <n v="8463"/>
    <n v="4.0250166460572626E-2"/>
  </r>
  <r>
    <d v="2024-07-01T00:00:00"/>
    <x v="0"/>
    <n v="3530"/>
    <n v="328"/>
    <n v="221925"/>
    <x v="18"/>
    <n v="11013"/>
    <n v="3202"/>
    <n v="1.4639521220904981E-2"/>
  </r>
  <r>
    <d v="2024-07-01T00:00:00"/>
    <x v="0"/>
    <n v="2960"/>
    <n v="234"/>
    <n v="224651"/>
    <x v="19"/>
    <n v="59378"/>
    <n v="2726"/>
    <n v="1.2283429086403064E-2"/>
  </r>
  <r>
    <d v="2024-07-08T00:00:00"/>
    <x v="1"/>
    <n v="8045"/>
    <n v="894"/>
    <n v="231802"/>
    <x v="20"/>
    <n v="33705"/>
    <n v="7151"/>
    <n v="3.1831596565339126E-2"/>
  </r>
  <r>
    <d v="2024-07-08T00:00:00"/>
    <x v="3"/>
    <n v="2048"/>
    <n v="130"/>
    <n v="233720"/>
    <x v="21"/>
    <n v="11828"/>
    <n v="1918"/>
    <n v="8.2743030689985415E-3"/>
  </r>
  <r>
    <d v="2024-07-08T00:00:00"/>
    <x v="3"/>
    <n v="6772"/>
    <n v="536"/>
    <n v="239956"/>
    <x v="22"/>
    <n v="17909"/>
    <n v="6236"/>
    <n v="2.668149922984768E-2"/>
  </r>
  <r>
    <d v="2024-07-08T00:00:00"/>
    <x v="3"/>
    <n v="3529"/>
    <n v="305"/>
    <n v="243180"/>
    <x v="23"/>
    <n v="48356"/>
    <n v="3224"/>
    <n v="1.3435796562703162E-2"/>
  </r>
  <r>
    <d v="2024-07-15T00:00:00"/>
    <x v="0"/>
    <n v="3964"/>
    <n v="378"/>
    <n v="246766"/>
    <x v="24"/>
    <n v="23109"/>
    <n v="3586"/>
    <n v="1.4746278476848425E-2"/>
  </r>
  <r>
    <d v="2024-07-15T00:00:00"/>
    <x v="1"/>
    <n v="8137"/>
    <n v="1045"/>
    <n v="253858"/>
    <x v="25"/>
    <n v="12023"/>
    <n v="7092"/>
    <n v="2.8739777765170241E-2"/>
  </r>
  <r>
    <d v="2024-07-15T00:00:00"/>
    <x v="2"/>
    <n v="1963"/>
    <n v="137"/>
    <n v="255684"/>
    <x v="26"/>
    <n v="24537"/>
    <n v="1826"/>
    <n v="7.1929976601091952E-3"/>
  </r>
  <r>
    <d v="2024-07-15T00:00:00"/>
    <x v="0"/>
    <n v="1536"/>
    <n v="155"/>
    <n v="257065"/>
    <x v="27"/>
    <n v="36661"/>
    <n v="1381"/>
    <n v="5.4011983542184882E-3"/>
  </r>
  <r>
    <d v="2024-07-22T00:00:00"/>
    <x v="3"/>
    <n v="8340"/>
    <n v="911"/>
    <n v="264494"/>
    <x v="28"/>
    <n v="48659"/>
    <n v="7429"/>
    <n v="2.8899305623091436E-2"/>
  </r>
  <r>
    <d v="2024-07-22T00:00:00"/>
    <x v="1"/>
    <n v="8179"/>
    <n v="446"/>
    <n v="272227"/>
    <x v="29"/>
    <n v="43848"/>
    <n v="7733"/>
    <n v="2.9236958116252165E-2"/>
  </r>
  <r>
    <d v="2024-07-22T00:00:00"/>
    <x v="3"/>
    <n v="8967"/>
    <n v="993"/>
    <n v="280201"/>
    <x v="30"/>
    <n v="47804"/>
    <n v="7974"/>
    <n v="2.9291730798194155E-2"/>
  </r>
  <r>
    <d v="2024-07-22T00:00:00"/>
    <x v="2"/>
    <n v="9734"/>
    <n v="652"/>
    <n v="289283"/>
    <x v="31"/>
    <n v="25379"/>
    <n v="9082"/>
    <n v="3.2412446779276308E-2"/>
  </r>
  <r>
    <d v="2024-07-29T00:00:00"/>
    <x v="3"/>
    <n v="1845"/>
    <n v="104"/>
    <n v="291024"/>
    <x v="32"/>
    <n v="37766"/>
    <n v="1741"/>
    <n v="6.0183280732016746E-3"/>
  </r>
  <r>
    <d v="2024-07-29T00:00:00"/>
    <x v="3"/>
    <n v="6777"/>
    <n v="981"/>
    <n v="296820"/>
    <x v="33"/>
    <n v="53590"/>
    <n v="5796"/>
    <n v="1.9915883226125679E-2"/>
  </r>
  <r>
    <d v="2024-07-29T00:00:00"/>
    <x v="2"/>
    <n v="4036"/>
    <n v="591"/>
    <n v="300265"/>
    <x v="34"/>
    <n v="12563"/>
    <n v="3445"/>
    <n v="1.1606360757361364E-2"/>
  </r>
  <r>
    <d v="2024-07-29T00:00:00"/>
    <x v="1"/>
    <n v="6947"/>
    <n v="908"/>
    <n v="306304"/>
    <x v="35"/>
    <n v="46060"/>
    <n v="6039"/>
    <n v="2.0112234193129401E-2"/>
  </r>
  <r>
    <d v="2024-08-05T00:00:00"/>
    <x v="0"/>
    <n v="3494"/>
    <n v="281"/>
    <n v="309517"/>
    <x v="36"/>
    <n v="39197"/>
    <n v="3213"/>
    <n v="1.0489578980359382E-2"/>
  </r>
  <r>
    <d v="2024-08-05T00:00:00"/>
    <x v="1"/>
    <n v="3719"/>
    <n v="222"/>
    <n v="313014"/>
    <x v="37"/>
    <n v="13586"/>
    <n v="3497"/>
    <n v="1.1298248561468353E-2"/>
  </r>
  <r>
    <d v="2024-08-05T00:00:00"/>
    <x v="2"/>
    <n v="2884"/>
    <n v="341"/>
    <n v="315557"/>
    <x v="38"/>
    <n v="26087"/>
    <n v="2543"/>
    <n v="8.1242372545636942E-3"/>
  </r>
  <r>
    <d v="2024-08-05T00:00:00"/>
    <x v="3"/>
    <n v="5349"/>
    <n v="502"/>
    <n v="320404"/>
    <x v="39"/>
    <n v="58868"/>
    <n v="4847"/>
    <n v="1.5360140957101252E-2"/>
  </r>
  <r>
    <d v="2024-08-12T00:00:00"/>
    <x v="1"/>
    <n v="6179"/>
    <n v="384"/>
    <n v="326199"/>
    <x v="40"/>
    <n v="33225"/>
    <n v="5795"/>
    <n v="1.8086540742312831E-2"/>
  </r>
  <r>
    <d v="2024-08-12T00:00:00"/>
    <x v="0"/>
    <n v="7610"/>
    <n v="757"/>
    <n v="333052"/>
    <x v="41"/>
    <n v="39750"/>
    <n v="6853"/>
    <n v="2.1008648095181163E-2"/>
  </r>
  <r>
    <d v="2024-08-12T00:00:00"/>
    <x v="2"/>
    <n v="7430"/>
    <n v="397"/>
    <n v="340085"/>
    <x v="42"/>
    <n v="16643"/>
    <n v="7033"/>
    <n v="2.1116822598272942E-2"/>
  </r>
  <r>
    <d v="2024-08-12T00:00:00"/>
    <x v="1"/>
    <n v="8154"/>
    <n v="1149"/>
    <n v="347090"/>
    <x v="43"/>
    <n v="37523"/>
    <n v="7005"/>
    <n v="2.0597791728538452E-2"/>
  </r>
  <r>
    <d v="2024-08-19T00:00:00"/>
    <x v="0"/>
    <n v="7488"/>
    <n v="568"/>
    <n v="354010"/>
    <x v="44"/>
    <n v="46727"/>
    <n v="6920"/>
    <n v="1.9937192082745109E-2"/>
  </r>
  <r>
    <d v="2024-08-19T00:00:00"/>
    <x v="2"/>
    <n v="5737"/>
    <n v="666"/>
    <n v="359081"/>
    <x v="45"/>
    <n v="21005"/>
    <n v="5071"/>
    <n v="1.4324454111465778E-2"/>
  </r>
  <r>
    <d v="2024-08-19T00:00:00"/>
    <x v="0"/>
    <n v="7525"/>
    <n v="610"/>
    <n v="365996"/>
    <x v="46"/>
    <n v="53543"/>
    <n v="6915"/>
    <n v="1.9257493434628955E-2"/>
  </r>
  <r>
    <d v="2024-08-19T00:00:00"/>
    <x v="2"/>
    <n v="4850"/>
    <n v="494"/>
    <n v="370352"/>
    <x v="47"/>
    <n v="10161"/>
    <n v="4356"/>
    <n v="1.1901769418245008E-2"/>
  </r>
  <r>
    <d v="2024-08-26T00:00:00"/>
    <x v="3"/>
    <n v="1689"/>
    <n v="176"/>
    <n v="371865"/>
    <x v="48"/>
    <n v="26029"/>
    <n v="1513"/>
    <n v="4.0853026310104981E-3"/>
  </r>
  <r>
    <d v="2024-08-26T00:00:00"/>
    <x v="1"/>
    <n v="6175"/>
    <n v="422"/>
    <n v="377618"/>
    <x v="49"/>
    <n v="59745"/>
    <n v="5753"/>
    <n v="1.5470668118806557E-2"/>
  </r>
  <r>
    <d v="2024-08-26T00:00:00"/>
    <x v="0"/>
    <n v="9648"/>
    <n v="1417"/>
    <n v="385849"/>
    <x v="50"/>
    <n v="24226"/>
    <n v="8231"/>
    <n v="2.1797160093004041E-2"/>
  </r>
  <r>
    <d v="2024-08-26T00:00:00"/>
    <x v="2"/>
    <n v="6078"/>
    <n v="775"/>
    <n v="391152"/>
    <x v="51"/>
    <n v="38731"/>
    <n v="5303"/>
    <n v="1.3743718397611501E-2"/>
  </r>
  <r>
    <d v="2024-09-02T00:00:00"/>
    <x v="0"/>
    <n v="6448"/>
    <n v="928"/>
    <n v="396672"/>
    <x v="52"/>
    <n v="53922"/>
    <n v="5520"/>
    <n v="1.4112161001349859E-2"/>
  </r>
  <r>
    <d v="2024-09-02T00:00:00"/>
    <x v="0"/>
    <n v="2179"/>
    <n v="303"/>
    <n v="398548"/>
    <x v="53"/>
    <n v="54848"/>
    <n v="1876"/>
    <n v="4.7293481768312358E-3"/>
  </r>
  <r>
    <d v="2024-09-02T00:00:00"/>
    <x v="1"/>
    <n v="7406"/>
    <n v="813"/>
    <n v="405141"/>
    <x v="54"/>
    <n v="13390"/>
    <n v="6593"/>
    <n v="1.6542549454519908E-2"/>
  </r>
  <r>
    <d v="2024-09-02T00:00:00"/>
    <x v="3"/>
    <n v="9591"/>
    <n v="1363"/>
    <n v="413369"/>
    <x v="55"/>
    <n v="15997"/>
    <n v="8228"/>
    <n v="2.0308978849338872E-2"/>
  </r>
  <r>
    <d v="2024-09-09T00:00:00"/>
    <x v="0"/>
    <n v="7907"/>
    <n v="465"/>
    <n v="420811"/>
    <x v="56"/>
    <n v="22693"/>
    <n v="7442"/>
    <n v="1.8003285200389966E-2"/>
  </r>
  <r>
    <d v="2024-09-09T00:00:00"/>
    <x v="2"/>
    <n v="9800"/>
    <n v="682"/>
    <n v="429929"/>
    <x v="57"/>
    <n v="59815"/>
    <n v="9118"/>
    <n v="2.1667684542466807E-2"/>
  </r>
  <r>
    <d v="2024-09-09T00:00:00"/>
    <x v="2"/>
    <n v="2638"/>
    <n v="143"/>
    <n v="432424"/>
    <x v="58"/>
    <n v="52092"/>
    <n v="2495"/>
    <n v="5.8032837980224643E-3"/>
  </r>
  <r>
    <d v="2024-09-09T00:00:00"/>
    <x v="3"/>
    <n v="6671"/>
    <n v="550"/>
    <n v="438545"/>
    <x v="59"/>
    <n v="10541"/>
    <n v="6121"/>
    <n v="1.4155088524226223E-2"/>
  </r>
  <r>
    <d v="2024-09-16T00:00:00"/>
    <x v="2"/>
    <n v="7928"/>
    <n v="704"/>
    <n v="445769"/>
    <x v="60"/>
    <n v="31817"/>
    <n v="7224"/>
    <n v="1.6472653889566636E-2"/>
  </r>
  <r>
    <d v="2024-09-16T00:00:00"/>
    <x v="3"/>
    <n v="2382"/>
    <n v="183"/>
    <n v="447968"/>
    <x v="61"/>
    <n v="47861"/>
    <n v="2199"/>
    <n v="4.9330482828550213E-3"/>
  </r>
  <r>
    <d v="2024-09-16T00:00:00"/>
    <x v="2"/>
    <n v="2403"/>
    <n v="319"/>
    <n v="450052"/>
    <x v="62"/>
    <n v="23428"/>
    <n v="2084"/>
    <n v="4.6521180084291734E-3"/>
  </r>
  <r>
    <d v="2024-09-16T00:00:00"/>
    <x v="1"/>
    <n v="4292"/>
    <n v="367"/>
    <n v="453977"/>
    <x v="63"/>
    <n v="53934"/>
    <n v="3925"/>
    <n v="8.7212144374427848E-3"/>
  </r>
  <r>
    <d v="2024-09-23T00:00:00"/>
    <x v="0"/>
    <n v="1419"/>
    <n v="110"/>
    <n v="455286"/>
    <x v="64"/>
    <n v="58831"/>
    <n v="1309"/>
    <n v="2.8834059875280024E-3"/>
  </r>
  <r>
    <d v="2024-09-23T00:00:00"/>
    <x v="1"/>
    <n v="5517"/>
    <n v="575"/>
    <n v="460228"/>
    <x v="65"/>
    <n v="20258"/>
    <n v="4942"/>
    <n v="1.0854715497511455E-2"/>
  </r>
  <r>
    <d v="2024-09-23T00:00:00"/>
    <x v="0"/>
    <n v="4302"/>
    <n v="275"/>
    <n v="464255"/>
    <x v="66"/>
    <n v="26044"/>
    <n v="4027"/>
    <n v="8.7500108641803635E-3"/>
  </r>
  <r>
    <d v="2024-09-23T00:00:00"/>
    <x v="0"/>
    <n v="8857"/>
    <n v="1153"/>
    <n v="471959"/>
    <x v="67"/>
    <n v="39411"/>
    <n v="7704"/>
    <n v="1.6594328547888552E-2"/>
  </r>
  <r>
    <d v="2024-09-30T00:00:00"/>
    <x v="0"/>
    <n v="8870"/>
    <n v="509"/>
    <n v="480320"/>
    <x v="68"/>
    <n v="15469"/>
    <n v="8361"/>
    <n v="1.7715521899148018E-2"/>
  </r>
  <r>
    <d v="2024-09-30T00:00:00"/>
    <x v="1"/>
    <n v="6693"/>
    <n v="995"/>
    <n v="486018"/>
    <x v="69"/>
    <n v="38854"/>
    <n v="5698"/>
    <n v="1.186292471685543E-2"/>
  </r>
  <r>
    <d v="2024-09-30T00:00:00"/>
    <x v="0"/>
    <n v="1767"/>
    <n v="224"/>
    <n v="487561"/>
    <x v="70"/>
    <n v="16256"/>
    <n v="1543"/>
    <n v="3.1747795349143446E-3"/>
  </r>
  <r>
    <d v="2024-09-30T00:00:00"/>
    <x v="1"/>
    <n v="3044"/>
    <n v="212"/>
    <n v="490393"/>
    <x v="71"/>
    <n v="20720"/>
    <n v="2832"/>
    <n v="5.8085039615555795E-3"/>
  </r>
  <r>
    <d v="2024-10-07T00:00:00"/>
    <x v="3"/>
    <n v="2549"/>
    <n v="128"/>
    <n v="492814"/>
    <x v="72"/>
    <n v="43937"/>
    <n v="2421"/>
    <n v="4.936856765900003E-3"/>
  </r>
  <r>
    <d v="2024-10-07T00:00:00"/>
    <x v="2"/>
    <n v="7140"/>
    <n v="939"/>
    <n v="499015"/>
    <x v="73"/>
    <n v="43598"/>
    <n v="6201"/>
    <n v="1.2582840584885981E-2"/>
  </r>
  <r>
    <d v="2024-10-07T00:00:00"/>
    <x v="2"/>
    <n v="4716"/>
    <n v="569"/>
    <n v="503162"/>
    <x v="74"/>
    <n v="11651"/>
    <n v="4147"/>
    <n v="8.3103714317204896E-3"/>
  </r>
  <r>
    <d v="2024-10-07T00:00:00"/>
    <x v="0"/>
    <n v="5481"/>
    <n v="673"/>
    <n v="507970"/>
    <x v="75"/>
    <n v="29194"/>
    <n v="4808"/>
    <n v="9.5555705717045407E-3"/>
  </r>
  <r>
    <d v="2024-10-14T00:00:00"/>
    <x v="1"/>
    <n v="8898"/>
    <n v="1131"/>
    <n v="515737"/>
    <x v="76"/>
    <n v="35051"/>
    <n v="7767"/>
    <n v="1.5290273047620923E-2"/>
  </r>
  <r>
    <d v="2024-10-14T00:00:00"/>
    <x v="2"/>
    <n v="7548"/>
    <n v="433"/>
    <n v="522852"/>
    <x v="77"/>
    <n v="37386"/>
    <n v="7115"/>
    <n v="1.3795791265703256E-2"/>
  </r>
  <r>
    <d v="2024-10-14T00:00:00"/>
    <x v="1"/>
    <n v="3293"/>
    <n v="282"/>
    <n v="525863"/>
    <x v="78"/>
    <n v="19518"/>
    <n v="3011"/>
    <n v="5.758799813331497E-3"/>
  </r>
  <r>
    <d v="2024-10-14T00:00:00"/>
    <x v="1"/>
    <n v="5837"/>
    <n v="359"/>
    <n v="531341"/>
    <x v="79"/>
    <n v="56026"/>
    <n v="5478"/>
    <n v="1.0417161884369123E-2"/>
  </r>
  <r>
    <d v="2024-10-21T00:00:00"/>
    <x v="0"/>
    <n v="8758"/>
    <n v="1193"/>
    <n v="538906"/>
    <x v="80"/>
    <n v="26184"/>
    <n v="7565"/>
    <n v="1.4237561189518596E-2"/>
  </r>
  <r>
    <d v="2024-10-21T00:00:00"/>
    <x v="2"/>
    <n v="7793"/>
    <n v="875"/>
    <n v="545824"/>
    <x v="81"/>
    <n v="43787"/>
    <n v="6918"/>
    <n v="1.2837118161608889E-2"/>
  </r>
  <r>
    <d v="2024-10-21T00:00:00"/>
    <x v="0"/>
    <n v="8638"/>
    <n v="717"/>
    <n v="553745"/>
    <x v="82"/>
    <n v="31621"/>
    <n v="7921"/>
    <n v="1.4512003869379141E-2"/>
  </r>
  <r>
    <d v="2024-10-21T00:00:00"/>
    <x v="0"/>
    <n v="8993"/>
    <n v="506"/>
    <n v="562232"/>
    <x v="83"/>
    <n v="20028"/>
    <n v="8487"/>
    <n v="1.5326549223920757E-2"/>
  </r>
  <r>
    <d v="2024-10-28T00:00:00"/>
    <x v="2"/>
    <n v="7007"/>
    <n v="568"/>
    <n v="568671"/>
    <x v="84"/>
    <n v="22448"/>
    <n v="6439"/>
    <n v="1.1452567623329871E-2"/>
  </r>
  <r>
    <d v="2024-10-28T00:00:00"/>
    <x v="2"/>
    <n v="6542"/>
    <n v="539"/>
    <n v="574674"/>
    <x v="85"/>
    <n v="55253"/>
    <n v="6003"/>
    <n v="1.0556191541330575E-2"/>
  </r>
  <r>
    <d v="2024-10-28T00:00:00"/>
    <x v="3"/>
    <n v="7356"/>
    <n v="904"/>
    <n v="581126"/>
    <x v="86"/>
    <n v="44051"/>
    <n v="6452"/>
    <n v="1.1227234919275972E-2"/>
  </r>
  <r>
    <d v="2024-10-28T00:00:00"/>
    <x v="3"/>
    <n v="9433"/>
    <n v="1073"/>
    <n v="589486"/>
    <x v="87"/>
    <n v="59811"/>
    <n v="8360"/>
    <n v="1.4385864683390521E-2"/>
  </r>
  <r>
    <d v="2024-11-04T00:00:00"/>
    <x v="1"/>
    <n v="8380"/>
    <n v="1162"/>
    <n v="596704"/>
    <x v="88"/>
    <n v="40447"/>
    <n v="7218"/>
    <n v="1.2244565604611474E-2"/>
  </r>
  <r>
    <d v="2024-11-04T00:00:00"/>
    <x v="2"/>
    <n v="3385"/>
    <n v="329"/>
    <n v="599760"/>
    <x v="89"/>
    <n v="28394"/>
    <n v="3056"/>
    <n v="5.1214672601490856E-3"/>
  </r>
  <r>
    <d v="2024-11-04T00:00:00"/>
    <x v="3"/>
    <n v="5268"/>
    <n v="326"/>
    <n v="604702"/>
    <x v="90"/>
    <n v="44501"/>
    <n v="4942"/>
    <n v="8.2399626517273578E-3"/>
  </r>
  <r>
    <d v="2024-11-04T00:00:00"/>
    <x v="1"/>
    <n v="1671"/>
    <n v="202"/>
    <n v="606171"/>
    <x v="91"/>
    <n v="40254"/>
    <n v="1469"/>
    <n v="2.429295752287904E-3"/>
  </r>
  <r>
    <d v="2024-11-11T00:00:00"/>
    <x v="1"/>
    <n v="1163"/>
    <n v="146"/>
    <n v="607188"/>
    <x v="92"/>
    <n v="28509"/>
    <n v="1017"/>
    <n v="1.6777443988577482E-3"/>
  </r>
  <r>
    <d v="2024-11-11T00:00:00"/>
    <x v="1"/>
    <n v="9656"/>
    <n v="1024"/>
    <n v="615820"/>
    <x v="93"/>
    <n v="58998"/>
    <n v="8632"/>
    <n v="1.4216354736918384E-2"/>
  </r>
  <r>
    <d v="2024-11-11T00:00:00"/>
    <x v="3"/>
    <n v="5592"/>
    <n v="710"/>
    <n v="620702"/>
    <x v="94"/>
    <n v="24472"/>
    <n v="4882"/>
    <n v="7.9276411938553476E-3"/>
  </r>
  <r>
    <d v="2024-11-11T00:00:00"/>
    <x v="2"/>
    <n v="5795"/>
    <n v="575"/>
    <n v="625922"/>
    <x v="95"/>
    <n v="55657"/>
    <n v="5220"/>
    <n v="8.4098327377711037E-3"/>
  </r>
  <r>
    <d v="2024-11-18T00:00:00"/>
    <x v="0"/>
    <n v="5798"/>
    <n v="592"/>
    <n v="631128"/>
    <x v="96"/>
    <n v="13471"/>
    <n v="5206"/>
    <n v="8.3173302743792359E-3"/>
  </r>
  <r>
    <d v="2024-11-18T00:00:00"/>
    <x v="1"/>
    <n v="7036"/>
    <n v="652"/>
    <n v="637512"/>
    <x v="97"/>
    <n v="51796"/>
    <n v="6384"/>
    <n v="1.0115222268699852E-2"/>
  </r>
  <r>
    <d v="2024-11-18T00:00:00"/>
    <x v="3"/>
    <n v="3355"/>
    <n v="176"/>
    <n v="640691"/>
    <x v="98"/>
    <n v="40268"/>
    <n v="3179"/>
    <n v="4.9865728017668689E-3"/>
  </r>
  <r>
    <d v="2024-11-18T00:00:00"/>
    <x v="3"/>
    <n v="6887"/>
    <n v="418"/>
    <n v="647160"/>
    <x v="99"/>
    <n v="18329"/>
    <n v="6469"/>
    <n v="1.0096910991413958E-2"/>
  </r>
  <r>
    <d v="2024-11-25T00:00:00"/>
    <x v="0"/>
    <n v="8961"/>
    <n v="476"/>
    <n v="655645"/>
    <x v="100"/>
    <n v="44865"/>
    <n v="8485"/>
    <n v="1.3111131713950182E-2"/>
  </r>
  <r>
    <d v="2024-11-25T00:00:00"/>
    <x v="0"/>
    <n v="6827"/>
    <n v="775"/>
    <n v="661697"/>
    <x v="101"/>
    <n v="56850"/>
    <n v="6052"/>
    <n v="9.2306049767785919E-3"/>
  </r>
  <r>
    <d v="2024-11-25T00:00:00"/>
    <x v="3"/>
    <n v="9737"/>
    <n v="792"/>
    <n v="670642"/>
    <x v="102"/>
    <n v="56698"/>
    <n v="8945"/>
    <n v="1.3518271958313247E-2"/>
  </r>
  <r>
    <d v="2024-11-25T00:00:00"/>
    <x v="2"/>
    <n v="5719"/>
    <n v="576"/>
    <n v="675785"/>
    <x v="103"/>
    <n v="38272"/>
    <n v="5143"/>
    <n v="7.668771117824413E-3"/>
  </r>
  <r>
    <d v="2024-12-02T00:00:00"/>
    <x v="0"/>
    <n v="1593"/>
    <n v="224"/>
    <n v="677154"/>
    <x v="104"/>
    <n v="52845"/>
    <n v="1369"/>
    <n v="2.0257922268177007E-3"/>
  </r>
  <r>
    <d v="2024-12-02T00:00:00"/>
    <x v="3"/>
    <n v="5839"/>
    <n v="437"/>
    <n v="682556"/>
    <x v="105"/>
    <n v="16397"/>
    <n v="5402"/>
    <n v="7.9775058553888771E-3"/>
  </r>
  <r>
    <d v="2024-12-02T00:00:00"/>
    <x v="0"/>
    <n v="8394"/>
    <n v="764"/>
    <n v="690186"/>
    <x v="106"/>
    <n v="42373"/>
    <n v="7630"/>
    <n v="1.1178569963490176E-2"/>
  </r>
  <r>
    <d v="2024-12-02T00:00:00"/>
    <x v="2"/>
    <n v="4493"/>
    <n v="564"/>
    <n v="694115"/>
    <x v="107"/>
    <n v="45525"/>
    <n v="3929"/>
    <n v="5.6926683531685661E-3"/>
  </r>
  <r>
    <d v="2024-12-09T00:00:00"/>
    <x v="1"/>
    <n v="7164"/>
    <n v="522"/>
    <n v="700757"/>
    <x v="108"/>
    <n v="34570"/>
    <n v="6642"/>
    <n v="9.5690195428711385E-3"/>
  </r>
  <r>
    <d v="2024-12-09T00:00:00"/>
    <x v="0"/>
    <n v="3672"/>
    <n v="211"/>
    <n v="704218"/>
    <x v="109"/>
    <n v="28284"/>
    <n v="3461"/>
    <n v="4.9389445984842108E-3"/>
  </r>
  <r>
    <d v="2024-12-09T00:00:00"/>
    <x v="2"/>
    <n v="5200"/>
    <n v="410"/>
    <n v="709008"/>
    <x v="110"/>
    <n v="28994"/>
    <n v="4790"/>
    <n v="6.8018710115333603E-3"/>
  </r>
  <r>
    <d v="2024-12-09T00:00:00"/>
    <x v="3"/>
    <n v="1016"/>
    <n v="67"/>
    <n v="709957"/>
    <x v="111"/>
    <n v="33284"/>
    <n v="949"/>
    <n v="1.3384898336831178E-3"/>
  </r>
  <r>
    <d v="2024-12-16T00:00:00"/>
    <x v="0"/>
    <n v="4191"/>
    <n v="599"/>
    <n v="713549"/>
    <x v="112"/>
    <n v="27833"/>
    <n v="3592"/>
    <n v="5.0594613476590833E-3"/>
  </r>
  <r>
    <d v="2024-12-16T00:00:00"/>
    <x v="0"/>
    <n v="1392"/>
    <n v="182"/>
    <n v="714759"/>
    <x v="113"/>
    <n v="35122"/>
    <n v="1210"/>
    <n v="1.6957489955139731E-3"/>
  </r>
  <r>
    <d v="2024-12-16T00:00:00"/>
    <x v="3"/>
    <n v="9616"/>
    <n v="1089"/>
    <n v="723286"/>
    <x v="114"/>
    <n v="15017"/>
    <n v="8527"/>
    <n v="1.1929895251406418E-2"/>
  </r>
  <r>
    <d v="2024-12-16T00:00:00"/>
    <x v="1"/>
    <n v="7272"/>
    <n v="997"/>
    <n v="729561"/>
    <x v="115"/>
    <n v="26370"/>
    <n v="6275"/>
    <n v="8.6756829248734249E-3"/>
  </r>
  <r>
    <d v="2024-12-23T00:00:00"/>
    <x v="3"/>
    <n v="1571"/>
    <n v="204"/>
    <n v="730928"/>
    <x v="116"/>
    <n v="39252"/>
    <n v="1367"/>
    <n v="1.8737295442053509E-3"/>
  </r>
  <r>
    <d v="2024-12-23T00:00:00"/>
    <x v="0"/>
    <n v="4631"/>
    <n v="317"/>
    <n v="735242"/>
    <x v="117"/>
    <n v="17999"/>
    <n v="4314"/>
    <n v="5.9020861151850802E-3"/>
  </r>
  <r>
    <d v="2024-12-23T00:00:00"/>
    <x v="3"/>
    <n v="7172"/>
    <n v="998"/>
    <n v="741416"/>
    <x v="118"/>
    <n v="32436"/>
    <n v="6174"/>
    <n v="8.3972351960306946E-3"/>
  </r>
  <r>
    <d v="2024-12-23T00:00:00"/>
    <x v="2"/>
    <n v="8177"/>
    <n v="849"/>
    <n v="748744"/>
    <x v="119"/>
    <n v="52963"/>
    <n v="7328"/>
    <n v="9.8837899370933461E-3"/>
  </r>
  <r>
    <d v="2024-12-30T00:00:00"/>
    <x v="3"/>
    <n v="9433"/>
    <n v="1233"/>
    <n v="756944"/>
    <x v="120"/>
    <n v="12096"/>
    <n v="8200"/>
    <n v="1.0951673736283696E-2"/>
  </r>
  <r>
    <d v="2024-12-30T00:00:00"/>
    <x v="0"/>
    <n v="4897"/>
    <n v="683"/>
    <n v="761158"/>
    <x v="121"/>
    <n v="58201"/>
    <n v="4214"/>
    <n v="5.5671225348242403E-3"/>
  </r>
  <r>
    <d v="2024-12-30T00:00:00"/>
    <x v="3"/>
    <n v="9123"/>
    <n v="746"/>
    <n v="769535"/>
    <x v="122"/>
    <n v="35279"/>
    <n v="8377"/>
    <n v="1.1005599363075734E-2"/>
  </r>
  <r>
    <d v="2024-12-30T00:00:00"/>
    <x v="1"/>
    <n v="3279"/>
    <n v="200"/>
    <n v="772614"/>
    <x v="123"/>
    <n v="53363"/>
    <n v="3079"/>
    <n v="4.0011175580058084E-3"/>
  </r>
  <r>
    <d v="2025-01-06T00:00:00"/>
    <x v="3"/>
    <n v="9980"/>
    <n v="726"/>
    <n v="781868"/>
    <x v="124"/>
    <n v="58709"/>
    <n v="9254"/>
    <n v="1.1977520469471172E-2"/>
  </r>
  <r>
    <d v="2025-01-06T00:00:00"/>
    <x v="1"/>
    <n v="8451"/>
    <n v="783"/>
    <n v="789536"/>
    <x v="125"/>
    <n v="36201"/>
    <n v="7668"/>
    <n v="9.8072820476090596E-3"/>
  </r>
  <r>
    <d v="2025-01-06T00:00:00"/>
    <x v="2"/>
    <n v="9906"/>
    <n v="1305"/>
    <n v="798137"/>
    <x v="126"/>
    <n v="29715"/>
    <n v="8601"/>
    <n v="1.08937401207798E-2"/>
  </r>
  <r>
    <d v="2025-01-06T00:00:00"/>
    <x v="1"/>
    <n v="1775"/>
    <n v="241"/>
    <n v="799671"/>
    <x v="127"/>
    <n v="39309"/>
    <n v="1534"/>
    <n v="1.921975801146921E-3"/>
  </r>
  <r>
    <d v="2025-01-13T00:00:00"/>
    <x v="3"/>
    <n v="7869"/>
    <n v="398"/>
    <n v="807142"/>
    <x v="128"/>
    <n v="25078"/>
    <n v="7471"/>
    <n v="9.3425921410179944E-3"/>
  </r>
  <r>
    <d v="2025-01-13T00:00:00"/>
    <x v="0"/>
    <n v="3247"/>
    <n v="328"/>
    <n v="810061"/>
    <x v="129"/>
    <n v="15105"/>
    <n v="2919"/>
    <n v="3.6164640174839125E-3"/>
  </r>
  <r>
    <d v="2025-01-13T00:00:00"/>
    <x v="1"/>
    <n v="8088"/>
    <n v="742"/>
    <n v="817407"/>
    <x v="130"/>
    <n v="39312"/>
    <n v="7346"/>
    <n v="9.0684528695987084E-3"/>
  </r>
  <r>
    <d v="2025-01-13T00:00:00"/>
    <x v="2"/>
    <n v="1078"/>
    <n v="77"/>
    <n v="818408"/>
    <x v="131"/>
    <n v="12839"/>
    <n v="1001"/>
    <n v="1.2246041445693515E-3"/>
  </r>
  <r>
    <d v="2025-01-20T00:00:00"/>
    <x v="1"/>
    <n v="9080"/>
    <n v="562"/>
    <n v="826926"/>
    <x v="132"/>
    <n v="13384"/>
    <n v="8518"/>
    <n v="1.0408011651890011E-2"/>
  </r>
  <r>
    <d v="2025-01-20T00:00:00"/>
    <x v="1"/>
    <n v="8099"/>
    <n v="678"/>
    <n v="834347"/>
    <x v="133"/>
    <n v="53619"/>
    <n v="7421"/>
    <n v="8.9742008353830942E-3"/>
  </r>
  <r>
    <d v="2025-01-20T00:00:00"/>
    <x v="1"/>
    <n v="4926"/>
    <n v="710"/>
    <n v="838563"/>
    <x v="134"/>
    <n v="52821"/>
    <n v="4216"/>
    <n v="5.0530534657642441E-3"/>
  </r>
  <r>
    <d v="2025-01-20T00:00:00"/>
    <x v="2"/>
    <n v="8340"/>
    <n v="686"/>
    <n v="846217"/>
    <x v="135"/>
    <n v="23493"/>
    <n v="7654"/>
    <n v="9.1275193396322049E-3"/>
  </r>
  <r>
    <d v="2025-01-27T00:00:00"/>
    <x v="3"/>
    <n v="8083"/>
    <n v="823"/>
    <n v="853477"/>
    <x v="136"/>
    <n v="27069"/>
    <n v="7260"/>
    <n v="8.5793596677920681E-3"/>
  </r>
  <r>
    <d v="2025-01-27T00:00:00"/>
    <x v="1"/>
    <n v="7230"/>
    <n v="869"/>
    <n v="859838"/>
    <x v="137"/>
    <n v="56907"/>
    <n v="6361"/>
    <n v="7.4530420854926381E-3"/>
  </r>
  <r>
    <d v="2025-01-27T00:00:00"/>
    <x v="1"/>
    <n v="5940"/>
    <n v="512"/>
    <n v="865266"/>
    <x v="138"/>
    <n v="17531"/>
    <n v="5428"/>
    <n v="6.312817065540253E-3"/>
  </r>
  <r>
    <d v="2025-01-27T00:00:00"/>
    <x v="0"/>
    <n v="4271"/>
    <n v="628"/>
    <n v="868909"/>
    <x v="139"/>
    <n v="47051"/>
    <n v="3643"/>
    <n v="4.2102659760120007E-3"/>
  </r>
  <r>
    <d v="2025-02-03T00:00:00"/>
    <x v="2"/>
    <n v="4456"/>
    <n v="651"/>
    <n v="872714"/>
    <x v="140"/>
    <n v="17736"/>
    <n v="3805"/>
    <n v="4.3790546535943352E-3"/>
  </r>
  <r>
    <d v="2025-02-03T00:00:00"/>
    <x v="1"/>
    <n v="8788"/>
    <n v="660"/>
    <n v="880842"/>
    <x v="141"/>
    <n v="17710"/>
    <n v="8128"/>
    <n v="9.3134749757652572E-3"/>
  </r>
  <r>
    <d v="2025-02-03T00:00:00"/>
    <x v="2"/>
    <n v="9599"/>
    <n v="957"/>
    <n v="889484"/>
    <x v="142"/>
    <n v="11619"/>
    <n v="8642"/>
    <n v="9.8110671380338358E-3"/>
  </r>
  <r>
    <d v="2025-02-03T00:00:00"/>
    <x v="1"/>
    <n v="8650"/>
    <n v="692"/>
    <n v="897442"/>
    <x v="143"/>
    <n v="23975"/>
    <n v="7958"/>
    <n v="8.9467601440835366E-3"/>
  </r>
  <r>
    <d v="2025-02-10T00:00:00"/>
    <x v="3"/>
    <n v="3711"/>
    <n v="291"/>
    <n v="900862"/>
    <x v="144"/>
    <n v="55603"/>
    <n v="3420"/>
    <n v="3.8108312292047843E-3"/>
  </r>
  <r>
    <d v="2025-02-10T00:00:00"/>
    <x v="3"/>
    <n v="2668"/>
    <n v="143"/>
    <n v="903387"/>
    <x v="145"/>
    <n v="33252"/>
    <n v="2525"/>
    <n v="2.8028710279709877E-3"/>
  </r>
  <r>
    <d v="2025-02-10T00:00:00"/>
    <x v="1"/>
    <n v="1147"/>
    <n v="127"/>
    <n v="904407"/>
    <x v="146"/>
    <n v="25261"/>
    <n v="1020"/>
    <n v="1.1290842130781159E-3"/>
  </r>
  <r>
    <d v="2025-02-10T00:00:00"/>
    <x v="3"/>
    <n v="7420"/>
    <n v="743"/>
    <n v="911084"/>
    <x v="147"/>
    <n v="11431"/>
    <n v="6677"/>
    <n v="7.3827380814168843E-3"/>
  </r>
  <r>
    <d v="2025-02-17T00:00:00"/>
    <x v="1"/>
    <n v="1365"/>
    <n v="75"/>
    <n v="912374"/>
    <x v="148"/>
    <n v="19067"/>
    <n v="1290"/>
    <n v="1.4158957900698508E-3"/>
  </r>
  <r>
    <d v="2025-02-17T00:00:00"/>
    <x v="3"/>
    <n v="5531"/>
    <n v="430"/>
    <n v="917475"/>
    <x v="149"/>
    <n v="47481"/>
    <n v="5101"/>
    <n v="5.590908991268931E-3"/>
  </r>
  <r>
    <d v="2025-02-17T00:00:00"/>
    <x v="0"/>
    <n v="6330"/>
    <n v="891"/>
    <n v="922914"/>
    <x v="150"/>
    <n v="37037"/>
    <n v="5439"/>
    <n v="5.9282269271642282E-3"/>
  </r>
  <r>
    <d v="2025-02-17T00:00:00"/>
    <x v="0"/>
    <n v="6510"/>
    <n v="481"/>
    <n v="928943"/>
    <x v="151"/>
    <n v="19557"/>
    <n v="6029"/>
    <n v="6.5325696652125771E-3"/>
  </r>
  <r>
    <d v="2025-02-24T00:00:00"/>
    <x v="0"/>
    <n v="9754"/>
    <n v="629"/>
    <n v="938068"/>
    <x v="152"/>
    <n v="19435"/>
    <n v="9125"/>
    <n v="9.8229923687459825E-3"/>
  </r>
  <r>
    <d v="2025-02-24T00:00:00"/>
    <x v="2"/>
    <n v="9964"/>
    <n v="985"/>
    <n v="947047"/>
    <x v="153"/>
    <n v="47766"/>
    <n v="8979"/>
    <n v="9.5718007649765267E-3"/>
  </r>
  <r>
    <d v="2025-02-24T00:00:00"/>
    <x v="2"/>
    <n v="7493"/>
    <n v="1113"/>
    <n v="953427"/>
    <x v="154"/>
    <n v="10162"/>
    <n v="6380"/>
    <n v="6.7367300672511498E-3"/>
  </r>
  <r>
    <d v="2025-02-24T00:00:00"/>
    <x v="0"/>
    <n v="6439"/>
    <n v="477"/>
    <n v="959389"/>
    <x v="155"/>
    <n v="44742"/>
    <n v="5962"/>
    <n v="6.2532317628932266E-3"/>
  </r>
  <r>
    <d v="2025-03-03T00:00:00"/>
    <x v="2"/>
    <n v="7511"/>
    <n v="880"/>
    <n v="966020"/>
    <x v="156"/>
    <n v="29675"/>
    <n v="6631"/>
    <n v="6.9116906697908771E-3"/>
  </r>
  <r>
    <d v="2025-03-03T00:00:00"/>
    <x v="3"/>
    <n v="8504"/>
    <n v="1072"/>
    <n v="973452"/>
    <x v="157"/>
    <n v="18461"/>
    <n v="7432"/>
    <n v="7.6934224964286457E-3"/>
  </r>
  <r>
    <d v="2025-03-03T00:00:00"/>
    <x v="1"/>
    <n v="2246"/>
    <n v="165"/>
    <n v="975533"/>
    <x v="158"/>
    <n v="27015"/>
    <n v="2081"/>
    <n v="2.1377530684615165E-3"/>
  </r>
  <r>
    <d v="2025-03-03T00:00:00"/>
    <x v="1"/>
    <n v="4839"/>
    <n v="594"/>
    <n v="979778"/>
    <x v="159"/>
    <n v="42591"/>
    <n v="4245"/>
    <n v="4.3514673516938948E-3"/>
  </r>
  <r>
    <d v="2025-03-10T00:00:00"/>
    <x v="1"/>
    <n v="9551"/>
    <n v="828"/>
    <n v="988501"/>
    <x v="160"/>
    <n v="38047"/>
    <n v="8723"/>
    <n v="8.9030372186352427E-3"/>
  </r>
  <r>
    <d v="2025-03-10T00:00:00"/>
    <x v="0"/>
    <n v="3376"/>
    <n v="382"/>
    <n v="991495"/>
    <x v="161"/>
    <n v="44782"/>
    <n v="2994"/>
    <n v="3.028828498908954E-3"/>
  </r>
  <r>
    <d v="2025-03-10T00:00:00"/>
    <x v="2"/>
    <n v="4009"/>
    <n v="454"/>
    <n v="995050"/>
    <x v="162"/>
    <n v="19833"/>
    <n v="3555"/>
    <n v="3.5854946318438319E-3"/>
  </r>
  <r>
    <d v="2025-03-10T00:00:00"/>
    <x v="3"/>
    <n v="2827"/>
    <n v="292"/>
    <n v="997585"/>
    <x v="163"/>
    <n v="17896"/>
    <n v="2535"/>
    <n v="2.547610672830511E-3"/>
  </r>
  <r>
    <d v="2025-03-17T00:00:00"/>
    <x v="3"/>
    <n v="7979"/>
    <n v="470"/>
    <n v="1005094"/>
    <x v="164"/>
    <n v="42972"/>
    <n v="7509"/>
    <n v="7.5271781351964996E-3"/>
  </r>
  <r>
    <d v="2025-03-17T00:00:00"/>
    <x v="0"/>
    <n v="9569"/>
    <n v="1277"/>
    <n v="1013386"/>
    <x v="165"/>
    <n v="59733"/>
    <n v="8292"/>
    <n v="8.2499746292386579E-3"/>
  </r>
  <r>
    <d v="2025-03-17T00:00:00"/>
    <x v="3"/>
    <n v="5285"/>
    <n v="433"/>
    <n v="1018238"/>
    <x v="166"/>
    <n v="51800"/>
    <n v="4852"/>
    <n v="4.7879090494638765E-3"/>
  </r>
  <r>
    <d v="2025-03-17T00:00:00"/>
    <x v="3"/>
    <n v="7910"/>
    <n v="543"/>
    <n v="1025605"/>
    <x v="167"/>
    <n v="40508"/>
    <n v="7367"/>
    <n v="7.235047209002218E-3"/>
  </r>
  <r>
    <d v="2025-03-24T00:00:00"/>
    <x v="3"/>
    <n v="9561"/>
    <n v="517"/>
    <n v="1034649"/>
    <x v="168"/>
    <n v="15347"/>
    <n v="9044"/>
    <n v="8.8182097396171041E-3"/>
  </r>
  <r>
    <d v="2025-03-24T00:00:00"/>
    <x v="3"/>
    <n v="3196"/>
    <n v="348"/>
    <n v="1037497"/>
    <x v="169"/>
    <n v="40314"/>
    <n v="2848"/>
    <n v="2.7526243199384524E-3"/>
  </r>
  <r>
    <d v="2025-03-24T00:00:00"/>
    <x v="2"/>
    <n v="4747"/>
    <n v="558"/>
    <n v="1041686"/>
    <x v="170"/>
    <n v="12643"/>
    <n v="4189"/>
    <n v="4.0376020364396234E-3"/>
  </r>
  <r>
    <d v="2025-03-24T00:00:00"/>
    <x v="3"/>
    <n v="9843"/>
    <n v="508"/>
    <n v="1051021"/>
    <x v="171"/>
    <n v="50785"/>
    <n v="9335"/>
    <n v="8.9614336757909765E-3"/>
  </r>
  <r>
    <d v="2025-03-31T00:00:00"/>
    <x v="1"/>
    <n v="6978"/>
    <n v="706"/>
    <n v="1057293"/>
    <x v="172"/>
    <n v="28681"/>
    <n v="6272"/>
    <n v="5.9675306202254764E-3"/>
  </r>
  <r>
    <d v="2025-03-31T00:00:00"/>
    <x v="0"/>
    <n v="6607"/>
    <n v="479"/>
    <n v="1063421"/>
    <x v="173"/>
    <n v="48328"/>
    <n v="6128"/>
    <n v="5.7959335775418924E-3"/>
  </r>
  <r>
    <d v="2025-03-31T00:00:00"/>
    <x v="2"/>
    <n v="1769"/>
    <n v="202"/>
    <n v="1064988"/>
    <x v="174"/>
    <n v="25892"/>
    <n v="1567"/>
    <n v="1.4735462248723695E-3"/>
  </r>
  <r>
    <d v="2025-03-31T00:00:00"/>
    <x v="3"/>
    <n v="1780"/>
    <n v="120"/>
    <n v="1066648"/>
    <x v="175"/>
    <n v="57299"/>
    <n v="1660"/>
    <n v="1.5587030088601937E-3"/>
  </r>
  <r>
    <d v="2025-04-07T00:00:00"/>
    <x v="2"/>
    <n v="7303"/>
    <n v="869"/>
    <n v="1073082"/>
    <x v="176"/>
    <n v="27073"/>
    <n v="6434"/>
    <n v="6.0319805596597944E-3"/>
  </r>
  <r>
    <d v="2025-04-07T00:00:00"/>
    <x v="3"/>
    <n v="4983"/>
    <n v="441"/>
    <n v="1077624"/>
    <x v="177"/>
    <n v="46768"/>
    <n v="4542"/>
    <n v="4.2326681465162958E-3"/>
  </r>
  <r>
    <d v="2025-04-07T00:00:00"/>
    <x v="1"/>
    <n v="9714"/>
    <n v="1395"/>
    <n v="1085943"/>
    <x v="178"/>
    <n v="40682"/>
    <n v="8319"/>
    <n v="7.7197612525333513E-3"/>
  </r>
  <r>
    <d v="2025-04-07T00:00:00"/>
    <x v="0"/>
    <n v="1521"/>
    <n v="96"/>
    <n v="1087368"/>
    <x v="179"/>
    <n v="42262"/>
    <n v="1425"/>
    <n v="1.3122235697453734E-3"/>
  </r>
  <r>
    <d v="2025-04-14T00:00:00"/>
    <x v="3"/>
    <n v="8569"/>
    <n v="720"/>
    <n v="1095217"/>
    <x v="180"/>
    <n v="41358"/>
    <n v="7849"/>
    <n v="7.2183474223997766E-3"/>
  </r>
  <r>
    <d v="2025-04-14T00:00:00"/>
    <x v="3"/>
    <n v="6784"/>
    <n v="416"/>
    <n v="1101585"/>
    <x v="181"/>
    <n v="24289"/>
    <n v="6368"/>
    <n v="5.8143728594424668E-3"/>
  </r>
  <r>
    <d v="2025-04-14T00:00:00"/>
    <x v="3"/>
    <n v="5583"/>
    <n v="795"/>
    <n v="1106373"/>
    <x v="182"/>
    <n v="59823"/>
    <n v="4788"/>
    <n v="4.346464412641784E-3"/>
  </r>
  <r>
    <d v="2025-04-14T00:00:00"/>
    <x v="3"/>
    <n v="6946"/>
    <n v="956"/>
    <n v="1112363"/>
    <x v="183"/>
    <n v="17927"/>
    <n v="5990"/>
    <n v="5.4140872924411569E-3"/>
  </r>
  <r>
    <d v="2025-04-21T00:00:00"/>
    <x v="0"/>
    <n v="5941"/>
    <n v="450"/>
    <n v="1117854"/>
    <x v="184"/>
    <n v="58330"/>
    <n v="5491"/>
    <n v="4.9363382277188292E-3"/>
  </r>
  <r>
    <d v="2025-04-21T00:00:00"/>
    <x v="0"/>
    <n v="7267"/>
    <n v="842"/>
    <n v="1124279"/>
    <x v="185"/>
    <n v="11171"/>
    <n v="6425"/>
    <n v="5.7476199933086071E-3"/>
  </r>
  <r>
    <d v="2025-04-21T00:00:00"/>
    <x v="1"/>
    <n v="8128"/>
    <n v="1070"/>
    <n v="1131337"/>
    <x v="186"/>
    <n v="21918"/>
    <n v="7058"/>
    <n v="6.277801150781968E-3"/>
  </r>
  <r>
    <d v="2025-04-21T00:00:00"/>
    <x v="0"/>
    <n v="3461"/>
    <n v="365"/>
    <n v="1134433"/>
    <x v="187"/>
    <n v="51903"/>
    <n v="3096"/>
    <n v="2.7365851200835825E-3"/>
  </r>
  <r>
    <d v="2025-04-28T00:00:00"/>
    <x v="3"/>
    <n v="1685"/>
    <n v="173"/>
    <n v="1135945"/>
    <x v="188"/>
    <n v="49110"/>
    <n v="1512"/>
    <n v="1.3328244153687349E-3"/>
  </r>
  <r>
    <d v="2025-04-28T00:00:00"/>
    <x v="1"/>
    <n v="3160"/>
    <n v="234"/>
    <n v="1138871"/>
    <x v="189"/>
    <n v="21929"/>
    <n v="2926"/>
    <n v="2.5758289353797941E-3"/>
  </r>
  <r>
    <d v="2025-04-28T00:00:00"/>
    <x v="1"/>
    <n v="8031"/>
    <n v="476"/>
    <n v="1146426"/>
    <x v="190"/>
    <n v="12539"/>
    <n v="7555"/>
    <n v="6.6337627352000359E-3"/>
  </r>
  <r>
    <d v="2025-04-28T00:00:00"/>
    <x v="1"/>
    <n v="6341"/>
    <n v="885"/>
    <n v="1151882"/>
    <x v="191"/>
    <n v="46727"/>
    <n v="5456"/>
    <n v="4.7591384005596527E-3"/>
  </r>
  <r>
    <d v="2025-05-05T00:00:00"/>
    <x v="3"/>
    <n v="1038"/>
    <n v="145"/>
    <n v="1152775"/>
    <x v="192"/>
    <n v="55951"/>
    <n v="893"/>
    <n v="7.7525302070871843E-4"/>
  </r>
  <r>
    <d v="2025-05-05T00:00:00"/>
    <x v="2"/>
    <n v="5875"/>
    <n v="665"/>
    <n v="1157985"/>
    <x v="193"/>
    <n v="32669"/>
    <n v="5210"/>
    <n v="4.5195289627203922E-3"/>
  </r>
  <r>
    <d v="2025-05-05T00:00:00"/>
    <x v="3"/>
    <n v="2256"/>
    <n v="189"/>
    <n v="1160052"/>
    <x v="194"/>
    <n v="15432"/>
    <n v="2067"/>
    <n v="1.7849972149898315E-3"/>
  </r>
  <r>
    <d v="2025-05-05T00:00:00"/>
    <x v="0"/>
    <n v="8697"/>
    <n v="738"/>
    <n v="1168011"/>
    <x v="195"/>
    <n v="30644"/>
    <n v="7959"/>
    <n v="6.8608993389951481E-3"/>
  </r>
  <r>
    <d v="2025-05-12T00:00:00"/>
    <x v="0"/>
    <n v="3196"/>
    <n v="391"/>
    <n v="1170816"/>
    <x v="196"/>
    <n v="28745"/>
    <n v="2805"/>
    <n v="2.4015184788499424E-3"/>
  </r>
  <r>
    <d v="2025-05-12T00:00:00"/>
    <x v="3"/>
    <n v="8165"/>
    <n v="1140"/>
    <n v="1177841"/>
    <x v="197"/>
    <n v="38228"/>
    <n v="7025"/>
    <n v="6.0000888269377941E-3"/>
  </r>
  <r>
    <d v="2025-05-12T00:00:00"/>
    <x v="3"/>
    <n v="1301"/>
    <n v="180"/>
    <n v="1178962"/>
    <x v="198"/>
    <n v="44521"/>
    <n v="1121"/>
    <n v="9.5174136407206067E-4"/>
  </r>
  <r>
    <d v="2025-05-12T00:00:00"/>
    <x v="1"/>
    <n v="8527"/>
    <n v="1091"/>
    <n v="1186398"/>
    <x v="199"/>
    <n v="41703"/>
    <n v="7436"/>
    <n v="6.3072431511787489E-3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7">
  <r>
    <s v="A82"/>
    <x v="0"/>
    <d v="2024-07-24T00:00:00"/>
    <x v="0"/>
    <x v="0"/>
    <n v="22914"/>
    <n v="954"/>
    <n v="584"/>
    <n v="1519"/>
    <n v="13637"/>
    <n v="49847"/>
    <x v="0"/>
    <n v="0.49054105563022848"/>
  </r>
  <r>
    <s v="A82"/>
    <x v="0"/>
    <d v="2024-07-24T00:00:00"/>
    <x v="0"/>
    <x v="1"/>
    <n v="22914"/>
    <n v="954"/>
    <n v="584"/>
    <n v="1519"/>
    <n v="13637"/>
    <n v="49847"/>
    <x v="0"/>
    <n v="0.49054105563022848"/>
  </r>
  <r>
    <s v="A201"/>
    <x v="1"/>
    <d v="2025-01-15T00:00:00"/>
    <x v="1"/>
    <x v="2"/>
    <n v="20360"/>
    <n v="254"/>
    <n v="726"/>
    <n v="1995"/>
    <n v="14280"/>
    <n v="43726"/>
    <x v="1"/>
    <n v="0.48803915290673738"/>
  </r>
  <r>
    <s v="A121"/>
    <x v="0"/>
    <d v="2024-07-29T00:00:00"/>
    <x v="0"/>
    <x v="3"/>
    <n v="19144"/>
    <n v="1182"/>
    <n v="860"/>
    <n v="1398"/>
    <n v="4185"/>
    <n v="46570"/>
    <x v="0"/>
    <n v="0.454928065278076"/>
  </r>
  <r>
    <s v="A121"/>
    <x v="0"/>
    <d v="2024-07-29T00:00:00"/>
    <x v="0"/>
    <x v="4"/>
    <n v="19144"/>
    <n v="1182"/>
    <n v="860"/>
    <n v="1398"/>
    <n v="4185"/>
    <n v="46570"/>
    <x v="0"/>
    <n v="0.454928065278076"/>
  </r>
  <r>
    <s v="A127"/>
    <x v="2"/>
    <d v="2025-01-27T00:00:00"/>
    <x v="2"/>
    <x v="5"/>
    <n v="24415"/>
    <n v="860"/>
    <n v="931"/>
    <n v="320"/>
    <n v="65049"/>
    <n v="62911"/>
    <x v="0"/>
    <n v="0.41655672298962027"/>
  </r>
  <r>
    <s v="A127"/>
    <x v="2"/>
    <d v="2025-01-27T00:00:00"/>
    <x v="2"/>
    <x v="6"/>
    <n v="24415"/>
    <n v="860"/>
    <n v="931"/>
    <n v="320"/>
    <n v="65049"/>
    <n v="62911"/>
    <x v="0"/>
    <n v="0.41655672298962027"/>
  </r>
  <r>
    <s v="A13"/>
    <x v="1"/>
    <d v="2024-11-18T00:00:00"/>
    <x v="3"/>
    <x v="0"/>
    <n v="21255"/>
    <n v="1452"/>
    <n v="625"/>
    <n v="1624"/>
    <n v="21282"/>
    <n v="57778"/>
    <x v="2"/>
    <n v="0.40382152376337016"/>
  </r>
  <r>
    <s v="A13"/>
    <x v="1"/>
    <d v="2024-11-18T00:00:00"/>
    <x v="3"/>
    <x v="1"/>
    <n v="21255"/>
    <n v="1452"/>
    <n v="625"/>
    <n v="1624"/>
    <n v="21282"/>
    <n v="57778"/>
    <x v="2"/>
    <n v="0.40382152376337016"/>
  </r>
  <r>
    <s v="A123"/>
    <x v="2"/>
    <d v="2024-06-14T00:00:00"/>
    <x v="0"/>
    <x v="5"/>
    <n v="17183"/>
    <n v="1224"/>
    <n v="943"/>
    <n v="2010"/>
    <n v="21481"/>
    <n v="49110"/>
    <x v="3"/>
    <n v="0.39401343921808185"/>
  </r>
  <r>
    <s v="A123"/>
    <x v="2"/>
    <d v="2024-06-14T00:00:00"/>
    <x v="0"/>
    <x v="6"/>
    <n v="17183"/>
    <n v="1224"/>
    <n v="943"/>
    <n v="2010"/>
    <n v="21481"/>
    <n v="49110"/>
    <x v="3"/>
    <n v="0.39401343921808185"/>
  </r>
  <r>
    <s v="A287"/>
    <x v="3"/>
    <d v="2024-08-15T00:00:00"/>
    <x v="0"/>
    <x v="5"/>
    <n v="14977"/>
    <n v="274"/>
    <n v="798"/>
    <n v="458"/>
    <n v="6636"/>
    <n v="43654"/>
    <x v="0"/>
    <n v="0.36764099509781462"/>
  </r>
  <r>
    <s v="A287"/>
    <x v="3"/>
    <d v="2024-08-15T00:00:00"/>
    <x v="0"/>
    <x v="7"/>
    <n v="14977"/>
    <n v="274"/>
    <n v="798"/>
    <n v="458"/>
    <n v="6636"/>
    <n v="43654"/>
    <x v="0"/>
    <n v="0.36764099509781462"/>
  </r>
  <r>
    <s v="A226"/>
    <x v="2"/>
    <d v="2025-09-08T00:00:00"/>
    <x v="1"/>
    <x v="8"/>
    <n v="23785"/>
    <n v="1013"/>
    <n v="468"/>
    <n v="1628"/>
    <n v="8272"/>
    <n v="71348"/>
    <x v="4"/>
    <n v="0.35412345125301342"/>
  </r>
  <r>
    <s v="A226"/>
    <x v="2"/>
    <d v="2025-09-08T00:00:00"/>
    <x v="1"/>
    <x v="9"/>
    <n v="23785"/>
    <n v="1013"/>
    <n v="468"/>
    <n v="1628"/>
    <n v="8272"/>
    <n v="71348"/>
    <x v="4"/>
    <n v="0.35412345125301342"/>
  </r>
  <r>
    <s v="A231"/>
    <x v="2"/>
    <d v="2025-09-09T00:00:00"/>
    <x v="2"/>
    <x v="0"/>
    <n v="19260"/>
    <n v="668"/>
    <n v="994"/>
    <n v="934"/>
    <n v="20509"/>
    <n v="61636"/>
    <x v="4"/>
    <n v="0.33944448049841003"/>
  </r>
  <r>
    <s v="A231"/>
    <x v="2"/>
    <d v="2025-09-09T00:00:00"/>
    <x v="2"/>
    <x v="1"/>
    <n v="19260"/>
    <n v="668"/>
    <n v="994"/>
    <n v="934"/>
    <n v="20509"/>
    <n v="61636"/>
    <x v="4"/>
    <n v="0.33944448049841003"/>
  </r>
  <r>
    <s v="A185"/>
    <x v="3"/>
    <d v="2025-01-11T00:00:00"/>
    <x v="2"/>
    <x v="10"/>
    <n v="21181"/>
    <n v="1242"/>
    <n v="963"/>
    <n v="1689"/>
    <n v="49329"/>
    <n v="69165"/>
    <x v="0"/>
    <n v="0.33811899081905589"/>
  </r>
  <r>
    <s v="A185"/>
    <x v="3"/>
    <d v="2025-01-11T00:00:00"/>
    <x v="2"/>
    <x v="11"/>
    <n v="21181"/>
    <n v="1242"/>
    <n v="963"/>
    <n v="1689"/>
    <n v="49329"/>
    <n v="69165"/>
    <x v="0"/>
    <n v="0.33811899081905589"/>
  </r>
  <r>
    <s v="A106"/>
    <x v="2"/>
    <d v="2025-02-04T00:00:00"/>
    <x v="3"/>
    <x v="8"/>
    <n v="23833"/>
    <n v="555"/>
    <n v="523"/>
    <n v="1330"/>
    <n v="69141"/>
    <n v="73997"/>
    <x v="1"/>
    <n v="0.33664878305877266"/>
  </r>
  <r>
    <s v="A106"/>
    <x v="2"/>
    <d v="2025-02-04T00:00:00"/>
    <x v="3"/>
    <x v="9"/>
    <n v="23833"/>
    <n v="555"/>
    <n v="523"/>
    <n v="1330"/>
    <n v="69141"/>
    <n v="73997"/>
    <x v="1"/>
    <n v="0.33664878305877266"/>
  </r>
  <r>
    <s v="A174"/>
    <x v="0"/>
    <d v="2024-06-22T00:00:00"/>
    <x v="3"/>
    <x v="3"/>
    <n v="13479"/>
    <n v="1189"/>
    <n v="695"/>
    <n v="416"/>
    <n v="30229"/>
    <n v="45704"/>
    <x v="0"/>
    <n v="0.33614125678277612"/>
  </r>
  <r>
    <s v="A174"/>
    <x v="0"/>
    <d v="2024-06-22T00:00:00"/>
    <x v="3"/>
    <x v="4"/>
    <n v="13479"/>
    <n v="1189"/>
    <n v="695"/>
    <n v="416"/>
    <n v="30229"/>
    <n v="45704"/>
    <x v="0"/>
    <n v="0.33614125678277612"/>
  </r>
  <r>
    <s v="A254"/>
    <x v="3"/>
    <d v="2025-01-14T00:00:00"/>
    <x v="3"/>
    <x v="5"/>
    <n v="24350"/>
    <n v="460"/>
    <n v="666"/>
    <n v="814"/>
    <n v="21120"/>
    <n v="76914"/>
    <x v="0"/>
    <n v="0.33122708479600593"/>
  </r>
  <r>
    <s v="A254"/>
    <x v="3"/>
    <d v="2025-01-14T00:00:00"/>
    <x v="3"/>
    <x v="6"/>
    <n v="24350"/>
    <n v="460"/>
    <n v="666"/>
    <n v="814"/>
    <n v="21120"/>
    <n v="76914"/>
    <x v="0"/>
    <n v="0.33122708479600593"/>
  </r>
  <r>
    <s v="A223"/>
    <x v="2"/>
    <d v="2024-11-12T00:00:00"/>
    <x v="0"/>
    <x v="12"/>
    <n v="17913"/>
    <n v="1311"/>
    <n v="859"/>
    <n v="405"/>
    <n v="59842"/>
    <n v="62612"/>
    <x v="3"/>
    <n v="0.32075321024723696"/>
  </r>
  <r>
    <s v="A223"/>
    <x v="2"/>
    <d v="2024-11-12T00:00:00"/>
    <x v="0"/>
    <x v="13"/>
    <n v="17913"/>
    <n v="1311"/>
    <n v="859"/>
    <n v="405"/>
    <n v="59842"/>
    <n v="62612"/>
    <x v="3"/>
    <n v="0.32075321024723696"/>
  </r>
  <r>
    <s v="A164"/>
    <x v="0"/>
    <d v="2025-02-27T00:00:00"/>
    <x v="2"/>
    <x v="10"/>
    <n v="16178"/>
    <n v="1048"/>
    <n v="871"/>
    <n v="2553"/>
    <n v="39025"/>
    <n v="59508"/>
    <x v="0"/>
    <n v="0.30411037171472743"/>
  </r>
  <r>
    <s v="A164"/>
    <x v="0"/>
    <d v="2025-02-27T00:00:00"/>
    <x v="2"/>
    <x v="11"/>
    <n v="16178"/>
    <n v="1048"/>
    <n v="871"/>
    <n v="2553"/>
    <n v="39025"/>
    <n v="59508"/>
    <x v="0"/>
    <n v="0.30411037171472743"/>
  </r>
  <r>
    <s v="A151"/>
    <x v="1"/>
    <d v="2024-07-26T00:00:00"/>
    <x v="0"/>
    <x v="14"/>
    <n v="18282"/>
    <n v="224"/>
    <n v="962"/>
    <n v="890"/>
    <n v="35105"/>
    <n v="64089"/>
    <x v="1"/>
    <n v="0.30376507669022768"/>
  </r>
  <r>
    <s v="A140"/>
    <x v="3"/>
    <d v="2024-07-15T00:00:00"/>
    <x v="1"/>
    <x v="0"/>
    <n v="14891"/>
    <n v="674"/>
    <n v="521"/>
    <n v="1091"/>
    <n v="18101"/>
    <n v="53669"/>
    <x v="0"/>
    <n v="0.29972609886526674"/>
  </r>
  <r>
    <s v="A140"/>
    <x v="3"/>
    <d v="2024-07-15T00:00:00"/>
    <x v="1"/>
    <x v="1"/>
    <n v="14891"/>
    <n v="674"/>
    <n v="521"/>
    <n v="1091"/>
    <n v="18101"/>
    <n v="53669"/>
    <x v="0"/>
    <n v="0.29972609886526674"/>
  </r>
  <r>
    <s v="A83"/>
    <x v="3"/>
    <d v="2024-10-15T00:00:00"/>
    <x v="3"/>
    <x v="2"/>
    <n v="17781"/>
    <n v="993"/>
    <n v="627"/>
    <n v="2187"/>
    <n v="9609"/>
    <n v="66155"/>
    <x v="1"/>
    <n v="0.29326581513113142"/>
  </r>
  <r>
    <s v="A196"/>
    <x v="2"/>
    <d v="2025-09-18T00:00:00"/>
    <x v="1"/>
    <x v="14"/>
    <n v="10152"/>
    <n v="1445"/>
    <n v="526"/>
    <n v="513"/>
    <n v="18959"/>
    <n v="43712"/>
    <x v="4"/>
    <n v="0.27733803074670571"/>
  </r>
  <r>
    <s v="A136"/>
    <x v="3"/>
    <d v="2025-10-02T00:00:00"/>
    <x v="3"/>
    <x v="12"/>
    <n v="12161"/>
    <n v="736"/>
    <n v="876"/>
    <n v="1233"/>
    <n v="21337"/>
    <n v="50225"/>
    <x v="4"/>
    <n v="0.27422598307615731"/>
  </r>
  <r>
    <s v="A136"/>
    <x v="3"/>
    <d v="2025-10-02T00:00:00"/>
    <x v="3"/>
    <x v="13"/>
    <n v="12161"/>
    <n v="736"/>
    <n v="876"/>
    <n v="1233"/>
    <n v="21337"/>
    <n v="50225"/>
    <x v="4"/>
    <n v="0.27422598307615731"/>
  </r>
  <r>
    <s v="A5"/>
    <x v="1"/>
    <d v="2025-09-04T00:00:00"/>
    <x v="0"/>
    <x v="3"/>
    <n v="21708"/>
    <n v="435"/>
    <n v="317"/>
    <n v="1213"/>
    <n v="70701"/>
    <n v="83585"/>
    <x v="4"/>
    <n v="0.26870850032900639"/>
  </r>
  <r>
    <s v="A5"/>
    <x v="1"/>
    <d v="2025-09-04T00:00:00"/>
    <x v="0"/>
    <x v="4"/>
    <n v="21708"/>
    <n v="435"/>
    <n v="317"/>
    <n v="1213"/>
    <n v="70701"/>
    <n v="83585"/>
    <x v="4"/>
    <n v="0.26870850032900639"/>
  </r>
  <r>
    <s v="A80"/>
    <x v="0"/>
    <d v="2024-06-13T00:00:00"/>
    <x v="2"/>
    <x v="3"/>
    <n v="14173"/>
    <n v="294"/>
    <n v="257"/>
    <n v="1288"/>
    <n v="39466"/>
    <n v="55563"/>
    <x v="2"/>
    <n v="0.26499649047027696"/>
  </r>
  <r>
    <s v="A80"/>
    <x v="0"/>
    <d v="2024-06-13T00:00:00"/>
    <x v="2"/>
    <x v="4"/>
    <n v="14173"/>
    <n v="294"/>
    <n v="257"/>
    <n v="1288"/>
    <n v="39466"/>
    <n v="55563"/>
    <x v="2"/>
    <n v="0.26499649047027696"/>
  </r>
  <r>
    <s v="A150"/>
    <x v="0"/>
    <d v="2024-08-22T00:00:00"/>
    <x v="0"/>
    <x v="15"/>
    <n v="16124"/>
    <n v="863"/>
    <n v="337"/>
    <n v="819"/>
    <n v="85788"/>
    <n v="68625"/>
    <x v="1"/>
    <n v="0.25244444444444447"/>
  </r>
  <r>
    <s v="A150"/>
    <x v="0"/>
    <d v="2024-08-22T00:00:00"/>
    <x v="0"/>
    <x v="2"/>
    <n v="16124"/>
    <n v="863"/>
    <n v="337"/>
    <n v="819"/>
    <n v="85788"/>
    <n v="68625"/>
    <x v="1"/>
    <n v="0.25244444444444447"/>
  </r>
  <r>
    <s v="A220"/>
    <x v="1"/>
    <d v="2024-06-02T00:00:00"/>
    <x v="0"/>
    <x v="10"/>
    <n v="14199"/>
    <n v="1206"/>
    <n v="954"/>
    <n v="2009"/>
    <n v="8"/>
    <n v="65537"/>
    <x v="3"/>
    <n v="0.24961472145505592"/>
  </r>
  <r>
    <s v="A220"/>
    <x v="1"/>
    <d v="2024-06-02T00:00:00"/>
    <x v="0"/>
    <x v="11"/>
    <n v="14199"/>
    <n v="1206"/>
    <n v="954"/>
    <n v="2009"/>
    <n v="8"/>
    <n v="65537"/>
    <x v="3"/>
    <n v="0.24961472145505592"/>
  </r>
  <r>
    <s v="A21"/>
    <x v="2"/>
    <d v="2025-09-08T00:00:00"/>
    <x v="3"/>
    <x v="15"/>
    <n v="22309"/>
    <n v="773"/>
    <n v="854"/>
    <n v="2387"/>
    <n v="72396"/>
    <n v="97056"/>
    <x v="4"/>
    <n v="0.24662050774810418"/>
  </r>
  <r>
    <s v="A21"/>
    <x v="2"/>
    <d v="2025-09-08T00:00:00"/>
    <x v="3"/>
    <x v="2"/>
    <n v="22309"/>
    <n v="773"/>
    <n v="854"/>
    <n v="2387"/>
    <n v="72396"/>
    <n v="97056"/>
    <x v="4"/>
    <n v="0.24662050774810418"/>
  </r>
  <r>
    <s v="A244"/>
    <x v="3"/>
    <d v="2025-09-13T00:00:00"/>
    <x v="0"/>
    <x v="15"/>
    <n v="15046"/>
    <n v="281"/>
    <n v="515"/>
    <n v="550"/>
    <n v="22583"/>
    <n v="64596"/>
    <x v="4"/>
    <n v="0.24524738373893121"/>
  </r>
  <r>
    <s v="A244"/>
    <x v="3"/>
    <d v="2025-09-13T00:00:00"/>
    <x v="0"/>
    <x v="2"/>
    <n v="15046"/>
    <n v="281"/>
    <n v="515"/>
    <n v="550"/>
    <n v="22583"/>
    <n v="64596"/>
    <x v="4"/>
    <n v="0.24524738373893121"/>
  </r>
  <r>
    <s v="A76"/>
    <x v="2"/>
    <d v="2024-11-07T00:00:00"/>
    <x v="3"/>
    <x v="2"/>
    <n v="17254"/>
    <n v="246"/>
    <n v="952"/>
    <n v="871"/>
    <n v="14957"/>
    <n v="75946"/>
    <x v="2"/>
    <n v="0.24296210465330631"/>
  </r>
  <r>
    <s v="A216"/>
    <x v="3"/>
    <d v="2024-07-29T00:00:00"/>
    <x v="1"/>
    <x v="3"/>
    <n v="22590"/>
    <n v="1462"/>
    <n v="966"/>
    <n v="2463"/>
    <n v="29689"/>
    <n v="103449"/>
    <x v="3"/>
    <n v="0.24183897379385011"/>
  </r>
  <r>
    <s v="A216"/>
    <x v="3"/>
    <d v="2024-07-29T00:00:00"/>
    <x v="1"/>
    <x v="4"/>
    <n v="22590"/>
    <n v="1462"/>
    <n v="966"/>
    <n v="2463"/>
    <n v="29689"/>
    <n v="103449"/>
    <x v="3"/>
    <n v="0.24183897379385011"/>
  </r>
  <r>
    <s v="A51"/>
    <x v="1"/>
    <d v="2024-06-13T00:00:00"/>
    <x v="3"/>
    <x v="8"/>
    <n v="23164"/>
    <n v="1122"/>
    <n v="900"/>
    <n v="888"/>
    <n v="36938"/>
    <n v="104674"/>
    <x v="0"/>
    <n v="0.24061371496264594"/>
  </r>
  <r>
    <s v="A51"/>
    <x v="1"/>
    <d v="2024-06-13T00:00:00"/>
    <x v="3"/>
    <x v="9"/>
    <n v="23164"/>
    <n v="1122"/>
    <n v="900"/>
    <n v="888"/>
    <n v="36938"/>
    <n v="104674"/>
    <x v="0"/>
    <n v="0.24061371496264594"/>
  </r>
  <r>
    <s v="A6"/>
    <x v="0"/>
    <d v="2025-09-05T00:00:00"/>
    <x v="2"/>
    <x v="2"/>
    <n v="14677"/>
    <n v="533"/>
    <n v="759"/>
    <n v="753"/>
    <n v="23275"/>
    <n v="66958"/>
    <x v="4"/>
    <n v="0.23849278652289496"/>
  </r>
  <r>
    <s v="A289"/>
    <x v="3"/>
    <d v="2024-11-28T00:00:00"/>
    <x v="3"/>
    <x v="0"/>
    <n v="18644"/>
    <n v="1369"/>
    <n v="887"/>
    <n v="1256"/>
    <n v="43415"/>
    <n v="88368"/>
    <x v="3"/>
    <n v="0.23651095419156257"/>
  </r>
  <r>
    <s v="A289"/>
    <x v="3"/>
    <d v="2024-11-28T00:00:00"/>
    <x v="3"/>
    <x v="1"/>
    <n v="18644"/>
    <n v="1369"/>
    <n v="887"/>
    <n v="1256"/>
    <n v="43415"/>
    <n v="88368"/>
    <x v="3"/>
    <n v="0.23651095419156257"/>
  </r>
  <r>
    <s v="A186"/>
    <x v="3"/>
    <d v="2024-08-24T00:00:00"/>
    <x v="0"/>
    <x v="12"/>
    <n v="24890"/>
    <n v="217"/>
    <n v="178"/>
    <n v="906"/>
    <n v="54826"/>
    <n v="107203"/>
    <x v="3"/>
    <n v="0.23586093672751696"/>
  </r>
  <r>
    <s v="A186"/>
    <x v="3"/>
    <d v="2024-08-24T00:00:00"/>
    <x v="0"/>
    <x v="13"/>
    <n v="24890"/>
    <n v="217"/>
    <n v="178"/>
    <n v="906"/>
    <n v="54826"/>
    <n v="107203"/>
    <x v="3"/>
    <n v="0.23586093672751696"/>
  </r>
  <r>
    <s v="A61"/>
    <x v="1"/>
    <d v="2024-09-05T00:00:00"/>
    <x v="3"/>
    <x v="14"/>
    <n v="16489"/>
    <n v="395"/>
    <n v="350"/>
    <n v="2364"/>
    <n v="43239"/>
    <n v="73397"/>
    <x v="2"/>
    <n v="0.23480523727127811"/>
  </r>
  <r>
    <s v="A286"/>
    <x v="1"/>
    <d v="2025-09-19T00:00:00"/>
    <x v="1"/>
    <x v="8"/>
    <n v="22128"/>
    <n v="1004"/>
    <n v="690"/>
    <n v="2048"/>
    <n v="19443"/>
    <n v="103646"/>
    <x v="4"/>
    <n v="0.22984003241803833"/>
  </r>
  <r>
    <s v="A286"/>
    <x v="1"/>
    <d v="2025-09-19T00:00:00"/>
    <x v="1"/>
    <x v="9"/>
    <n v="22128"/>
    <n v="1004"/>
    <n v="690"/>
    <n v="2048"/>
    <n v="19443"/>
    <n v="103646"/>
    <x v="4"/>
    <n v="0.22984003241803833"/>
  </r>
  <r>
    <s v="A105"/>
    <x v="2"/>
    <d v="2024-06-14T00:00:00"/>
    <x v="3"/>
    <x v="16"/>
    <n v="21856"/>
    <n v="1203"/>
    <n v="634"/>
    <n v="2807"/>
    <n v="3647"/>
    <n v="104178"/>
    <x v="1"/>
    <n v="0.22742805582752595"/>
  </r>
  <r>
    <s v="A105"/>
    <x v="2"/>
    <d v="2024-06-14T00:00:00"/>
    <x v="3"/>
    <x v="5"/>
    <n v="21856"/>
    <n v="1203"/>
    <n v="634"/>
    <n v="2807"/>
    <n v="3647"/>
    <n v="104178"/>
    <x v="1"/>
    <n v="0.22742805582752595"/>
  </r>
  <r>
    <s v="A119"/>
    <x v="0"/>
    <d v="2025-02-07T00:00:00"/>
    <x v="3"/>
    <x v="17"/>
    <n v="20290"/>
    <n v="619"/>
    <n v="927"/>
    <n v="1186"/>
    <n v="8924"/>
    <n v="96503"/>
    <x v="2"/>
    <n v="0.22627275835984373"/>
  </r>
  <r>
    <s v="A119"/>
    <x v="0"/>
    <d v="2025-02-07T00:00:00"/>
    <x v="3"/>
    <x v="18"/>
    <n v="20290"/>
    <n v="619"/>
    <n v="927"/>
    <n v="1186"/>
    <n v="8924"/>
    <n v="96503"/>
    <x v="2"/>
    <n v="0.22627275835984373"/>
  </r>
  <r>
    <s v="A170"/>
    <x v="2"/>
    <d v="2025-04-28T00:00:00"/>
    <x v="3"/>
    <x v="15"/>
    <n v="15013"/>
    <n v="1286"/>
    <n v="599"/>
    <n v="2001"/>
    <n v="67839"/>
    <n v="76059"/>
    <x v="0"/>
    <n v="0.22216963147030594"/>
  </r>
  <r>
    <s v="A170"/>
    <x v="2"/>
    <d v="2025-04-28T00:00:00"/>
    <x v="3"/>
    <x v="2"/>
    <n v="15013"/>
    <n v="1286"/>
    <n v="599"/>
    <n v="2001"/>
    <n v="67839"/>
    <n v="76059"/>
    <x v="0"/>
    <n v="0.22216963147030594"/>
  </r>
  <r>
    <s v="A46"/>
    <x v="0"/>
    <d v="2025-05-02T00:00:00"/>
    <x v="1"/>
    <x v="5"/>
    <n v="17444"/>
    <n v="1402"/>
    <n v="218"/>
    <n v="725"/>
    <n v="8710"/>
    <n v="85893"/>
    <x v="2"/>
    <n v="0.22195056640238436"/>
  </r>
  <r>
    <s v="A46"/>
    <x v="0"/>
    <d v="2025-05-02T00:00:00"/>
    <x v="1"/>
    <x v="6"/>
    <n v="17444"/>
    <n v="1402"/>
    <n v="218"/>
    <n v="725"/>
    <n v="8710"/>
    <n v="85893"/>
    <x v="2"/>
    <n v="0.22195056640238436"/>
  </r>
  <r>
    <s v="A187"/>
    <x v="2"/>
    <d v="2024-12-22T00:00:00"/>
    <x v="1"/>
    <x v="17"/>
    <n v="7870"/>
    <n v="968"/>
    <n v="626"/>
    <n v="465"/>
    <n v="27184"/>
    <n v="44114"/>
    <x v="2"/>
    <n v="0.2145350682323072"/>
  </r>
  <r>
    <s v="A187"/>
    <x v="2"/>
    <d v="2024-12-22T00:00:00"/>
    <x v="1"/>
    <x v="18"/>
    <n v="7870"/>
    <n v="968"/>
    <n v="626"/>
    <n v="465"/>
    <n v="27184"/>
    <n v="44114"/>
    <x v="2"/>
    <n v="0.2145350682323072"/>
  </r>
  <r>
    <s v="A190"/>
    <x v="2"/>
    <d v="2024-10-04T00:00:00"/>
    <x v="2"/>
    <x v="0"/>
    <n v="21729"/>
    <n v="1209"/>
    <n v="897"/>
    <n v="1624"/>
    <n v="38771"/>
    <n v="113297"/>
    <x v="1"/>
    <n v="0.21037626768581694"/>
  </r>
  <r>
    <s v="A190"/>
    <x v="2"/>
    <d v="2024-10-04T00:00:00"/>
    <x v="2"/>
    <x v="1"/>
    <n v="21729"/>
    <n v="1209"/>
    <n v="897"/>
    <n v="1624"/>
    <n v="38771"/>
    <n v="113297"/>
    <x v="1"/>
    <n v="0.21037626768581694"/>
  </r>
  <r>
    <s v="A251"/>
    <x v="2"/>
    <d v="2025-09-15T00:00:00"/>
    <x v="2"/>
    <x v="0"/>
    <n v="18389"/>
    <n v="670"/>
    <n v="655"/>
    <n v="321"/>
    <n v="21869"/>
    <n v="96088"/>
    <x v="4"/>
    <n v="0.2051660977437349"/>
  </r>
  <r>
    <s v="A251"/>
    <x v="2"/>
    <d v="2025-09-15T00:00:00"/>
    <x v="2"/>
    <x v="1"/>
    <n v="18389"/>
    <n v="670"/>
    <n v="655"/>
    <n v="321"/>
    <n v="21869"/>
    <n v="96088"/>
    <x v="4"/>
    <n v="0.2051660977437349"/>
  </r>
  <r>
    <s v="A74"/>
    <x v="2"/>
    <d v="2024-10-28T00:00:00"/>
    <x v="3"/>
    <x v="5"/>
    <n v="21198"/>
    <n v="1484"/>
    <n v="174"/>
    <n v="1293"/>
    <n v="16330"/>
    <n v="111635"/>
    <x v="1"/>
    <n v="0.20473865723115511"/>
  </r>
  <r>
    <s v="A74"/>
    <x v="2"/>
    <d v="2024-10-28T00:00:00"/>
    <x v="3"/>
    <x v="7"/>
    <n v="21198"/>
    <n v="1484"/>
    <n v="174"/>
    <n v="1293"/>
    <n v="16330"/>
    <n v="111635"/>
    <x v="1"/>
    <n v="0.20473865723115511"/>
  </r>
  <r>
    <s v="A42"/>
    <x v="1"/>
    <d v="2025-03-05T00:00:00"/>
    <x v="3"/>
    <x v="5"/>
    <n v="12916"/>
    <n v="1262"/>
    <n v="772"/>
    <n v="856"/>
    <n v="11496"/>
    <n v="75046"/>
    <x v="3"/>
    <n v="0.19921115049436347"/>
  </r>
  <r>
    <s v="A42"/>
    <x v="1"/>
    <d v="2025-03-05T00:00:00"/>
    <x v="3"/>
    <x v="6"/>
    <n v="12916"/>
    <n v="1262"/>
    <n v="772"/>
    <n v="856"/>
    <n v="11496"/>
    <n v="75046"/>
    <x v="3"/>
    <n v="0.19921115049436347"/>
  </r>
  <r>
    <s v="A246"/>
    <x v="2"/>
    <d v="2024-10-11T00:00:00"/>
    <x v="3"/>
    <x v="16"/>
    <n v="19447"/>
    <n v="1014"/>
    <n v="256"/>
    <n v="2354"/>
    <n v="5472"/>
    <n v="104106"/>
    <x v="0"/>
    <n v="0.19899909707413599"/>
  </r>
  <r>
    <s v="A246"/>
    <x v="2"/>
    <d v="2024-10-11T00:00:00"/>
    <x v="3"/>
    <x v="5"/>
    <n v="19447"/>
    <n v="1014"/>
    <n v="256"/>
    <n v="2354"/>
    <n v="5472"/>
    <n v="104106"/>
    <x v="0"/>
    <n v="0.19899909707413599"/>
  </r>
  <r>
    <s v="A260"/>
    <x v="1"/>
    <d v="2025-02-12T00:00:00"/>
    <x v="0"/>
    <x v="10"/>
    <n v="15234"/>
    <n v="1276"/>
    <n v="670"/>
    <n v="1860"/>
    <n v="60397"/>
    <n v="86413"/>
    <x v="2"/>
    <n v="0.19881267864788862"/>
  </r>
  <r>
    <s v="A260"/>
    <x v="1"/>
    <d v="2025-02-12T00:00:00"/>
    <x v="0"/>
    <x v="11"/>
    <n v="15234"/>
    <n v="1276"/>
    <n v="670"/>
    <n v="1860"/>
    <n v="60397"/>
    <n v="86413"/>
    <x v="2"/>
    <n v="0.19881267864788862"/>
  </r>
  <r>
    <s v="A93"/>
    <x v="2"/>
    <d v="2024-12-11T00:00:00"/>
    <x v="3"/>
    <x v="16"/>
    <n v="22645"/>
    <n v="545"/>
    <n v="972"/>
    <n v="321"/>
    <n v="8396"/>
    <n v="121537"/>
    <x v="2"/>
    <n v="0.19880365649966678"/>
  </r>
  <r>
    <s v="A93"/>
    <x v="2"/>
    <d v="2024-12-11T00:00:00"/>
    <x v="3"/>
    <x v="5"/>
    <n v="22645"/>
    <n v="545"/>
    <n v="972"/>
    <n v="321"/>
    <n v="8396"/>
    <n v="121537"/>
    <x v="2"/>
    <n v="0.19880365649966678"/>
  </r>
  <r>
    <s v="A163"/>
    <x v="0"/>
    <d v="2025-04-08T00:00:00"/>
    <x v="0"/>
    <x v="3"/>
    <n v="15568"/>
    <n v="1166"/>
    <n v="546"/>
    <n v="826"/>
    <n v="21836"/>
    <n v="87055"/>
    <x v="0"/>
    <n v="0.19849520418126471"/>
  </r>
  <r>
    <s v="A163"/>
    <x v="0"/>
    <d v="2025-04-08T00:00:00"/>
    <x v="0"/>
    <x v="4"/>
    <n v="15568"/>
    <n v="1166"/>
    <n v="546"/>
    <n v="826"/>
    <n v="21836"/>
    <n v="87055"/>
    <x v="0"/>
    <n v="0.19849520418126471"/>
  </r>
  <r>
    <s v="A300"/>
    <x v="0"/>
    <d v="2025-09-26T00:00:00"/>
    <x v="0"/>
    <x v="16"/>
    <n v="21216"/>
    <n v="226"/>
    <n v="187"/>
    <n v="1573"/>
    <n v="62688"/>
    <n v="111031"/>
    <x v="4"/>
    <n v="0.19480145184678152"/>
  </r>
  <r>
    <s v="A300"/>
    <x v="0"/>
    <d v="2025-09-26T00:00:00"/>
    <x v="0"/>
    <x v="5"/>
    <n v="21216"/>
    <n v="226"/>
    <n v="187"/>
    <n v="1573"/>
    <n v="62688"/>
    <n v="111031"/>
    <x v="4"/>
    <n v="0.19480145184678152"/>
  </r>
  <r>
    <s v="A68"/>
    <x v="3"/>
    <d v="2024-12-08T00:00:00"/>
    <x v="0"/>
    <x v="10"/>
    <n v="10427"/>
    <n v="1014"/>
    <n v="166"/>
    <n v="1649"/>
    <n v="15145"/>
    <n v="59816"/>
    <x v="3"/>
    <n v="0.19404507155276179"/>
  </r>
  <r>
    <s v="A68"/>
    <x v="3"/>
    <d v="2024-12-08T00:00:00"/>
    <x v="0"/>
    <x v="11"/>
    <n v="10427"/>
    <n v="1014"/>
    <n v="166"/>
    <n v="1649"/>
    <n v="15145"/>
    <n v="59816"/>
    <x v="3"/>
    <n v="0.19404507155276179"/>
  </r>
  <r>
    <s v="A126"/>
    <x v="0"/>
    <d v="2025-03-28T00:00:00"/>
    <x v="2"/>
    <x v="8"/>
    <n v="13637"/>
    <n v="1135"/>
    <n v="540"/>
    <n v="1288"/>
    <n v="45183"/>
    <n v="79062"/>
    <x v="2"/>
    <n v="0.19367079001290127"/>
  </r>
  <r>
    <s v="A126"/>
    <x v="0"/>
    <d v="2025-03-28T00:00:00"/>
    <x v="2"/>
    <x v="9"/>
    <n v="13637"/>
    <n v="1135"/>
    <n v="540"/>
    <n v="1288"/>
    <n v="45183"/>
    <n v="79062"/>
    <x v="2"/>
    <n v="0.19367079001290127"/>
  </r>
  <r>
    <s v="A129"/>
    <x v="0"/>
    <d v="2024-07-21T00:00:00"/>
    <x v="2"/>
    <x v="5"/>
    <n v="11911"/>
    <n v="1360"/>
    <n v="778"/>
    <n v="1168"/>
    <n v="16483"/>
    <n v="72556"/>
    <x v="3"/>
    <n v="0.19362974805667346"/>
  </r>
  <r>
    <s v="A129"/>
    <x v="0"/>
    <d v="2024-07-21T00:00:00"/>
    <x v="2"/>
    <x v="7"/>
    <n v="11911"/>
    <n v="1360"/>
    <n v="778"/>
    <n v="1168"/>
    <n v="16483"/>
    <n v="72556"/>
    <x v="3"/>
    <n v="0.19362974805667346"/>
  </r>
  <r>
    <s v="A97"/>
    <x v="2"/>
    <d v="2024-08-13T00:00:00"/>
    <x v="3"/>
    <x v="17"/>
    <n v="6854"/>
    <n v="417"/>
    <n v="467"/>
    <n v="1003"/>
    <n v="61333"/>
    <n v="40281"/>
    <x v="0"/>
    <n v="0.19210049402944315"/>
  </r>
  <r>
    <s v="A97"/>
    <x v="2"/>
    <d v="2024-08-13T00:00:00"/>
    <x v="3"/>
    <x v="18"/>
    <n v="6854"/>
    <n v="417"/>
    <n v="467"/>
    <n v="1003"/>
    <n v="61333"/>
    <n v="40281"/>
    <x v="0"/>
    <n v="0.19210049402944315"/>
  </r>
  <r>
    <s v="A47"/>
    <x v="0"/>
    <d v="2025-02-24T00:00:00"/>
    <x v="1"/>
    <x v="16"/>
    <n v="24984"/>
    <n v="753"/>
    <n v="461"/>
    <n v="2710"/>
    <n v="20792"/>
    <n v="141520"/>
    <x v="3"/>
    <n v="0.18511871113623515"/>
  </r>
  <r>
    <s v="A47"/>
    <x v="0"/>
    <d v="2025-02-24T00:00:00"/>
    <x v="1"/>
    <x v="5"/>
    <n v="24984"/>
    <n v="753"/>
    <n v="461"/>
    <n v="2710"/>
    <n v="20792"/>
    <n v="141520"/>
    <x v="3"/>
    <n v="0.18511871113623515"/>
  </r>
  <r>
    <s v="A152"/>
    <x v="1"/>
    <d v="2025-10-04T00:00:00"/>
    <x v="0"/>
    <x v="17"/>
    <n v="12488"/>
    <n v="1403"/>
    <n v="247"/>
    <n v="1350"/>
    <n v="28370"/>
    <n v="76487"/>
    <x v="4"/>
    <n v="0.18484186855282597"/>
  </r>
  <r>
    <s v="A152"/>
    <x v="1"/>
    <d v="2025-10-04T00:00:00"/>
    <x v="0"/>
    <x v="18"/>
    <n v="12488"/>
    <n v="1403"/>
    <n v="247"/>
    <n v="1350"/>
    <n v="28370"/>
    <n v="76487"/>
    <x v="4"/>
    <n v="0.18484186855282597"/>
  </r>
  <r>
    <s v="A230"/>
    <x v="3"/>
    <d v="2024-07-15T00:00:00"/>
    <x v="0"/>
    <x v="2"/>
    <n v="12554"/>
    <n v="381"/>
    <n v="211"/>
    <n v="2286"/>
    <n v="50567"/>
    <n v="72779"/>
    <x v="0"/>
    <n v="0.18062902760411656"/>
  </r>
  <r>
    <s v="A148"/>
    <x v="1"/>
    <d v="2025-04-15T00:00:00"/>
    <x v="0"/>
    <x v="16"/>
    <n v="20977"/>
    <n v="1402"/>
    <n v="301"/>
    <n v="1284"/>
    <n v="24620"/>
    <n v="128009"/>
    <x v="0"/>
    <n v="0.17717504237983267"/>
  </r>
  <r>
    <s v="A148"/>
    <x v="1"/>
    <d v="2025-04-15T00:00:00"/>
    <x v="0"/>
    <x v="5"/>
    <n v="20977"/>
    <n v="1402"/>
    <n v="301"/>
    <n v="1284"/>
    <n v="24620"/>
    <n v="128009"/>
    <x v="0"/>
    <n v="0.17717504237983267"/>
  </r>
  <r>
    <s v="A139"/>
    <x v="1"/>
    <d v="2024-10-29T00:00:00"/>
    <x v="1"/>
    <x v="5"/>
    <n v="23969"/>
    <n v="1433"/>
    <n v="372"/>
    <n v="1092"/>
    <n v="32147"/>
    <n v="145823"/>
    <x v="3"/>
    <n v="0.17674852389540743"/>
  </r>
  <r>
    <s v="A139"/>
    <x v="1"/>
    <d v="2024-10-29T00:00:00"/>
    <x v="1"/>
    <x v="6"/>
    <n v="23969"/>
    <n v="1433"/>
    <n v="372"/>
    <n v="1092"/>
    <n v="32147"/>
    <n v="145823"/>
    <x v="3"/>
    <n v="0.17674852389540743"/>
  </r>
  <r>
    <s v="A23"/>
    <x v="2"/>
    <d v="2024-11-06T00:00:00"/>
    <x v="3"/>
    <x v="5"/>
    <n v="8938"/>
    <n v="800"/>
    <n v="842"/>
    <n v="2072"/>
    <n v="31736"/>
    <n v="59975"/>
    <x v="1"/>
    <n v="0.17640683618174238"/>
  </r>
  <r>
    <s v="A23"/>
    <x v="2"/>
    <d v="2024-11-06T00:00:00"/>
    <x v="3"/>
    <x v="6"/>
    <n v="8938"/>
    <n v="800"/>
    <n v="842"/>
    <n v="2072"/>
    <n v="31736"/>
    <n v="59975"/>
    <x v="1"/>
    <n v="0.17640683618174238"/>
  </r>
  <r>
    <s v="A125"/>
    <x v="3"/>
    <d v="2024-09-08T00:00:00"/>
    <x v="3"/>
    <x v="3"/>
    <n v="8090"/>
    <n v="570"/>
    <n v="399"/>
    <n v="1862"/>
    <n v="34088"/>
    <n v="52115"/>
    <x v="0"/>
    <n v="0.17382711311522595"/>
  </r>
  <r>
    <s v="A125"/>
    <x v="3"/>
    <d v="2024-09-08T00:00:00"/>
    <x v="3"/>
    <x v="4"/>
    <n v="8090"/>
    <n v="570"/>
    <n v="399"/>
    <n v="1862"/>
    <n v="34088"/>
    <n v="52115"/>
    <x v="0"/>
    <n v="0.17382711311522595"/>
  </r>
  <r>
    <s v="A91"/>
    <x v="0"/>
    <d v="2025-09-24T00:00:00"/>
    <x v="1"/>
    <x v="0"/>
    <n v="12209"/>
    <n v="222"/>
    <n v="479"/>
    <n v="2748"/>
    <n v="24615"/>
    <n v="74707"/>
    <x v="4"/>
    <n v="0.17280843829895459"/>
  </r>
  <r>
    <s v="A91"/>
    <x v="0"/>
    <d v="2025-09-24T00:00:00"/>
    <x v="1"/>
    <x v="1"/>
    <n v="12209"/>
    <n v="222"/>
    <n v="479"/>
    <n v="2748"/>
    <n v="24615"/>
    <n v="74707"/>
    <x v="4"/>
    <n v="0.17280843829895459"/>
  </r>
  <r>
    <s v="A44"/>
    <x v="0"/>
    <d v="2025-03-02T00:00:00"/>
    <x v="0"/>
    <x v="15"/>
    <n v="22562"/>
    <n v="778"/>
    <n v="907"/>
    <n v="1354"/>
    <n v="34475"/>
    <n v="141459"/>
    <x v="1"/>
    <n v="0.17140655596321194"/>
  </r>
  <r>
    <s v="A44"/>
    <x v="0"/>
    <d v="2025-03-02T00:00:00"/>
    <x v="0"/>
    <x v="2"/>
    <n v="22562"/>
    <n v="778"/>
    <n v="907"/>
    <n v="1354"/>
    <n v="34475"/>
    <n v="141459"/>
    <x v="1"/>
    <n v="0.17140655596321194"/>
  </r>
  <r>
    <s v="A276"/>
    <x v="0"/>
    <d v="2024-06-07T00:00:00"/>
    <x v="0"/>
    <x v="5"/>
    <n v="8233"/>
    <n v="436"/>
    <n v="269"/>
    <n v="2037"/>
    <n v="8875"/>
    <n v="52289"/>
    <x v="0"/>
    <n v="0.17093461339861157"/>
  </r>
  <r>
    <s v="A276"/>
    <x v="0"/>
    <d v="2024-06-07T00:00:00"/>
    <x v="0"/>
    <x v="7"/>
    <n v="8233"/>
    <n v="436"/>
    <n v="269"/>
    <n v="2037"/>
    <n v="8875"/>
    <n v="52289"/>
    <x v="0"/>
    <n v="0.17093461339861157"/>
  </r>
  <r>
    <s v="A160"/>
    <x v="0"/>
    <d v="2024-08-24T00:00:00"/>
    <x v="1"/>
    <x v="15"/>
    <n v="22527"/>
    <n v="865"/>
    <n v="646"/>
    <n v="992"/>
    <n v="18654"/>
    <n v="141376"/>
    <x v="2"/>
    <n v="0.17002885921231325"/>
  </r>
  <r>
    <s v="A160"/>
    <x v="0"/>
    <d v="2024-08-24T00:00:00"/>
    <x v="1"/>
    <x v="2"/>
    <n v="22527"/>
    <n v="865"/>
    <n v="646"/>
    <n v="992"/>
    <n v="18654"/>
    <n v="141376"/>
    <x v="2"/>
    <n v="0.17002885921231325"/>
  </r>
  <r>
    <s v="A158"/>
    <x v="2"/>
    <d v="2024-08-11T00:00:00"/>
    <x v="3"/>
    <x v="10"/>
    <n v="14394"/>
    <n v="1202"/>
    <n v="188"/>
    <n v="1259"/>
    <n v="21925"/>
    <n v="94061"/>
    <x v="1"/>
    <n v="0.1678059982351878"/>
  </r>
  <r>
    <s v="A158"/>
    <x v="2"/>
    <d v="2024-08-11T00:00:00"/>
    <x v="3"/>
    <x v="11"/>
    <n v="14394"/>
    <n v="1202"/>
    <n v="188"/>
    <n v="1259"/>
    <n v="21925"/>
    <n v="94061"/>
    <x v="1"/>
    <n v="0.1678059982351878"/>
  </r>
  <r>
    <s v="A202"/>
    <x v="0"/>
    <d v="2025-09-21T00:00:00"/>
    <x v="2"/>
    <x v="17"/>
    <n v="19680"/>
    <n v="999"/>
    <n v="838"/>
    <n v="891"/>
    <n v="29576"/>
    <n v="129152"/>
    <x v="4"/>
    <n v="0.16660214321110009"/>
  </r>
  <r>
    <s v="A202"/>
    <x v="0"/>
    <d v="2025-09-21T00:00:00"/>
    <x v="2"/>
    <x v="18"/>
    <n v="19680"/>
    <n v="999"/>
    <n v="838"/>
    <n v="891"/>
    <n v="29576"/>
    <n v="129152"/>
    <x v="4"/>
    <n v="0.16660214321110009"/>
  </r>
  <r>
    <s v="A73"/>
    <x v="3"/>
    <d v="2025-09-21T00:00:00"/>
    <x v="0"/>
    <x v="3"/>
    <n v="23103"/>
    <n v="1380"/>
    <n v="191"/>
    <n v="1547"/>
    <n v="77798"/>
    <n v="148856"/>
    <x v="4"/>
    <n v="0.16575751061428495"/>
  </r>
  <r>
    <s v="A73"/>
    <x v="3"/>
    <d v="2025-09-21T00:00:00"/>
    <x v="0"/>
    <x v="4"/>
    <n v="23103"/>
    <n v="1380"/>
    <n v="191"/>
    <n v="1547"/>
    <n v="77798"/>
    <n v="148856"/>
    <x v="4"/>
    <n v="0.16575751061428495"/>
  </r>
  <r>
    <s v="A221"/>
    <x v="1"/>
    <d v="2025-03-23T00:00:00"/>
    <x v="3"/>
    <x v="0"/>
    <n v="17728"/>
    <n v="1487"/>
    <n v="210"/>
    <n v="2469"/>
    <n v="30565"/>
    <n v="117576"/>
    <x v="0"/>
    <n v="0.16521228822208614"/>
  </r>
  <r>
    <s v="A221"/>
    <x v="1"/>
    <d v="2025-03-23T00:00:00"/>
    <x v="3"/>
    <x v="1"/>
    <n v="17728"/>
    <n v="1487"/>
    <n v="210"/>
    <n v="2469"/>
    <n v="30565"/>
    <n v="117576"/>
    <x v="0"/>
    <n v="0.16521228822208614"/>
  </r>
  <r>
    <s v="A285"/>
    <x v="2"/>
    <d v="2024-07-18T00:00:00"/>
    <x v="0"/>
    <x v="3"/>
    <n v="16594"/>
    <n v="809"/>
    <n v="784"/>
    <n v="1655"/>
    <n v="35505"/>
    <n v="112588"/>
    <x v="3"/>
    <n v="0.16153586527871533"/>
  </r>
  <r>
    <s v="A285"/>
    <x v="2"/>
    <d v="2024-07-18T00:00:00"/>
    <x v="0"/>
    <x v="4"/>
    <n v="16594"/>
    <n v="809"/>
    <n v="784"/>
    <n v="1655"/>
    <n v="35505"/>
    <n v="112588"/>
    <x v="3"/>
    <n v="0.16153586527871533"/>
  </r>
  <r>
    <s v="A62"/>
    <x v="1"/>
    <d v="2025-09-20T00:00:00"/>
    <x v="2"/>
    <x v="5"/>
    <n v="18633"/>
    <n v="797"/>
    <n v="303"/>
    <n v="659"/>
    <n v="7"/>
    <n v="122189"/>
    <x v="4"/>
    <n v="0.16149571565361859"/>
  </r>
  <r>
    <s v="A62"/>
    <x v="1"/>
    <d v="2025-09-20T00:00:00"/>
    <x v="2"/>
    <x v="6"/>
    <n v="18633"/>
    <n v="797"/>
    <n v="303"/>
    <n v="659"/>
    <n v="7"/>
    <n v="122189"/>
    <x v="4"/>
    <n v="0.16149571565361859"/>
  </r>
  <r>
    <s v="A75"/>
    <x v="3"/>
    <d v="2024-08-01T00:00:00"/>
    <x v="2"/>
    <x v="12"/>
    <n v="21758"/>
    <n v="1380"/>
    <n v="188"/>
    <n v="1735"/>
    <n v="20998"/>
    <n v="147803"/>
    <x v="2"/>
    <n v="0.15781817689762725"/>
  </r>
  <r>
    <s v="A75"/>
    <x v="3"/>
    <d v="2024-08-01T00:00:00"/>
    <x v="2"/>
    <x v="13"/>
    <n v="21758"/>
    <n v="1380"/>
    <n v="188"/>
    <n v="1735"/>
    <n v="20998"/>
    <n v="147803"/>
    <x v="2"/>
    <n v="0.15781817689762725"/>
  </r>
  <r>
    <s v="A189"/>
    <x v="1"/>
    <d v="2025-03-24T00:00:00"/>
    <x v="2"/>
    <x v="2"/>
    <n v="10172"/>
    <n v="1398"/>
    <n v="394"/>
    <n v="2358"/>
    <n v="59610"/>
    <n v="76321"/>
    <x v="1"/>
    <n v="0.15675895231980713"/>
  </r>
  <r>
    <s v="A50"/>
    <x v="2"/>
    <d v="2024-07-03T00:00:00"/>
    <x v="1"/>
    <x v="0"/>
    <n v="14338"/>
    <n v="1454"/>
    <n v="697"/>
    <n v="2703"/>
    <n v="21288"/>
    <n v="107649"/>
    <x v="1"/>
    <n v="0.1531737405828201"/>
  </r>
  <r>
    <s v="A50"/>
    <x v="2"/>
    <d v="2024-07-03T00:00:00"/>
    <x v="1"/>
    <x v="1"/>
    <n v="14338"/>
    <n v="1454"/>
    <n v="697"/>
    <n v="2703"/>
    <n v="21288"/>
    <n v="107649"/>
    <x v="1"/>
    <n v="0.1531737405828201"/>
  </r>
  <r>
    <s v="A132"/>
    <x v="3"/>
    <d v="2025-03-04T00:00:00"/>
    <x v="0"/>
    <x v="10"/>
    <n v="5266"/>
    <n v="316"/>
    <n v="837"/>
    <n v="2276"/>
    <n v="20967"/>
    <n v="41969"/>
    <x v="2"/>
    <n v="0.1529462222116324"/>
  </r>
  <r>
    <s v="A132"/>
    <x v="3"/>
    <d v="2025-03-04T00:00:00"/>
    <x v="0"/>
    <x v="11"/>
    <n v="5266"/>
    <n v="316"/>
    <n v="837"/>
    <n v="2276"/>
    <n v="20967"/>
    <n v="41969"/>
    <x v="2"/>
    <n v="0.1529462222116324"/>
  </r>
  <r>
    <s v="A40"/>
    <x v="1"/>
    <d v="2025-09-14T00:00:00"/>
    <x v="3"/>
    <x v="8"/>
    <n v="19844"/>
    <n v="1020"/>
    <n v="247"/>
    <n v="2354"/>
    <n v="37792"/>
    <n v="138317"/>
    <x v="4"/>
    <n v="0.15262765965138053"/>
  </r>
  <r>
    <s v="A40"/>
    <x v="1"/>
    <d v="2025-09-14T00:00:00"/>
    <x v="3"/>
    <x v="9"/>
    <n v="19844"/>
    <n v="1020"/>
    <n v="247"/>
    <n v="2354"/>
    <n v="37792"/>
    <n v="138317"/>
    <x v="4"/>
    <n v="0.15262765965138053"/>
  </r>
  <r>
    <s v="A77"/>
    <x v="0"/>
    <d v="2025-03-04T00:00:00"/>
    <x v="3"/>
    <x v="16"/>
    <n v="13470"/>
    <n v="523"/>
    <n v="280"/>
    <n v="2682"/>
    <n v="8538"/>
    <n v="95204"/>
    <x v="0"/>
    <n v="0.14992017142136885"/>
  </r>
  <r>
    <s v="A77"/>
    <x v="0"/>
    <d v="2025-03-04T00:00:00"/>
    <x v="3"/>
    <x v="5"/>
    <n v="13470"/>
    <n v="523"/>
    <n v="280"/>
    <n v="2682"/>
    <n v="8538"/>
    <n v="95204"/>
    <x v="0"/>
    <n v="0.14992017142136885"/>
  </r>
  <r>
    <s v="A264"/>
    <x v="3"/>
    <d v="2025-01-30T00:00:00"/>
    <x v="1"/>
    <x v="15"/>
    <n v="12954"/>
    <n v="913"/>
    <n v="722"/>
    <n v="1049"/>
    <n v="475"/>
    <n v="97716"/>
    <x v="0"/>
    <n v="0.14930001228048631"/>
  </r>
  <r>
    <s v="A264"/>
    <x v="3"/>
    <d v="2025-01-30T00:00:00"/>
    <x v="1"/>
    <x v="2"/>
    <n v="12954"/>
    <n v="913"/>
    <n v="722"/>
    <n v="1049"/>
    <n v="475"/>
    <n v="97716"/>
    <x v="0"/>
    <n v="0.14930001228048631"/>
  </r>
  <r>
    <s v="A108"/>
    <x v="0"/>
    <d v="2025-09-28T00:00:00"/>
    <x v="3"/>
    <x v="8"/>
    <n v="21963"/>
    <n v="1356"/>
    <n v="349"/>
    <n v="1206"/>
    <n v="51755"/>
    <n v="159273"/>
    <x v="4"/>
    <n v="0.14860020216860359"/>
  </r>
  <r>
    <s v="A108"/>
    <x v="0"/>
    <d v="2025-09-28T00:00:00"/>
    <x v="3"/>
    <x v="9"/>
    <n v="21963"/>
    <n v="1356"/>
    <n v="349"/>
    <n v="1206"/>
    <n v="51755"/>
    <n v="159273"/>
    <x v="4"/>
    <n v="0.14860020216860359"/>
  </r>
  <r>
    <s v="A248"/>
    <x v="3"/>
    <d v="2025-09-14T00:00:00"/>
    <x v="3"/>
    <x v="5"/>
    <n v="12787"/>
    <n v="945"/>
    <n v="974"/>
    <n v="1407"/>
    <n v="4037"/>
    <n v="99182"/>
    <x v="4"/>
    <n v="0.14827287209372669"/>
  </r>
  <r>
    <s v="A248"/>
    <x v="3"/>
    <d v="2025-09-14T00:00:00"/>
    <x v="3"/>
    <x v="6"/>
    <n v="12787"/>
    <n v="945"/>
    <n v="974"/>
    <n v="1407"/>
    <n v="4037"/>
    <n v="99182"/>
    <x v="4"/>
    <n v="0.14827287209372669"/>
  </r>
  <r>
    <s v="A104"/>
    <x v="0"/>
    <d v="2025-03-23T00:00:00"/>
    <x v="2"/>
    <x v="12"/>
    <n v="24711"/>
    <n v="882"/>
    <n v="876"/>
    <n v="2728"/>
    <n v="32015"/>
    <n v="180272"/>
    <x v="1"/>
    <n v="0.1468281263867933"/>
  </r>
  <r>
    <s v="A104"/>
    <x v="0"/>
    <d v="2025-03-23T00:00:00"/>
    <x v="2"/>
    <x v="13"/>
    <n v="24711"/>
    <n v="882"/>
    <n v="876"/>
    <n v="2728"/>
    <n v="32015"/>
    <n v="180272"/>
    <x v="1"/>
    <n v="0.1468281263867933"/>
  </r>
  <r>
    <s v="A242"/>
    <x v="1"/>
    <d v="2025-09-12T00:00:00"/>
    <x v="0"/>
    <x v="0"/>
    <n v="15918"/>
    <n v="1114"/>
    <n v="392"/>
    <n v="1641"/>
    <n v="28044"/>
    <n v="118714"/>
    <x v="4"/>
    <n v="0.14677291642097814"/>
  </r>
  <r>
    <s v="A242"/>
    <x v="1"/>
    <d v="2025-09-12T00:00:00"/>
    <x v="0"/>
    <x v="1"/>
    <n v="15918"/>
    <n v="1114"/>
    <n v="392"/>
    <n v="1641"/>
    <n v="28044"/>
    <n v="118714"/>
    <x v="4"/>
    <n v="0.14677291642097814"/>
  </r>
  <r>
    <s v="A155"/>
    <x v="3"/>
    <d v="2024-12-21T00:00:00"/>
    <x v="2"/>
    <x v="3"/>
    <n v="12453"/>
    <n v="376"/>
    <n v="320"/>
    <n v="2546"/>
    <n v="22617"/>
    <n v="90138"/>
    <x v="3"/>
    <n v="0.14587632297144379"/>
  </r>
  <r>
    <s v="A155"/>
    <x v="3"/>
    <d v="2024-12-21T00:00:00"/>
    <x v="2"/>
    <x v="4"/>
    <n v="12453"/>
    <n v="376"/>
    <n v="320"/>
    <n v="2546"/>
    <n v="22617"/>
    <n v="90138"/>
    <x v="3"/>
    <n v="0.14587632297144379"/>
  </r>
  <r>
    <s v="A232"/>
    <x v="0"/>
    <d v="2025-04-29T00:00:00"/>
    <x v="3"/>
    <x v="8"/>
    <n v="16277"/>
    <n v="1109"/>
    <n v="375"/>
    <n v="2225"/>
    <n v="1044"/>
    <n v="121889"/>
    <x v="1"/>
    <n v="0.14571454356012437"/>
  </r>
  <r>
    <s v="A232"/>
    <x v="0"/>
    <d v="2025-04-29T00:00:00"/>
    <x v="3"/>
    <x v="9"/>
    <n v="16277"/>
    <n v="1109"/>
    <n v="375"/>
    <n v="2225"/>
    <n v="1044"/>
    <n v="121889"/>
    <x v="1"/>
    <n v="0.14571454356012437"/>
  </r>
  <r>
    <s v="A224"/>
    <x v="0"/>
    <d v="2025-09-07T00:00:00"/>
    <x v="1"/>
    <x v="17"/>
    <n v="4472"/>
    <n v="1301"/>
    <n v="956"/>
    <n v="1186"/>
    <n v="3363"/>
    <n v="46471"/>
    <x v="4"/>
    <n v="0.14479998278496267"/>
  </r>
  <r>
    <s v="A224"/>
    <x v="0"/>
    <d v="2025-09-07T00:00:00"/>
    <x v="1"/>
    <x v="18"/>
    <n v="4472"/>
    <n v="1301"/>
    <n v="956"/>
    <n v="1186"/>
    <n v="3363"/>
    <n v="46471"/>
    <x v="4"/>
    <n v="0.14479998278496267"/>
  </r>
  <r>
    <s v="A67"/>
    <x v="0"/>
    <d v="2025-03-29T00:00:00"/>
    <x v="0"/>
    <x v="8"/>
    <n v="19461"/>
    <n v="1382"/>
    <n v="445"/>
    <n v="1307"/>
    <n v="84691"/>
    <n v="151453"/>
    <x v="1"/>
    <n v="0.14055845707909384"/>
  </r>
  <r>
    <s v="A67"/>
    <x v="0"/>
    <d v="2025-03-29T00:00:00"/>
    <x v="0"/>
    <x v="9"/>
    <n v="19461"/>
    <n v="1382"/>
    <n v="445"/>
    <n v="1307"/>
    <n v="84691"/>
    <n v="151453"/>
    <x v="1"/>
    <n v="0.14055845707909384"/>
  </r>
  <r>
    <s v="A203"/>
    <x v="1"/>
    <d v="2024-11-21T00:00:00"/>
    <x v="2"/>
    <x v="8"/>
    <n v="8229"/>
    <n v="977"/>
    <n v="152"/>
    <n v="1633"/>
    <n v="71447"/>
    <n v="67723"/>
    <x v="2"/>
    <n v="0.13818052950991538"/>
  </r>
  <r>
    <s v="A203"/>
    <x v="1"/>
    <d v="2024-11-21T00:00:00"/>
    <x v="2"/>
    <x v="9"/>
    <n v="8229"/>
    <n v="977"/>
    <n v="152"/>
    <n v="1633"/>
    <n v="71447"/>
    <n v="67723"/>
    <x v="2"/>
    <n v="0.13818052950991538"/>
  </r>
  <r>
    <s v="A184"/>
    <x v="1"/>
    <d v="2025-10-13T00:00:00"/>
    <x v="0"/>
    <x v="5"/>
    <n v="19302"/>
    <n v="1367"/>
    <n v="188"/>
    <n v="637"/>
    <n v="31404"/>
    <n v="154044"/>
    <x v="4"/>
    <n v="0.13539638025499209"/>
  </r>
  <r>
    <s v="A184"/>
    <x v="1"/>
    <d v="2025-10-13T00:00:00"/>
    <x v="0"/>
    <x v="6"/>
    <n v="19302"/>
    <n v="1367"/>
    <n v="188"/>
    <n v="637"/>
    <n v="31404"/>
    <n v="154044"/>
    <x v="4"/>
    <n v="0.13539638025499209"/>
  </r>
  <r>
    <s v="A88"/>
    <x v="3"/>
    <d v="2024-07-07T00:00:00"/>
    <x v="1"/>
    <x v="10"/>
    <n v="24625"/>
    <n v="749"/>
    <n v="193"/>
    <n v="1340"/>
    <n v="4890"/>
    <n v="189381"/>
    <x v="0"/>
    <n v="0.13500298340382616"/>
  </r>
  <r>
    <s v="A88"/>
    <x v="3"/>
    <d v="2024-07-07T00:00:00"/>
    <x v="1"/>
    <x v="11"/>
    <n v="24625"/>
    <n v="749"/>
    <n v="193"/>
    <n v="1340"/>
    <n v="4890"/>
    <n v="189381"/>
    <x v="0"/>
    <n v="0.13500298340382616"/>
  </r>
  <r>
    <s v="A39"/>
    <x v="3"/>
    <d v="2025-09-13T00:00:00"/>
    <x v="3"/>
    <x v="0"/>
    <n v="17106"/>
    <n v="702"/>
    <n v="459"/>
    <n v="999"/>
    <n v="59627"/>
    <n v="136059"/>
    <x v="4"/>
    <n v="0.13425793222058077"/>
  </r>
  <r>
    <s v="A39"/>
    <x v="3"/>
    <d v="2025-09-13T00:00:00"/>
    <x v="3"/>
    <x v="1"/>
    <n v="17106"/>
    <n v="702"/>
    <n v="459"/>
    <n v="999"/>
    <n v="59627"/>
    <n v="136059"/>
    <x v="4"/>
    <n v="0.13425793222058077"/>
  </r>
  <r>
    <s v="A168"/>
    <x v="1"/>
    <d v="2024-11-12T00:00:00"/>
    <x v="2"/>
    <x v="10"/>
    <n v="19022"/>
    <n v="541"/>
    <n v="575"/>
    <n v="2063"/>
    <n v="42743"/>
    <n v="150169"/>
    <x v="0"/>
    <n v="0.13410224480418728"/>
  </r>
  <r>
    <s v="A168"/>
    <x v="1"/>
    <d v="2024-11-12T00:00:00"/>
    <x v="2"/>
    <x v="11"/>
    <n v="19022"/>
    <n v="541"/>
    <n v="575"/>
    <n v="2063"/>
    <n v="42743"/>
    <n v="150169"/>
    <x v="0"/>
    <n v="0.13410224480418728"/>
  </r>
  <r>
    <s v="A60"/>
    <x v="3"/>
    <d v="2025-01-28T00:00:00"/>
    <x v="1"/>
    <x v="8"/>
    <n v="9239"/>
    <n v="1477"/>
    <n v="631"/>
    <n v="1556"/>
    <n v="11580"/>
    <n v="84738"/>
    <x v="3"/>
    <n v="0.13390686586891359"/>
  </r>
  <r>
    <s v="A60"/>
    <x v="3"/>
    <d v="2025-01-28T00:00:00"/>
    <x v="1"/>
    <x v="9"/>
    <n v="9239"/>
    <n v="1477"/>
    <n v="631"/>
    <n v="1556"/>
    <n v="11580"/>
    <n v="84738"/>
    <x v="3"/>
    <n v="0.13390686586891359"/>
  </r>
  <r>
    <s v="A147"/>
    <x v="1"/>
    <d v="2024-10-21T00:00:00"/>
    <x v="1"/>
    <x v="16"/>
    <n v="20777"/>
    <n v="962"/>
    <n v="308"/>
    <n v="2777"/>
    <n v="25529"/>
    <n v="165354"/>
    <x v="0"/>
    <n v="0.13333212380710477"/>
  </r>
  <r>
    <s v="A147"/>
    <x v="1"/>
    <d v="2024-10-21T00:00:00"/>
    <x v="1"/>
    <x v="5"/>
    <n v="20777"/>
    <n v="962"/>
    <n v="308"/>
    <n v="2777"/>
    <n v="25529"/>
    <n v="165354"/>
    <x v="0"/>
    <n v="0.13333212380710477"/>
  </r>
  <r>
    <s v="A72"/>
    <x v="2"/>
    <d v="2025-03-03T00:00:00"/>
    <x v="3"/>
    <x v="5"/>
    <n v="24928"/>
    <n v="214"/>
    <n v="765"/>
    <n v="1556"/>
    <n v="5239"/>
    <n v="194571"/>
    <x v="2"/>
    <n v="0.13314933880177415"/>
  </r>
  <r>
    <s v="A72"/>
    <x v="2"/>
    <d v="2025-03-03T00:00:00"/>
    <x v="3"/>
    <x v="6"/>
    <n v="24928"/>
    <n v="214"/>
    <n v="765"/>
    <n v="1556"/>
    <n v="5239"/>
    <n v="194571"/>
    <x v="2"/>
    <n v="0.13314933880177415"/>
  </r>
  <r>
    <s v="A265"/>
    <x v="1"/>
    <d v="2025-02-20T00:00:00"/>
    <x v="3"/>
    <x v="16"/>
    <n v="15703"/>
    <n v="1381"/>
    <n v="639"/>
    <n v="984"/>
    <n v="10967"/>
    <n v="133747"/>
    <x v="2"/>
    <n v="0.13251138343289942"/>
  </r>
  <r>
    <s v="A265"/>
    <x v="1"/>
    <d v="2025-02-20T00:00:00"/>
    <x v="3"/>
    <x v="5"/>
    <n v="15703"/>
    <n v="1381"/>
    <n v="639"/>
    <n v="984"/>
    <n v="10967"/>
    <n v="133747"/>
    <x v="2"/>
    <n v="0.13251138343289942"/>
  </r>
  <r>
    <s v="A7"/>
    <x v="3"/>
    <d v="2024-06-24T00:00:00"/>
    <x v="3"/>
    <x v="0"/>
    <n v="7713"/>
    <n v="575"/>
    <n v="417"/>
    <n v="336"/>
    <n v="61660"/>
    <n v="66017"/>
    <x v="1"/>
    <n v="0.13185997546086614"/>
  </r>
  <r>
    <s v="A7"/>
    <x v="3"/>
    <d v="2024-06-24T00:00:00"/>
    <x v="3"/>
    <x v="1"/>
    <n v="7713"/>
    <n v="575"/>
    <n v="417"/>
    <n v="336"/>
    <n v="61660"/>
    <n v="66017"/>
    <x v="1"/>
    <n v="0.13185997546086614"/>
  </r>
  <r>
    <s v="A100"/>
    <x v="3"/>
    <d v="2025-09-25T00:00:00"/>
    <x v="2"/>
    <x v="2"/>
    <n v="20564"/>
    <n v="1433"/>
    <n v="488"/>
    <n v="1015"/>
    <n v="24333"/>
    <n v="172130"/>
    <x v="4"/>
    <n v="0.13062801371056759"/>
  </r>
  <r>
    <s v="A294"/>
    <x v="2"/>
    <d v="2024-06-19T00:00:00"/>
    <x v="3"/>
    <x v="15"/>
    <n v="20444"/>
    <n v="233"/>
    <n v="189"/>
    <n v="2879"/>
    <n v="28185"/>
    <n v="159891"/>
    <x v="1"/>
    <n v="0.13050140408153055"/>
  </r>
  <r>
    <s v="A294"/>
    <x v="2"/>
    <d v="2024-06-19T00:00:00"/>
    <x v="3"/>
    <x v="2"/>
    <n v="20444"/>
    <n v="233"/>
    <n v="189"/>
    <n v="2879"/>
    <n v="28185"/>
    <n v="159891"/>
    <x v="1"/>
    <n v="0.13050140408153055"/>
  </r>
  <r>
    <s v="A1"/>
    <x v="1"/>
    <d v="2024-12-23T00:00:00"/>
    <x v="2"/>
    <x v="3"/>
    <n v="24516"/>
    <n v="976"/>
    <n v="974"/>
    <n v="2675"/>
    <n v="23275"/>
    <n v="202932"/>
    <x v="0"/>
    <n v="0.13041807107799658"/>
  </r>
  <r>
    <s v="A1"/>
    <x v="1"/>
    <d v="2024-12-23T00:00:00"/>
    <x v="2"/>
    <x v="4"/>
    <n v="24516"/>
    <n v="976"/>
    <n v="974"/>
    <n v="2675"/>
    <n v="23275"/>
    <n v="202932"/>
    <x v="0"/>
    <n v="0.13041807107799658"/>
  </r>
  <r>
    <s v="A84"/>
    <x v="0"/>
    <d v="2024-12-09T00:00:00"/>
    <x v="2"/>
    <x v="10"/>
    <n v="15051"/>
    <n v="268"/>
    <n v="251"/>
    <n v="783"/>
    <n v="34154"/>
    <n v="119671"/>
    <x v="1"/>
    <n v="0.13010670922779954"/>
  </r>
  <r>
    <s v="A84"/>
    <x v="0"/>
    <d v="2024-12-09T00:00:00"/>
    <x v="2"/>
    <x v="11"/>
    <n v="15051"/>
    <n v="268"/>
    <n v="251"/>
    <n v="783"/>
    <n v="34154"/>
    <n v="119671"/>
    <x v="1"/>
    <n v="0.13010670922779954"/>
  </r>
  <r>
    <s v="A53"/>
    <x v="1"/>
    <d v="2025-02-24T00:00:00"/>
    <x v="2"/>
    <x v="5"/>
    <n v="23949"/>
    <n v="356"/>
    <n v="616"/>
    <n v="1847"/>
    <n v="3144"/>
    <n v="192999"/>
    <x v="1"/>
    <n v="0.12912502137316773"/>
  </r>
  <r>
    <s v="A53"/>
    <x v="1"/>
    <d v="2025-02-24T00:00:00"/>
    <x v="2"/>
    <x v="6"/>
    <n v="23949"/>
    <n v="356"/>
    <n v="616"/>
    <n v="1847"/>
    <n v="3144"/>
    <n v="192999"/>
    <x v="1"/>
    <n v="0.12912502137316773"/>
  </r>
  <r>
    <s v="A138"/>
    <x v="3"/>
    <d v="2025-03-29T00:00:00"/>
    <x v="3"/>
    <x v="12"/>
    <n v="23508"/>
    <n v="585"/>
    <n v="743"/>
    <n v="2155"/>
    <n v="3704"/>
    <n v="194268"/>
    <x v="1"/>
    <n v="0.1278440093067309"/>
  </r>
  <r>
    <s v="A138"/>
    <x v="3"/>
    <d v="2025-03-29T00:00:00"/>
    <x v="3"/>
    <x v="13"/>
    <n v="23508"/>
    <n v="585"/>
    <n v="743"/>
    <n v="2155"/>
    <n v="3704"/>
    <n v="194268"/>
    <x v="1"/>
    <n v="0.1278440093067309"/>
  </r>
  <r>
    <s v="A194"/>
    <x v="1"/>
    <d v="2024-10-02T00:00:00"/>
    <x v="0"/>
    <x v="0"/>
    <n v="5086"/>
    <n v="1336"/>
    <n v="897"/>
    <n v="1715"/>
    <n v="60592"/>
    <n v="57772"/>
    <x v="3"/>
    <n v="0.12668766876687668"/>
  </r>
  <r>
    <s v="A194"/>
    <x v="1"/>
    <d v="2024-10-02T00:00:00"/>
    <x v="0"/>
    <x v="1"/>
    <n v="5086"/>
    <n v="1336"/>
    <n v="897"/>
    <n v="1715"/>
    <n v="60592"/>
    <n v="57772"/>
    <x v="3"/>
    <n v="0.12668766876687668"/>
  </r>
  <r>
    <s v="A135"/>
    <x v="1"/>
    <d v="2024-11-28T00:00:00"/>
    <x v="3"/>
    <x v="16"/>
    <n v="19055"/>
    <n v="443"/>
    <n v="976"/>
    <n v="869"/>
    <n v="75437"/>
    <n v="161863"/>
    <x v="3"/>
    <n v="0.12648968572187591"/>
  </r>
  <r>
    <s v="A135"/>
    <x v="1"/>
    <d v="2024-11-28T00:00:00"/>
    <x v="3"/>
    <x v="5"/>
    <n v="19055"/>
    <n v="443"/>
    <n v="976"/>
    <n v="869"/>
    <n v="75437"/>
    <n v="161863"/>
    <x v="3"/>
    <n v="0.12648968572187591"/>
  </r>
  <r>
    <s v="A205"/>
    <x v="0"/>
    <d v="2025-09-23T00:00:00"/>
    <x v="1"/>
    <x v="5"/>
    <n v="17147"/>
    <n v="286"/>
    <n v="291"/>
    <n v="2439"/>
    <n v="45631"/>
    <n v="140494"/>
    <x v="4"/>
    <n v="0.12615485358805359"/>
  </r>
  <r>
    <s v="A205"/>
    <x v="0"/>
    <d v="2025-09-23T00:00:00"/>
    <x v="1"/>
    <x v="6"/>
    <n v="17147"/>
    <n v="286"/>
    <n v="291"/>
    <n v="2439"/>
    <n v="45631"/>
    <n v="140494"/>
    <x v="4"/>
    <n v="0.12615485358805359"/>
  </r>
  <r>
    <s v="A24"/>
    <x v="0"/>
    <d v="2025-01-23T00:00:00"/>
    <x v="0"/>
    <x v="16"/>
    <n v="23168"/>
    <n v="1265"/>
    <n v="441"/>
    <n v="1612"/>
    <n v="66615"/>
    <n v="197795"/>
    <x v="1"/>
    <n v="0.12575646502692181"/>
  </r>
  <r>
    <s v="A24"/>
    <x v="0"/>
    <d v="2025-01-23T00:00:00"/>
    <x v="0"/>
    <x v="5"/>
    <n v="23168"/>
    <n v="1265"/>
    <n v="441"/>
    <n v="1612"/>
    <n v="66615"/>
    <n v="197795"/>
    <x v="1"/>
    <n v="0.12575646502692181"/>
  </r>
  <r>
    <s v="A271"/>
    <x v="2"/>
    <d v="2024-10-17T00:00:00"/>
    <x v="0"/>
    <x v="12"/>
    <n v="18608"/>
    <n v="1338"/>
    <n v="365"/>
    <n v="2289"/>
    <n v="20785"/>
    <n v="161999"/>
    <x v="0"/>
    <n v="0.12537731714393299"/>
  </r>
  <r>
    <s v="A271"/>
    <x v="2"/>
    <d v="2024-10-17T00:00:00"/>
    <x v="0"/>
    <x v="13"/>
    <n v="18608"/>
    <n v="1338"/>
    <n v="365"/>
    <n v="2289"/>
    <n v="20785"/>
    <n v="161999"/>
    <x v="0"/>
    <n v="0.12537731714393299"/>
  </r>
  <r>
    <s v="A131"/>
    <x v="0"/>
    <d v="2024-10-21T00:00:00"/>
    <x v="2"/>
    <x v="16"/>
    <n v="20271"/>
    <n v="512"/>
    <n v="286"/>
    <n v="1982"/>
    <n v="43225"/>
    <n v="168335"/>
    <x v="1"/>
    <n v="0.12516113701844536"/>
  </r>
  <r>
    <s v="A131"/>
    <x v="0"/>
    <d v="2024-10-21T00:00:00"/>
    <x v="2"/>
    <x v="5"/>
    <n v="20271"/>
    <n v="512"/>
    <n v="286"/>
    <n v="1982"/>
    <n v="43225"/>
    <n v="168335"/>
    <x v="1"/>
    <n v="0.12516113701844536"/>
  </r>
  <r>
    <s v="A36"/>
    <x v="3"/>
    <d v="2025-04-19T00:00:00"/>
    <x v="3"/>
    <x v="14"/>
    <n v="20384"/>
    <n v="344"/>
    <n v="956"/>
    <n v="655"/>
    <n v="67621"/>
    <n v="175720"/>
    <x v="3"/>
    <n v="0.12340086501251991"/>
  </r>
  <r>
    <s v="A144"/>
    <x v="0"/>
    <d v="2024-10-28T00:00:00"/>
    <x v="3"/>
    <x v="15"/>
    <n v="8981"/>
    <n v="1138"/>
    <n v="764"/>
    <n v="2555"/>
    <n v="92810"/>
    <n v="88320"/>
    <x v="2"/>
    <n v="0.1232223731884058"/>
  </r>
  <r>
    <s v="A144"/>
    <x v="0"/>
    <d v="2024-10-28T00:00:00"/>
    <x v="3"/>
    <x v="2"/>
    <n v="8981"/>
    <n v="1138"/>
    <n v="764"/>
    <n v="2555"/>
    <n v="92810"/>
    <n v="88320"/>
    <x v="2"/>
    <n v="0.1232223731884058"/>
  </r>
  <r>
    <s v="A157"/>
    <x v="1"/>
    <d v="2024-07-23T00:00:00"/>
    <x v="0"/>
    <x v="15"/>
    <n v="24877"/>
    <n v="262"/>
    <n v="513"/>
    <n v="648"/>
    <n v="47544"/>
    <n v="208280"/>
    <x v="3"/>
    <n v="0.12316112924908777"/>
  </r>
  <r>
    <s v="A157"/>
    <x v="1"/>
    <d v="2024-07-23T00:00:00"/>
    <x v="0"/>
    <x v="2"/>
    <n v="24877"/>
    <n v="262"/>
    <n v="513"/>
    <n v="648"/>
    <n v="47544"/>
    <n v="208280"/>
    <x v="3"/>
    <n v="0.12316112924908777"/>
  </r>
  <r>
    <s v="A109"/>
    <x v="2"/>
    <d v="2024-08-08T00:00:00"/>
    <x v="3"/>
    <x v="8"/>
    <n v="24355"/>
    <n v="1087"/>
    <n v="686"/>
    <n v="2426"/>
    <n v="24963"/>
    <n v="212307"/>
    <x v="0"/>
    <n v="0.1230670679723231"/>
  </r>
  <r>
    <s v="A109"/>
    <x v="2"/>
    <d v="2024-08-08T00:00:00"/>
    <x v="3"/>
    <x v="9"/>
    <n v="24355"/>
    <n v="1087"/>
    <n v="686"/>
    <n v="2426"/>
    <n v="24963"/>
    <n v="212307"/>
    <x v="0"/>
    <n v="0.1230670679723231"/>
  </r>
  <r>
    <s v="A217"/>
    <x v="0"/>
    <d v="2025-09-26T00:00:00"/>
    <x v="3"/>
    <x v="3"/>
    <n v="16369"/>
    <n v="1452"/>
    <n v="493"/>
    <n v="1217"/>
    <n v="91440"/>
    <n v="149834"/>
    <x v="4"/>
    <n v="0.12222859965027964"/>
  </r>
  <r>
    <s v="A217"/>
    <x v="0"/>
    <d v="2025-09-26T00:00:00"/>
    <x v="3"/>
    <x v="4"/>
    <n v="16369"/>
    <n v="1452"/>
    <n v="493"/>
    <n v="1217"/>
    <n v="91440"/>
    <n v="149834"/>
    <x v="4"/>
    <n v="0.12222859965027964"/>
  </r>
  <r>
    <s v="A66"/>
    <x v="2"/>
    <d v="2024-07-26T00:00:00"/>
    <x v="1"/>
    <x v="8"/>
    <n v="12176"/>
    <n v="1005"/>
    <n v="862"/>
    <n v="974"/>
    <n v="2285"/>
    <n v="116619"/>
    <x v="1"/>
    <n v="0.12041777068916729"/>
  </r>
  <r>
    <s v="A66"/>
    <x v="2"/>
    <d v="2024-07-26T00:00:00"/>
    <x v="1"/>
    <x v="9"/>
    <n v="12176"/>
    <n v="1005"/>
    <n v="862"/>
    <n v="974"/>
    <n v="2285"/>
    <n v="116619"/>
    <x v="1"/>
    <n v="0.12041777068916729"/>
  </r>
  <r>
    <s v="A228"/>
    <x v="2"/>
    <d v="2024-07-01T00:00:00"/>
    <x v="0"/>
    <x v="12"/>
    <n v="3761"/>
    <n v="651"/>
    <n v="493"/>
    <n v="2294"/>
    <n v="71696"/>
    <n v="41177"/>
    <x v="0"/>
    <n v="0.11911989702989532"/>
  </r>
  <r>
    <s v="A228"/>
    <x v="2"/>
    <d v="2024-07-01T00:00:00"/>
    <x v="0"/>
    <x v="13"/>
    <n v="3761"/>
    <n v="651"/>
    <n v="493"/>
    <n v="2294"/>
    <n v="71696"/>
    <n v="41177"/>
    <x v="0"/>
    <n v="0.11911989702989532"/>
  </r>
  <r>
    <s v="A234"/>
    <x v="0"/>
    <d v="2024-06-01T00:00:00"/>
    <x v="2"/>
    <x v="0"/>
    <n v="19844"/>
    <n v="1022"/>
    <n v="860"/>
    <n v="2570"/>
    <n v="23719"/>
    <n v="182628"/>
    <x v="3"/>
    <n v="0.11896313818253498"/>
  </r>
  <r>
    <s v="A234"/>
    <x v="0"/>
    <d v="2024-06-01T00:00:00"/>
    <x v="2"/>
    <x v="1"/>
    <n v="19844"/>
    <n v="1022"/>
    <n v="860"/>
    <n v="2570"/>
    <n v="23719"/>
    <n v="182628"/>
    <x v="3"/>
    <n v="0.11896313818253498"/>
  </r>
  <r>
    <s v="A107"/>
    <x v="2"/>
    <d v="2024-06-21T00:00:00"/>
    <x v="0"/>
    <x v="5"/>
    <n v="21216"/>
    <n v="1207"/>
    <n v="859"/>
    <n v="328"/>
    <n v="91296"/>
    <n v="196683"/>
    <x v="3"/>
    <n v="0.1183732198512327"/>
  </r>
  <r>
    <s v="A107"/>
    <x v="2"/>
    <d v="2024-06-21T00:00:00"/>
    <x v="0"/>
    <x v="7"/>
    <n v="21216"/>
    <n v="1207"/>
    <n v="859"/>
    <n v="328"/>
    <n v="91296"/>
    <n v="196683"/>
    <x v="3"/>
    <n v="0.1183732198512327"/>
  </r>
  <r>
    <s v="A63"/>
    <x v="3"/>
    <d v="2024-07-31T00:00:00"/>
    <x v="2"/>
    <x v="3"/>
    <n v="12357"/>
    <n v="716"/>
    <n v="599"/>
    <n v="999"/>
    <n v="89591"/>
    <n v="116367"/>
    <x v="0"/>
    <n v="0.11749035379446063"/>
  </r>
  <r>
    <s v="A63"/>
    <x v="3"/>
    <d v="2024-07-31T00:00:00"/>
    <x v="2"/>
    <x v="4"/>
    <n v="12357"/>
    <n v="716"/>
    <n v="599"/>
    <n v="999"/>
    <n v="89591"/>
    <n v="116367"/>
    <x v="0"/>
    <n v="0.11749035379446063"/>
  </r>
  <r>
    <s v="A204"/>
    <x v="3"/>
    <d v="2025-09-22T00:00:00"/>
    <x v="3"/>
    <x v="2"/>
    <n v="18509"/>
    <n v="361"/>
    <n v="578"/>
    <n v="1409"/>
    <n v="10569"/>
    <n v="166969"/>
    <x v="4"/>
    <n v="0.11647671124580011"/>
  </r>
  <r>
    <s v="A250"/>
    <x v="1"/>
    <d v="2024-06-22T00:00:00"/>
    <x v="1"/>
    <x v="8"/>
    <n v="7342"/>
    <n v="906"/>
    <n v="902"/>
    <n v="1199"/>
    <n v="68488"/>
    <n v="79310"/>
    <x v="0"/>
    <n v="0.1153700668263775"/>
  </r>
  <r>
    <s v="A250"/>
    <x v="1"/>
    <d v="2024-06-22T00:00:00"/>
    <x v="1"/>
    <x v="9"/>
    <n v="7342"/>
    <n v="906"/>
    <n v="902"/>
    <n v="1199"/>
    <n v="68488"/>
    <n v="79310"/>
    <x v="0"/>
    <n v="0.1153700668263775"/>
  </r>
  <r>
    <s v="A95"/>
    <x v="2"/>
    <d v="2024-11-08T00:00:00"/>
    <x v="1"/>
    <x v="5"/>
    <n v="23499"/>
    <n v="562"/>
    <n v="964"/>
    <n v="2557"/>
    <n v="56890"/>
    <n v="218686"/>
    <x v="1"/>
    <n v="0.11443347996671026"/>
  </r>
  <r>
    <s v="A95"/>
    <x v="2"/>
    <d v="2024-11-08T00:00:00"/>
    <x v="1"/>
    <x v="7"/>
    <n v="23499"/>
    <n v="562"/>
    <n v="964"/>
    <n v="2557"/>
    <n v="56890"/>
    <n v="218686"/>
    <x v="1"/>
    <n v="0.11443347996671026"/>
  </r>
  <r>
    <s v="A143"/>
    <x v="0"/>
    <d v="2024-10-02T00:00:00"/>
    <x v="2"/>
    <x v="12"/>
    <n v="15716"/>
    <n v="839"/>
    <n v="639"/>
    <n v="2839"/>
    <n v="349"/>
    <n v="150677"/>
    <x v="3"/>
    <n v="0.11411164278556117"/>
  </r>
  <r>
    <s v="A143"/>
    <x v="0"/>
    <d v="2024-10-02T00:00:00"/>
    <x v="2"/>
    <x v="13"/>
    <n v="15716"/>
    <n v="839"/>
    <n v="639"/>
    <n v="2839"/>
    <n v="349"/>
    <n v="150677"/>
    <x v="3"/>
    <n v="0.11411164278556117"/>
  </r>
  <r>
    <s v="A98"/>
    <x v="0"/>
    <d v="2024-06-10T00:00:00"/>
    <x v="0"/>
    <x v="0"/>
    <n v="21561"/>
    <n v="340"/>
    <n v="741"/>
    <n v="986"/>
    <n v="24826"/>
    <n v="198492"/>
    <x v="0"/>
    <n v="0.11407008846704149"/>
  </r>
  <r>
    <s v="A98"/>
    <x v="0"/>
    <d v="2024-06-10T00:00:00"/>
    <x v="0"/>
    <x v="1"/>
    <n v="21561"/>
    <n v="340"/>
    <n v="741"/>
    <n v="986"/>
    <n v="24826"/>
    <n v="198492"/>
    <x v="0"/>
    <n v="0.11407008846704149"/>
  </r>
  <r>
    <s v="A161"/>
    <x v="1"/>
    <d v="2025-10-06T00:00:00"/>
    <x v="0"/>
    <x v="12"/>
    <n v="22028"/>
    <n v="355"/>
    <n v="665"/>
    <n v="1859"/>
    <n v="50565"/>
    <n v="202962"/>
    <x v="4"/>
    <n v="0.11355820301337197"/>
  </r>
  <r>
    <s v="A161"/>
    <x v="1"/>
    <d v="2025-10-06T00:00:00"/>
    <x v="0"/>
    <x v="13"/>
    <n v="22028"/>
    <n v="355"/>
    <n v="665"/>
    <n v="1859"/>
    <n v="50565"/>
    <n v="202962"/>
    <x v="4"/>
    <n v="0.11355820301337197"/>
  </r>
  <r>
    <s v="A27"/>
    <x v="2"/>
    <d v="2024-09-17T00:00:00"/>
    <x v="1"/>
    <x v="16"/>
    <n v="20017"/>
    <n v="495"/>
    <n v="178"/>
    <n v="2683"/>
    <n v="32244"/>
    <n v="182633"/>
    <x v="0"/>
    <n v="0.11328730295182141"/>
  </r>
  <r>
    <s v="A27"/>
    <x v="2"/>
    <d v="2024-09-17T00:00:00"/>
    <x v="1"/>
    <x v="5"/>
    <n v="20017"/>
    <n v="495"/>
    <n v="178"/>
    <n v="2683"/>
    <n v="32244"/>
    <n v="182633"/>
    <x v="0"/>
    <n v="0.11328730295182141"/>
  </r>
  <r>
    <s v="A128"/>
    <x v="3"/>
    <d v="2025-01-10T00:00:00"/>
    <x v="3"/>
    <x v="15"/>
    <n v="14647"/>
    <n v="1168"/>
    <n v="484"/>
    <n v="2650"/>
    <n v="27217"/>
    <n v="144061"/>
    <x v="1"/>
    <n v="0.11313957281984714"/>
  </r>
  <r>
    <s v="A128"/>
    <x v="3"/>
    <d v="2025-01-10T00:00:00"/>
    <x v="3"/>
    <x v="2"/>
    <n v="14647"/>
    <n v="1168"/>
    <n v="484"/>
    <n v="2650"/>
    <n v="27217"/>
    <n v="144061"/>
    <x v="1"/>
    <n v="0.11313957281984714"/>
  </r>
  <r>
    <s v="A159"/>
    <x v="3"/>
    <d v="2025-10-05T00:00:00"/>
    <x v="1"/>
    <x v="0"/>
    <n v="21262"/>
    <n v="861"/>
    <n v="676"/>
    <n v="2263"/>
    <n v="12085"/>
    <n v="201731"/>
    <x v="4"/>
    <n v="0.11301683925623726"/>
  </r>
  <r>
    <s v="A159"/>
    <x v="3"/>
    <d v="2025-10-05T00:00:00"/>
    <x v="1"/>
    <x v="1"/>
    <n v="21262"/>
    <n v="861"/>
    <n v="676"/>
    <n v="2263"/>
    <n v="12085"/>
    <n v="201731"/>
    <x v="4"/>
    <n v="0.11301683925623726"/>
  </r>
  <r>
    <s v="A195"/>
    <x v="1"/>
    <d v="2024-08-15T00:00:00"/>
    <x v="2"/>
    <x v="16"/>
    <n v="15503"/>
    <n v="313"/>
    <n v="388"/>
    <n v="1078"/>
    <n v="11500"/>
    <n v="143754"/>
    <x v="1"/>
    <n v="0.1127203416948398"/>
  </r>
  <r>
    <s v="A195"/>
    <x v="1"/>
    <d v="2024-08-15T00:00:00"/>
    <x v="2"/>
    <x v="5"/>
    <n v="15503"/>
    <n v="313"/>
    <n v="388"/>
    <n v="1078"/>
    <n v="11500"/>
    <n v="143754"/>
    <x v="1"/>
    <n v="0.1127203416948398"/>
  </r>
  <r>
    <s v="A71"/>
    <x v="2"/>
    <d v="2024-09-02T00:00:00"/>
    <x v="3"/>
    <x v="5"/>
    <n v="12040"/>
    <n v="1147"/>
    <n v="210"/>
    <n v="885"/>
    <n v="30360"/>
    <n v="119530"/>
    <x v="1"/>
    <n v="0.1120806492094035"/>
  </r>
  <r>
    <s v="A71"/>
    <x v="2"/>
    <d v="2024-09-02T00:00:00"/>
    <x v="3"/>
    <x v="7"/>
    <n v="12040"/>
    <n v="1147"/>
    <n v="210"/>
    <n v="885"/>
    <n v="30360"/>
    <n v="119530"/>
    <x v="1"/>
    <n v="0.1120806492094035"/>
  </r>
  <r>
    <s v="A92"/>
    <x v="0"/>
    <d v="2024-10-21T00:00:00"/>
    <x v="1"/>
    <x v="10"/>
    <n v="19715"/>
    <n v="1014"/>
    <n v="718"/>
    <n v="1185"/>
    <n v="37625"/>
    <n v="191409"/>
    <x v="0"/>
    <n v="0.11204802282024356"/>
  </r>
  <r>
    <s v="A92"/>
    <x v="0"/>
    <d v="2024-10-21T00:00:00"/>
    <x v="1"/>
    <x v="11"/>
    <n v="19715"/>
    <n v="1014"/>
    <n v="718"/>
    <n v="1185"/>
    <n v="37625"/>
    <n v="191409"/>
    <x v="0"/>
    <n v="0.11204802282024356"/>
  </r>
  <r>
    <s v="A225"/>
    <x v="2"/>
    <d v="2024-06-20T00:00:00"/>
    <x v="0"/>
    <x v="8"/>
    <n v="21123"/>
    <n v="1343"/>
    <n v="589"/>
    <n v="727"/>
    <n v="87833"/>
    <n v="206703"/>
    <x v="0"/>
    <n v="0.11153684271636116"/>
  </r>
  <r>
    <s v="A225"/>
    <x v="2"/>
    <d v="2024-06-20T00:00:00"/>
    <x v="0"/>
    <x v="9"/>
    <n v="21123"/>
    <n v="1343"/>
    <n v="589"/>
    <n v="727"/>
    <n v="87833"/>
    <n v="206703"/>
    <x v="0"/>
    <n v="0.11153684271636116"/>
  </r>
  <r>
    <s v="A19"/>
    <x v="0"/>
    <d v="2024-06-23T00:00:00"/>
    <x v="1"/>
    <x v="5"/>
    <n v="16512"/>
    <n v="1050"/>
    <n v="971"/>
    <n v="1891"/>
    <n v="15865"/>
    <n v="166503"/>
    <x v="1"/>
    <n v="0.1113073037723044"/>
  </r>
  <r>
    <s v="A19"/>
    <x v="0"/>
    <d v="2024-06-23T00:00:00"/>
    <x v="1"/>
    <x v="6"/>
    <n v="16512"/>
    <n v="1050"/>
    <n v="971"/>
    <n v="1891"/>
    <n v="15865"/>
    <n v="166503"/>
    <x v="1"/>
    <n v="0.1113073037723044"/>
  </r>
  <r>
    <s v="A3"/>
    <x v="3"/>
    <d v="2025-05-12T00:00:00"/>
    <x v="1"/>
    <x v="12"/>
    <n v="19308"/>
    <n v="1318"/>
    <n v="795"/>
    <n v="1499"/>
    <n v="52307"/>
    <n v="193087"/>
    <x v="3"/>
    <n v="0.11093962825047776"/>
  </r>
  <r>
    <s v="A3"/>
    <x v="3"/>
    <d v="2025-05-12T00:00:00"/>
    <x v="1"/>
    <x v="13"/>
    <n v="19308"/>
    <n v="1318"/>
    <n v="795"/>
    <n v="1499"/>
    <n v="52307"/>
    <n v="193087"/>
    <x v="3"/>
    <n v="0.11093962825047776"/>
  </r>
  <r>
    <s v="A146"/>
    <x v="1"/>
    <d v="2024-06-05T00:00:00"/>
    <x v="1"/>
    <x v="15"/>
    <n v="18907"/>
    <n v="1075"/>
    <n v="675"/>
    <n v="1383"/>
    <n v="17875"/>
    <n v="186649"/>
    <x v="0"/>
    <n v="0.11067297440650634"/>
  </r>
  <r>
    <s v="A146"/>
    <x v="1"/>
    <d v="2024-06-05T00:00:00"/>
    <x v="1"/>
    <x v="2"/>
    <n v="18907"/>
    <n v="1075"/>
    <n v="675"/>
    <n v="1383"/>
    <n v="17875"/>
    <n v="186649"/>
    <x v="0"/>
    <n v="0.11067297440650634"/>
  </r>
  <r>
    <s v="A284"/>
    <x v="1"/>
    <d v="2024-09-17T00:00:00"/>
    <x v="0"/>
    <x v="0"/>
    <n v="20410"/>
    <n v="1332"/>
    <n v="472"/>
    <n v="1202"/>
    <n v="9418"/>
    <n v="200806"/>
    <x v="0"/>
    <n v="0.11062418453631864"/>
  </r>
  <r>
    <s v="A284"/>
    <x v="1"/>
    <d v="2024-09-17T00:00:00"/>
    <x v="0"/>
    <x v="1"/>
    <n v="20410"/>
    <n v="1332"/>
    <n v="472"/>
    <n v="1202"/>
    <n v="9418"/>
    <n v="200806"/>
    <x v="0"/>
    <n v="0.11062418453631864"/>
  </r>
  <r>
    <s v="A235"/>
    <x v="0"/>
    <d v="2024-12-22T00:00:00"/>
    <x v="1"/>
    <x v="5"/>
    <n v="20117"/>
    <n v="1143"/>
    <n v="713"/>
    <n v="1739"/>
    <n v="34444"/>
    <n v="198670"/>
    <x v="2"/>
    <n v="0.11060049328031409"/>
  </r>
  <r>
    <s v="A235"/>
    <x v="0"/>
    <d v="2024-12-22T00:00:00"/>
    <x v="1"/>
    <x v="7"/>
    <n v="20117"/>
    <n v="1143"/>
    <n v="713"/>
    <n v="1739"/>
    <n v="34444"/>
    <n v="198670"/>
    <x v="2"/>
    <n v="0.11060049328031409"/>
  </r>
  <r>
    <s v="A282"/>
    <x v="0"/>
    <d v="2024-10-03T00:00:00"/>
    <x v="2"/>
    <x v="5"/>
    <n v="22618"/>
    <n v="641"/>
    <n v="416"/>
    <n v="1530"/>
    <n v="18395"/>
    <n v="215211"/>
    <x v="2"/>
    <n v="0.1100083174187193"/>
  </r>
  <r>
    <s v="A282"/>
    <x v="0"/>
    <d v="2024-10-03T00:00:00"/>
    <x v="2"/>
    <x v="7"/>
    <n v="22618"/>
    <n v="641"/>
    <n v="416"/>
    <n v="1530"/>
    <n v="18395"/>
    <n v="215211"/>
    <x v="2"/>
    <n v="0.1100083174187193"/>
  </r>
  <r>
    <s v="A258"/>
    <x v="2"/>
    <d v="2024-08-05T00:00:00"/>
    <x v="0"/>
    <x v="3"/>
    <n v="20935"/>
    <n v="1104"/>
    <n v="876"/>
    <n v="1270"/>
    <n v="21454"/>
    <n v="208722"/>
    <x v="3"/>
    <n v="0.10978718103506099"/>
  </r>
  <r>
    <s v="A258"/>
    <x v="2"/>
    <d v="2024-08-05T00:00:00"/>
    <x v="0"/>
    <x v="4"/>
    <n v="20935"/>
    <n v="1104"/>
    <n v="876"/>
    <n v="1270"/>
    <n v="21454"/>
    <n v="208722"/>
    <x v="3"/>
    <n v="0.10978718103506099"/>
  </r>
  <r>
    <s v="A153"/>
    <x v="3"/>
    <d v="2025-01-01T00:00:00"/>
    <x v="0"/>
    <x v="10"/>
    <n v="24574"/>
    <n v="909"/>
    <n v="280"/>
    <n v="2009"/>
    <n v="6221"/>
    <n v="236910"/>
    <x v="2"/>
    <n v="0.10874593727575872"/>
  </r>
  <r>
    <s v="A153"/>
    <x v="3"/>
    <d v="2025-01-01T00:00:00"/>
    <x v="0"/>
    <x v="11"/>
    <n v="24574"/>
    <n v="909"/>
    <n v="280"/>
    <n v="2009"/>
    <n v="6221"/>
    <n v="236910"/>
    <x v="2"/>
    <n v="0.10874593727575872"/>
  </r>
  <r>
    <s v="A33"/>
    <x v="0"/>
    <d v="2025-09-11T00:00:00"/>
    <x v="3"/>
    <x v="16"/>
    <n v="10175"/>
    <n v="342"/>
    <n v="825"/>
    <n v="2904"/>
    <n v="15954"/>
    <n v="104324"/>
    <x v="4"/>
    <n v="0.10871899083624094"/>
  </r>
  <r>
    <s v="A33"/>
    <x v="0"/>
    <d v="2025-09-11T00:00:00"/>
    <x v="3"/>
    <x v="5"/>
    <n v="10175"/>
    <n v="342"/>
    <n v="825"/>
    <n v="2904"/>
    <n v="15954"/>
    <n v="104324"/>
    <x v="4"/>
    <n v="0.10871899083624094"/>
  </r>
  <r>
    <s v="A183"/>
    <x v="2"/>
    <d v="2024-12-17T00:00:00"/>
    <x v="2"/>
    <x v="8"/>
    <n v="20030"/>
    <n v="485"/>
    <n v="888"/>
    <n v="1643"/>
    <n v="4322"/>
    <n v="196995"/>
    <x v="3"/>
    <n v="0.10864742759968526"/>
  </r>
  <r>
    <s v="A183"/>
    <x v="2"/>
    <d v="2024-12-17T00:00:00"/>
    <x v="2"/>
    <x v="9"/>
    <n v="20030"/>
    <n v="485"/>
    <n v="888"/>
    <n v="1643"/>
    <n v="4322"/>
    <n v="196995"/>
    <x v="3"/>
    <n v="0.10864742759968526"/>
  </r>
  <r>
    <s v="A52"/>
    <x v="2"/>
    <d v="2025-09-19T00:00:00"/>
    <x v="2"/>
    <x v="8"/>
    <n v="19100"/>
    <n v="619"/>
    <n v="297"/>
    <n v="2312"/>
    <n v="9730"/>
    <n v="184832"/>
    <x v="4"/>
    <n v="0.10829293628808864"/>
  </r>
  <r>
    <s v="A52"/>
    <x v="2"/>
    <d v="2025-09-19T00:00:00"/>
    <x v="2"/>
    <x v="9"/>
    <n v="19100"/>
    <n v="619"/>
    <n v="297"/>
    <n v="2312"/>
    <n v="9730"/>
    <n v="184832"/>
    <x v="4"/>
    <n v="0.10829293628808864"/>
  </r>
  <r>
    <s v="A199"/>
    <x v="3"/>
    <d v="2025-09-20T00:00:00"/>
    <x v="2"/>
    <x v="8"/>
    <n v="12267"/>
    <n v="1487"/>
    <n v="489"/>
    <n v="2748"/>
    <n v="34685"/>
    <n v="131736"/>
    <x v="4"/>
    <n v="0.1081177506528208"/>
  </r>
  <r>
    <s v="A199"/>
    <x v="3"/>
    <d v="2025-09-20T00:00:00"/>
    <x v="2"/>
    <x v="9"/>
    <n v="12267"/>
    <n v="1487"/>
    <n v="489"/>
    <n v="2748"/>
    <n v="34685"/>
    <n v="131736"/>
    <x v="4"/>
    <n v="0.1081177506528208"/>
  </r>
  <r>
    <s v="A262"/>
    <x v="2"/>
    <d v="2025-01-18T00:00:00"/>
    <x v="1"/>
    <x v="15"/>
    <n v="22673"/>
    <n v="1053"/>
    <n v="169"/>
    <n v="1566"/>
    <n v="9417"/>
    <n v="221187"/>
    <x v="1"/>
    <n v="0.10803076130152314"/>
  </r>
  <r>
    <s v="A262"/>
    <x v="2"/>
    <d v="2025-01-18T00:00:00"/>
    <x v="1"/>
    <x v="2"/>
    <n v="22673"/>
    <n v="1053"/>
    <n v="169"/>
    <n v="1566"/>
    <n v="9417"/>
    <n v="221187"/>
    <x v="1"/>
    <n v="0.10803076130152314"/>
  </r>
  <r>
    <s v="A268"/>
    <x v="0"/>
    <d v="2025-04-13T00:00:00"/>
    <x v="3"/>
    <x v="14"/>
    <n v="24700"/>
    <n v="327"/>
    <n v="999"/>
    <n v="994"/>
    <n v="59400"/>
    <n v="243502"/>
    <x v="3"/>
    <n v="0.10688207899729776"/>
  </r>
  <r>
    <s v="A180"/>
    <x v="1"/>
    <d v="2025-10-11T00:00:00"/>
    <x v="3"/>
    <x v="8"/>
    <n v="15623"/>
    <n v="869"/>
    <n v="423"/>
    <n v="371"/>
    <n v="47579"/>
    <n v="158516"/>
    <x v="4"/>
    <n v="0.10670847106916652"/>
  </r>
  <r>
    <s v="A180"/>
    <x v="1"/>
    <d v="2025-10-11T00:00:00"/>
    <x v="3"/>
    <x v="9"/>
    <n v="15623"/>
    <n v="869"/>
    <n v="423"/>
    <n v="371"/>
    <n v="47579"/>
    <n v="158516"/>
    <x v="4"/>
    <n v="0.10670847106916652"/>
  </r>
  <r>
    <s v="A214"/>
    <x v="1"/>
    <d v="2024-12-23T00:00:00"/>
    <x v="0"/>
    <x v="12"/>
    <n v="18616"/>
    <n v="1277"/>
    <n v="734"/>
    <n v="2249"/>
    <n v="3399"/>
    <n v="193515"/>
    <x v="1"/>
    <n v="0.10659122031883833"/>
  </r>
  <r>
    <s v="A214"/>
    <x v="1"/>
    <d v="2024-12-23T00:00:00"/>
    <x v="0"/>
    <x v="13"/>
    <n v="18616"/>
    <n v="1277"/>
    <n v="734"/>
    <n v="2249"/>
    <n v="3399"/>
    <n v="193515"/>
    <x v="1"/>
    <n v="0.10659122031883833"/>
  </r>
  <r>
    <s v="A272"/>
    <x v="0"/>
    <d v="2025-03-27T00:00:00"/>
    <x v="1"/>
    <x v="15"/>
    <n v="14819"/>
    <n v="1432"/>
    <n v="152"/>
    <n v="961"/>
    <n v="39154"/>
    <n v="154793"/>
    <x v="1"/>
    <n v="0.10596732410380315"/>
  </r>
  <r>
    <s v="A272"/>
    <x v="0"/>
    <d v="2025-03-27T00:00:00"/>
    <x v="1"/>
    <x v="2"/>
    <n v="14819"/>
    <n v="1432"/>
    <n v="152"/>
    <n v="961"/>
    <n v="39154"/>
    <n v="154793"/>
    <x v="1"/>
    <n v="0.10596732410380315"/>
  </r>
  <r>
    <s v="A198"/>
    <x v="0"/>
    <d v="2025-09-19T00:00:00"/>
    <x v="3"/>
    <x v="5"/>
    <n v="14772"/>
    <n v="1030"/>
    <n v="508"/>
    <n v="1876"/>
    <n v="8882"/>
    <n v="155142"/>
    <x v="4"/>
    <n v="0.10512949426976577"/>
  </r>
  <r>
    <s v="A198"/>
    <x v="0"/>
    <d v="2025-09-19T00:00:00"/>
    <x v="3"/>
    <x v="7"/>
    <n v="14772"/>
    <n v="1030"/>
    <n v="508"/>
    <n v="1876"/>
    <n v="8882"/>
    <n v="155142"/>
    <x v="4"/>
    <n v="0.10512949426976577"/>
  </r>
  <r>
    <s v="A296"/>
    <x v="0"/>
    <d v="2025-02-11T00:00:00"/>
    <x v="3"/>
    <x v="17"/>
    <n v="3619"/>
    <n v="1376"/>
    <n v="410"/>
    <n v="2499"/>
    <n v="58146"/>
    <n v="52149"/>
    <x v="0"/>
    <n v="0.10364532397553165"/>
  </r>
  <r>
    <s v="A296"/>
    <x v="0"/>
    <d v="2025-02-11T00:00:00"/>
    <x v="3"/>
    <x v="18"/>
    <n v="3619"/>
    <n v="1376"/>
    <n v="410"/>
    <n v="2499"/>
    <n v="58146"/>
    <n v="52149"/>
    <x v="0"/>
    <n v="0.10364532397553165"/>
  </r>
  <r>
    <s v="A240"/>
    <x v="0"/>
    <d v="2025-09-11T00:00:00"/>
    <x v="0"/>
    <x v="0"/>
    <n v="21901"/>
    <n v="1308"/>
    <n v="724"/>
    <n v="2183"/>
    <n v="15996"/>
    <n v="230961"/>
    <x v="4"/>
    <n v="0.10362355549205277"/>
  </r>
  <r>
    <s v="A240"/>
    <x v="0"/>
    <d v="2025-09-11T00:00:00"/>
    <x v="0"/>
    <x v="1"/>
    <n v="21901"/>
    <n v="1308"/>
    <n v="724"/>
    <n v="2183"/>
    <n v="15996"/>
    <n v="230961"/>
    <x v="4"/>
    <n v="0.10362355549205277"/>
  </r>
  <r>
    <s v="A243"/>
    <x v="0"/>
    <d v="2025-03-06T00:00:00"/>
    <x v="1"/>
    <x v="16"/>
    <n v="22119"/>
    <n v="899"/>
    <n v="642"/>
    <n v="410"/>
    <n v="49490"/>
    <n v="229420"/>
    <x v="1"/>
    <n v="0.10312963124400662"/>
  </r>
  <r>
    <s v="A243"/>
    <x v="0"/>
    <d v="2025-03-06T00:00:00"/>
    <x v="1"/>
    <x v="5"/>
    <n v="22119"/>
    <n v="899"/>
    <n v="642"/>
    <n v="410"/>
    <n v="49490"/>
    <n v="229420"/>
    <x v="1"/>
    <n v="0.10312963124400662"/>
  </r>
  <r>
    <s v="A290"/>
    <x v="0"/>
    <d v="2025-09-20T00:00:00"/>
    <x v="2"/>
    <x v="2"/>
    <n v="24422"/>
    <n v="327"/>
    <n v="481"/>
    <n v="2371"/>
    <n v="35340"/>
    <n v="245244"/>
    <x v="4"/>
    <n v="0.10287713460879777"/>
  </r>
  <r>
    <s v="A237"/>
    <x v="2"/>
    <d v="2024-10-22T00:00:00"/>
    <x v="3"/>
    <x v="12"/>
    <n v="7622"/>
    <n v="529"/>
    <n v="720"/>
    <n v="1015"/>
    <n v="71322"/>
    <n v="86819"/>
    <x v="2"/>
    <n v="0.10217809465669957"/>
  </r>
  <r>
    <s v="A237"/>
    <x v="2"/>
    <d v="2024-10-22T00:00:00"/>
    <x v="3"/>
    <x v="13"/>
    <n v="7622"/>
    <n v="529"/>
    <n v="720"/>
    <n v="1015"/>
    <n v="71322"/>
    <n v="86819"/>
    <x v="2"/>
    <n v="0.10217809465669957"/>
  </r>
  <r>
    <s v="A166"/>
    <x v="3"/>
    <d v="2025-02-16T00:00:00"/>
    <x v="1"/>
    <x v="5"/>
    <n v="24195"/>
    <n v="888"/>
    <n v="165"/>
    <n v="1559"/>
    <n v="11596"/>
    <n v="249988"/>
    <x v="3"/>
    <n v="0.10099684784869674"/>
  </r>
  <r>
    <s v="A166"/>
    <x v="3"/>
    <d v="2025-02-16T00:00:00"/>
    <x v="1"/>
    <x v="6"/>
    <n v="24195"/>
    <n v="888"/>
    <n v="165"/>
    <n v="1559"/>
    <n v="11596"/>
    <n v="249988"/>
    <x v="3"/>
    <n v="0.10099684784869674"/>
  </r>
  <r>
    <s v="A122"/>
    <x v="3"/>
    <d v="2024-10-02T00:00:00"/>
    <x v="0"/>
    <x v="15"/>
    <n v="9350"/>
    <n v="1024"/>
    <n v="550"/>
    <n v="2123"/>
    <n v="53916"/>
    <n v="108785"/>
    <x v="3"/>
    <n v="0.10041825619340902"/>
  </r>
  <r>
    <s v="A122"/>
    <x v="3"/>
    <d v="2024-10-02T00:00:00"/>
    <x v="0"/>
    <x v="2"/>
    <n v="9350"/>
    <n v="1024"/>
    <n v="550"/>
    <n v="2123"/>
    <n v="53916"/>
    <n v="108785"/>
    <x v="3"/>
    <n v="0.10041825619340902"/>
  </r>
  <r>
    <s v="A249"/>
    <x v="3"/>
    <d v="2024-07-18T00:00:00"/>
    <x v="0"/>
    <x v="14"/>
    <n v="11111"/>
    <n v="1222"/>
    <n v="367"/>
    <n v="507"/>
    <n v="14129"/>
    <n v="127163"/>
    <x v="2"/>
    <n v="9.9871818060284834E-2"/>
  </r>
  <r>
    <s v="A165"/>
    <x v="2"/>
    <d v="2025-10-07T00:00:00"/>
    <x v="3"/>
    <x v="8"/>
    <n v="19660"/>
    <n v="1307"/>
    <n v="310"/>
    <n v="2802"/>
    <n v="22171"/>
    <n v="213359"/>
    <x v="4"/>
    <n v="9.9723939463533293E-2"/>
  </r>
  <r>
    <s v="A165"/>
    <x v="2"/>
    <d v="2025-10-07T00:00:00"/>
    <x v="3"/>
    <x v="9"/>
    <n v="19660"/>
    <n v="1307"/>
    <n v="310"/>
    <n v="2802"/>
    <n v="22171"/>
    <n v="213359"/>
    <x v="4"/>
    <n v="9.9723939463533293E-2"/>
  </r>
  <r>
    <s v="A10"/>
    <x v="2"/>
    <d v="2025-03-11T00:00:00"/>
    <x v="0"/>
    <x v="16"/>
    <n v="20222"/>
    <n v="712"/>
    <n v="604"/>
    <n v="1272"/>
    <n v="71598"/>
    <n v="216422"/>
    <x v="3"/>
    <n v="9.9518533235992648E-2"/>
  </r>
  <r>
    <s v="A10"/>
    <x v="2"/>
    <d v="2025-03-11T00:00:00"/>
    <x v="0"/>
    <x v="5"/>
    <n v="20222"/>
    <n v="712"/>
    <n v="604"/>
    <n v="1272"/>
    <n v="71598"/>
    <n v="216422"/>
    <x v="3"/>
    <n v="9.9518533235992648E-2"/>
  </r>
  <r>
    <s v="A103"/>
    <x v="2"/>
    <d v="2025-09-27T00:00:00"/>
    <x v="1"/>
    <x v="10"/>
    <n v="18521"/>
    <n v="1027"/>
    <n v="230"/>
    <n v="1247"/>
    <n v="39588"/>
    <n v="200928"/>
    <x v="4"/>
    <n v="9.8433269628921807E-2"/>
  </r>
  <r>
    <s v="A103"/>
    <x v="2"/>
    <d v="2025-09-27T00:00:00"/>
    <x v="1"/>
    <x v="11"/>
    <n v="18521"/>
    <n v="1027"/>
    <n v="230"/>
    <n v="1247"/>
    <n v="39588"/>
    <n v="200928"/>
    <x v="4"/>
    <n v="9.8433269628921807E-2"/>
  </r>
  <r>
    <s v="A118"/>
    <x v="2"/>
    <d v="2024-11-04T00:00:00"/>
    <x v="0"/>
    <x v="2"/>
    <n v="14234"/>
    <n v="1013"/>
    <n v="437"/>
    <n v="338"/>
    <n v="67754"/>
    <n v="160030"/>
    <x v="3"/>
    <n v="9.8006623758045364E-2"/>
  </r>
  <r>
    <s v="A253"/>
    <x v="0"/>
    <d v="2025-09-16T00:00:00"/>
    <x v="2"/>
    <x v="14"/>
    <n v="16043"/>
    <n v="595"/>
    <n v="923"/>
    <n v="1194"/>
    <n v="52613"/>
    <n v="179978"/>
    <x v="4"/>
    <n v="9.757303670448611E-2"/>
  </r>
  <r>
    <s v="A114"/>
    <x v="2"/>
    <d v="2024-11-14T00:00:00"/>
    <x v="2"/>
    <x v="12"/>
    <n v="6300"/>
    <n v="1213"/>
    <n v="720"/>
    <n v="1037"/>
    <n v="39569"/>
    <n v="85272"/>
    <x v="1"/>
    <n v="9.6549863964724647E-2"/>
  </r>
  <r>
    <s v="A114"/>
    <x v="2"/>
    <d v="2024-11-14T00:00:00"/>
    <x v="2"/>
    <x v="13"/>
    <n v="6300"/>
    <n v="1213"/>
    <n v="720"/>
    <n v="1037"/>
    <n v="39569"/>
    <n v="85272"/>
    <x v="1"/>
    <n v="9.6549863964724647E-2"/>
  </r>
  <r>
    <s v="A208"/>
    <x v="0"/>
    <d v="2024-06-24T00:00:00"/>
    <x v="1"/>
    <x v="10"/>
    <n v="5596"/>
    <n v="1231"/>
    <n v="473"/>
    <n v="2251"/>
    <n v="43705"/>
    <n v="75643"/>
    <x v="0"/>
    <n v="9.6505955607260427E-2"/>
  </r>
  <r>
    <s v="A208"/>
    <x v="0"/>
    <d v="2024-06-24T00:00:00"/>
    <x v="1"/>
    <x v="11"/>
    <n v="5596"/>
    <n v="1231"/>
    <n v="473"/>
    <n v="2251"/>
    <n v="43705"/>
    <n v="75643"/>
    <x v="0"/>
    <n v="9.6505955607260427E-2"/>
  </r>
  <r>
    <s v="A263"/>
    <x v="3"/>
    <d v="2024-08-20T00:00:00"/>
    <x v="1"/>
    <x v="2"/>
    <n v="2846"/>
    <n v="792"/>
    <n v="902"/>
    <n v="2469"/>
    <n v="12130"/>
    <n v="47151"/>
    <x v="0"/>
    <n v="9.6286399015927546E-2"/>
  </r>
  <r>
    <s v="A35"/>
    <x v="2"/>
    <d v="2024-11-30T00:00:00"/>
    <x v="0"/>
    <x v="5"/>
    <n v="14763"/>
    <n v="864"/>
    <n v="336"/>
    <n v="1493"/>
    <n v="33310"/>
    <n v="165932"/>
    <x v="1"/>
    <n v="9.6202058674637797E-2"/>
  </r>
  <r>
    <s v="A35"/>
    <x v="2"/>
    <d v="2024-11-30T00:00:00"/>
    <x v="0"/>
    <x v="6"/>
    <n v="14763"/>
    <n v="864"/>
    <n v="336"/>
    <n v="1493"/>
    <n v="33310"/>
    <n v="165932"/>
    <x v="1"/>
    <n v="9.6202058674637797E-2"/>
  </r>
  <r>
    <s v="A26"/>
    <x v="2"/>
    <d v="2025-04-05T00:00:00"/>
    <x v="0"/>
    <x v="8"/>
    <n v="22384"/>
    <n v="601"/>
    <n v="943"/>
    <n v="515"/>
    <n v="41309"/>
    <n v="249373"/>
    <x v="0"/>
    <n v="9.5952649244304716E-2"/>
  </r>
  <r>
    <s v="A26"/>
    <x v="2"/>
    <d v="2025-04-05T00:00:00"/>
    <x v="0"/>
    <x v="9"/>
    <n v="22384"/>
    <n v="601"/>
    <n v="943"/>
    <n v="515"/>
    <n v="41309"/>
    <n v="249373"/>
    <x v="0"/>
    <n v="9.5952649244304716E-2"/>
  </r>
  <r>
    <s v="A238"/>
    <x v="2"/>
    <d v="2024-07-16T00:00:00"/>
    <x v="1"/>
    <x v="16"/>
    <n v="8767"/>
    <n v="974"/>
    <n v="733"/>
    <n v="1587"/>
    <n v="74927"/>
    <n v="113770"/>
    <x v="0"/>
    <n v="9.2062933989628198E-2"/>
  </r>
  <r>
    <s v="A238"/>
    <x v="2"/>
    <d v="2024-07-16T00:00:00"/>
    <x v="1"/>
    <x v="5"/>
    <n v="8767"/>
    <n v="974"/>
    <n v="733"/>
    <n v="1587"/>
    <n v="74927"/>
    <n v="113770"/>
    <x v="0"/>
    <n v="9.2062933989628198E-2"/>
  </r>
  <r>
    <s v="A56"/>
    <x v="0"/>
    <d v="2024-12-18T00:00:00"/>
    <x v="1"/>
    <x v="16"/>
    <n v="14775"/>
    <n v="1220"/>
    <n v="640"/>
    <n v="1547"/>
    <n v="28527"/>
    <n v="183660"/>
    <x v="2"/>
    <n v="9.0574975498203203E-2"/>
  </r>
  <r>
    <s v="A56"/>
    <x v="0"/>
    <d v="2024-12-18T00:00:00"/>
    <x v="1"/>
    <x v="5"/>
    <n v="14775"/>
    <n v="1220"/>
    <n v="640"/>
    <n v="1547"/>
    <n v="28527"/>
    <n v="183660"/>
    <x v="2"/>
    <n v="9.0574975498203203E-2"/>
  </r>
  <r>
    <s v="A266"/>
    <x v="2"/>
    <d v="2024-11-25T00:00:00"/>
    <x v="0"/>
    <x v="16"/>
    <n v="17385"/>
    <n v="831"/>
    <n v="568"/>
    <n v="2227"/>
    <n v="49351"/>
    <n v="207450"/>
    <x v="3"/>
    <n v="9.0547119787900698E-2"/>
  </r>
  <r>
    <s v="A266"/>
    <x v="2"/>
    <d v="2024-11-25T00:00:00"/>
    <x v="0"/>
    <x v="5"/>
    <n v="17385"/>
    <n v="831"/>
    <n v="568"/>
    <n v="2227"/>
    <n v="49351"/>
    <n v="207450"/>
    <x v="3"/>
    <n v="9.0547119787900698E-2"/>
  </r>
  <r>
    <s v="A179"/>
    <x v="3"/>
    <d v="2024-07-15T00:00:00"/>
    <x v="2"/>
    <x v="5"/>
    <n v="17034"/>
    <n v="231"/>
    <n v="290"/>
    <n v="1387"/>
    <n v="63550"/>
    <n v="198280"/>
    <x v="2"/>
    <n v="8.8536413153116805E-2"/>
  </r>
  <r>
    <s v="A179"/>
    <x v="3"/>
    <d v="2024-07-15T00:00:00"/>
    <x v="2"/>
    <x v="6"/>
    <n v="17034"/>
    <n v="231"/>
    <n v="290"/>
    <n v="1387"/>
    <n v="63550"/>
    <n v="198280"/>
    <x v="2"/>
    <n v="8.8536413153116805E-2"/>
  </r>
  <r>
    <s v="A2"/>
    <x v="0"/>
    <d v="2025-09-03T00:00:00"/>
    <x v="2"/>
    <x v="10"/>
    <n v="4779"/>
    <n v="1110"/>
    <n v="436"/>
    <n v="1574"/>
    <n v="77167"/>
    <n v="71585"/>
    <x v="4"/>
    <n v="8.8356499266606131E-2"/>
  </r>
  <r>
    <s v="A2"/>
    <x v="0"/>
    <d v="2025-09-03T00:00:00"/>
    <x v="2"/>
    <x v="11"/>
    <n v="4779"/>
    <n v="1110"/>
    <n v="436"/>
    <n v="1574"/>
    <n v="77167"/>
    <n v="71585"/>
    <x v="4"/>
    <n v="8.8356499266606131E-2"/>
  </r>
  <r>
    <s v="A86"/>
    <x v="1"/>
    <d v="2025-01-27T00:00:00"/>
    <x v="3"/>
    <x v="16"/>
    <n v="8949"/>
    <n v="1477"/>
    <n v="424"/>
    <n v="1030"/>
    <n v="58052"/>
    <n v="123310"/>
    <x v="0"/>
    <n v="8.7989619657773091E-2"/>
  </r>
  <r>
    <s v="A86"/>
    <x v="1"/>
    <d v="2025-01-27T00:00:00"/>
    <x v="3"/>
    <x v="5"/>
    <n v="8949"/>
    <n v="1477"/>
    <n v="424"/>
    <n v="1030"/>
    <n v="58052"/>
    <n v="123310"/>
    <x v="0"/>
    <n v="8.7989619657773091E-2"/>
  </r>
  <r>
    <s v="A57"/>
    <x v="0"/>
    <d v="2024-10-21T00:00:00"/>
    <x v="0"/>
    <x v="5"/>
    <n v="12015"/>
    <n v="1196"/>
    <n v="998"/>
    <n v="1848"/>
    <n v="44739"/>
    <n v="161750"/>
    <x v="2"/>
    <n v="8.7845440494590421E-2"/>
  </r>
  <r>
    <s v="A57"/>
    <x v="0"/>
    <d v="2024-10-21T00:00:00"/>
    <x v="0"/>
    <x v="6"/>
    <n v="12015"/>
    <n v="1196"/>
    <n v="998"/>
    <n v="1848"/>
    <n v="44739"/>
    <n v="161750"/>
    <x v="2"/>
    <n v="8.7845440494590421E-2"/>
  </r>
  <r>
    <s v="A297"/>
    <x v="2"/>
    <d v="2024-12-24T00:00:00"/>
    <x v="2"/>
    <x v="14"/>
    <n v="10512"/>
    <n v="1197"/>
    <n v="544"/>
    <n v="2012"/>
    <n v="10245"/>
    <n v="140102"/>
    <x v="0"/>
    <n v="8.745770938316369E-2"/>
  </r>
  <r>
    <s v="A137"/>
    <x v="3"/>
    <d v="2024-07-31T00:00:00"/>
    <x v="3"/>
    <x v="5"/>
    <n v="13314"/>
    <n v="274"/>
    <n v="626"/>
    <n v="2280"/>
    <n v="14639"/>
    <n v="163008"/>
    <x v="1"/>
    <n v="8.7198174322732622E-2"/>
  </r>
  <r>
    <s v="A137"/>
    <x v="3"/>
    <d v="2024-07-31T00:00:00"/>
    <x v="3"/>
    <x v="7"/>
    <n v="13314"/>
    <n v="274"/>
    <n v="626"/>
    <n v="2280"/>
    <n v="14639"/>
    <n v="163008"/>
    <x v="1"/>
    <n v="8.7198174322732622E-2"/>
  </r>
  <r>
    <s v="A29"/>
    <x v="0"/>
    <d v="2025-09-10T00:00:00"/>
    <x v="3"/>
    <x v="14"/>
    <n v="9266"/>
    <n v="999"/>
    <n v="928"/>
    <n v="2700"/>
    <n v="12264"/>
    <n v="128397"/>
    <x v="4"/>
    <n v="8.7174933993784898E-2"/>
  </r>
  <r>
    <s v="A34"/>
    <x v="2"/>
    <d v="2025-09-12T00:00:00"/>
    <x v="1"/>
    <x v="12"/>
    <n v="17158"/>
    <n v="1192"/>
    <n v="262"/>
    <n v="2016"/>
    <n v="28771"/>
    <n v="216037"/>
    <x v="4"/>
    <n v="8.6151909163708074E-2"/>
  </r>
  <r>
    <s v="A34"/>
    <x v="2"/>
    <d v="2025-09-12T00:00:00"/>
    <x v="1"/>
    <x v="13"/>
    <n v="17158"/>
    <n v="1192"/>
    <n v="262"/>
    <n v="2016"/>
    <n v="28771"/>
    <n v="216037"/>
    <x v="4"/>
    <n v="8.6151909163708074E-2"/>
  </r>
  <r>
    <s v="A64"/>
    <x v="3"/>
    <d v="2024-08-17T00:00:00"/>
    <x v="0"/>
    <x v="2"/>
    <n v="19154"/>
    <n v="1064"/>
    <n v="650"/>
    <n v="747"/>
    <n v="42667"/>
    <n v="242332"/>
    <x v="3"/>
    <n v="8.6113266097750191E-2"/>
  </r>
  <r>
    <s v="A55"/>
    <x v="1"/>
    <d v="2024-06-17T00:00:00"/>
    <x v="3"/>
    <x v="3"/>
    <n v="6976"/>
    <n v="1320"/>
    <n v="393"/>
    <n v="2285"/>
    <n v="14049"/>
    <n v="101367"/>
    <x v="2"/>
    <n v="8.5718231771681114E-2"/>
  </r>
  <r>
    <s v="A55"/>
    <x v="1"/>
    <d v="2024-06-17T00:00:00"/>
    <x v="3"/>
    <x v="4"/>
    <n v="6976"/>
    <n v="1320"/>
    <n v="393"/>
    <n v="2285"/>
    <n v="14049"/>
    <n v="101367"/>
    <x v="2"/>
    <n v="8.5718231771681114E-2"/>
  </r>
  <r>
    <s v="A259"/>
    <x v="0"/>
    <d v="2025-02-10T00:00:00"/>
    <x v="3"/>
    <x v="10"/>
    <n v="16309"/>
    <n v="1449"/>
    <n v="838"/>
    <n v="2434"/>
    <n v="2940"/>
    <n v="217953"/>
    <x v="1"/>
    <n v="8.5321147219813445E-2"/>
  </r>
  <r>
    <s v="A259"/>
    <x v="0"/>
    <d v="2025-02-10T00:00:00"/>
    <x v="3"/>
    <x v="11"/>
    <n v="16309"/>
    <n v="1449"/>
    <n v="838"/>
    <n v="2434"/>
    <n v="2940"/>
    <n v="217953"/>
    <x v="1"/>
    <n v="8.5321147219813445E-2"/>
  </r>
  <r>
    <s v="A25"/>
    <x v="0"/>
    <d v="2025-09-09T00:00:00"/>
    <x v="0"/>
    <x v="8"/>
    <n v="15772"/>
    <n v="288"/>
    <n v="520"/>
    <n v="1585"/>
    <n v="59182"/>
    <n v="194351"/>
    <x v="4"/>
    <n v="8.5309568769905988E-2"/>
  </r>
  <r>
    <s v="A25"/>
    <x v="0"/>
    <d v="2025-09-09T00:00:00"/>
    <x v="0"/>
    <x v="9"/>
    <n v="15772"/>
    <n v="288"/>
    <n v="520"/>
    <n v="1585"/>
    <n v="59182"/>
    <n v="194351"/>
    <x v="4"/>
    <n v="8.5309568769905988E-2"/>
  </r>
  <r>
    <s v="A213"/>
    <x v="3"/>
    <d v="2025-05-01T00:00:00"/>
    <x v="1"/>
    <x v="16"/>
    <n v="10258"/>
    <n v="527"/>
    <n v="854"/>
    <n v="2068"/>
    <n v="45632"/>
    <n v="136546"/>
    <x v="2"/>
    <n v="8.5238674146441498E-2"/>
  </r>
  <r>
    <s v="A213"/>
    <x v="3"/>
    <d v="2025-05-01T00:00:00"/>
    <x v="1"/>
    <x v="5"/>
    <n v="10258"/>
    <n v="527"/>
    <n v="854"/>
    <n v="2068"/>
    <n v="45632"/>
    <n v="136546"/>
    <x v="2"/>
    <n v="8.5238674146441498E-2"/>
  </r>
  <r>
    <s v="A255"/>
    <x v="3"/>
    <d v="2025-04-03T00:00:00"/>
    <x v="2"/>
    <x v="17"/>
    <n v="10837"/>
    <n v="1004"/>
    <n v="922"/>
    <n v="1108"/>
    <n v="36807"/>
    <n v="150350"/>
    <x v="3"/>
    <n v="8.4888593282341204E-2"/>
  </r>
  <r>
    <s v="A255"/>
    <x v="3"/>
    <d v="2025-04-03T00:00:00"/>
    <x v="2"/>
    <x v="18"/>
    <n v="10837"/>
    <n v="1004"/>
    <n v="922"/>
    <n v="1108"/>
    <n v="36807"/>
    <n v="150350"/>
    <x v="3"/>
    <n v="8.4888593282341204E-2"/>
  </r>
  <r>
    <s v="A8"/>
    <x v="3"/>
    <d v="2024-07-13T00:00:00"/>
    <x v="0"/>
    <x v="8"/>
    <n v="18639"/>
    <n v="1360"/>
    <n v="898"/>
    <n v="2011"/>
    <n v="42841"/>
    <n v="247779"/>
    <x v="1"/>
    <n v="8.4337252148083575E-2"/>
  </r>
  <r>
    <s v="A8"/>
    <x v="3"/>
    <d v="2024-07-13T00:00:00"/>
    <x v="0"/>
    <x v="9"/>
    <n v="18639"/>
    <n v="1360"/>
    <n v="898"/>
    <n v="2011"/>
    <n v="42841"/>
    <n v="247779"/>
    <x v="1"/>
    <n v="8.4337252148083575E-2"/>
  </r>
  <r>
    <s v="A215"/>
    <x v="1"/>
    <d v="2025-09-25T00:00:00"/>
    <x v="0"/>
    <x v="15"/>
    <n v="8371"/>
    <n v="960"/>
    <n v="548"/>
    <n v="2936"/>
    <n v="82543"/>
    <n v="119973"/>
    <x v="4"/>
    <n v="8.2343527293641069E-2"/>
  </r>
  <r>
    <s v="A215"/>
    <x v="1"/>
    <d v="2025-09-25T00:00:00"/>
    <x v="0"/>
    <x v="2"/>
    <n v="8371"/>
    <n v="960"/>
    <n v="548"/>
    <n v="2936"/>
    <n v="82543"/>
    <n v="119973"/>
    <x v="4"/>
    <n v="8.2343527293641069E-2"/>
  </r>
  <r>
    <s v="A117"/>
    <x v="3"/>
    <d v="2024-11-04T00:00:00"/>
    <x v="2"/>
    <x v="5"/>
    <n v="14015"/>
    <n v="978"/>
    <n v="196"/>
    <n v="2744"/>
    <n v="20190"/>
    <n v="186470"/>
    <x v="3"/>
    <n v="8.1455462004611998E-2"/>
  </r>
  <r>
    <s v="A117"/>
    <x v="3"/>
    <d v="2024-11-04T00:00:00"/>
    <x v="2"/>
    <x v="6"/>
    <n v="14015"/>
    <n v="978"/>
    <n v="196"/>
    <n v="2744"/>
    <n v="20190"/>
    <n v="186470"/>
    <x v="3"/>
    <n v="8.1455462004611998E-2"/>
  </r>
  <r>
    <s v="A176"/>
    <x v="2"/>
    <d v="2025-10-09T00:00:00"/>
    <x v="3"/>
    <x v="12"/>
    <n v="18748"/>
    <n v="634"/>
    <n v="400"/>
    <n v="1667"/>
    <n v="75813"/>
    <n v="244456"/>
    <x v="4"/>
    <n v="8.0922538207284747E-2"/>
  </r>
  <r>
    <s v="A176"/>
    <x v="2"/>
    <d v="2025-10-09T00:00:00"/>
    <x v="3"/>
    <x v="13"/>
    <n v="18748"/>
    <n v="634"/>
    <n v="400"/>
    <n v="1667"/>
    <n v="75813"/>
    <n v="244456"/>
    <x v="4"/>
    <n v="8.0922538207284747E-2"/>
  </r>
  <r>
    <s v="A175"/>
    <x v="0"/>
    <d v="2025-10-08T00:00:00"/>
    <x v="1"/>
    <x v="5"/>
    <n v="17745"/>
    <n v="414"/>
    <n v="563"/>
    <n v="2733"/>
    <n v="995"/>
    <n v="231648"/>
    <x v="4"/>
    <n v="8.0820900676889074E-2"/>
  </r>
  <r>
    <s v="A175"/>
    <x v="0"/>
    <d v="2025-10-08T00:00:00"/>
    <x v="1"/>
    <x v="6"/>
    <n v="17745"/>
    <n v="414"/>
    <n v="563"/>
    <n v="2733"/>
    <n v="995"/>
    <n v="231648"/>
    <x v="4"/>
    <n v="8.0820900676889074E-2"/>
  </r>
  <r>
    <s v="A212"/>
    <x v="1"/>
    <d v="2025-03-03T00:00:00"/>
    <x v="0"/>
    <x v="3"/>
    <n v="9561"/>
    <n v="642"/>
    <n v="581"/>
    <n v="2572"/>
    <n v="38552"/>
    <n v="133680"/>
    <x v="0"/>
    <n v="8.0670257330939563E-2"/>
  </r>
  <r>
    <s v="A212"/>
    <x v="1"/>
    <d v="2025-03-03T00:00:00"/>
    <x v="0"/>
    <x v="4"/>
    <n v="9561"/>
    <n v="642"/>
    <n v="581"/>
    <n v="2572"/>
    <n v="38552"/>
    <n v="133680"/>
    <x v="0"/>
    <n v="8.0670257330939563E-2"/>
  </r>
  <r>
    <s v="A172"/>
    <x v="3"/>
    <d v="2024-08-14T00:00:00"/>
    <x v="3"/>
    <x v="17"/>
    <n v="10150"/>
    <n v="526"/>
    <n v="888"/>
    <n v="1313"/>
    <n v="51605"/>
    <n v="143409"/>
    <x v="0"/>
    <n v="8.0636501195880311E-2"/>
  </r>
  <r>
    <s v="A172"/>
    <x v="3"/>
    <d v="2024-08-14T00:00:00"/>
    <x v="3"/>
    <x v="18"/>
    <n v="10150"/>
    <n v="526"/>
    <n v="888"/>
    <n v="1313"/>
    <n v="51605"/>
    <n v="143409"/>
    <x v="0"/>
    <n v="8.0636501195880311E-2"/>
  </r>
  <r>
    <s v="A191"/>
    <x v="1"/>
    <d v="2025-10-14T00:00:00"/>
    <x v="3"/>
    <x v="15"/>
    <n v="9673"/>
    <n v="393"/>
    <n v="846"/>
    <n v="1028"/>
    <n v="55556"/>
    <n v="136652"/>
    <x v="4"/>
    <n v="7.9852471972601938E-2"/>
  </r>
  <r>
    <s v="A191"/>
    <x v="1"/>
    <d v="2025-10-14T00:00:00"/>
    <x v="3"/>
    <x v="2"/>
    <n v="9673"/>
    <n v="393"/>
    <n v="846"/>
    <n v="1028"/>
    <n v="55556"/>
    <n v="136652"/>
    <x v="4"/>
    <n v="7.9852471972601938E-2"/>
  </r>
  <r>
    <s v="A227"/>
    <x v="3"/>
    <d v="2024-06-12T00:00:00"/>
    <x v="1"/>
    <x v="10"/>
    <n v="17679"/>
    <n v="690"/>
    <n v="451"/>
    <n v="2195"/>
    <n v="4390"/>
    <n v="235804"/>
    <x v="2"/>
    <n v="7.9812047293514959E-2"/>
  </r>
  <r>
    <s v="A227"/>
    <x v="3"/>
    <d v="2024-06-12T00:00:00"/>
    <x v="1"/>
    <x v="11"/>
    <n v="17679"/>
    <n v="690"/>
    <n v="451"/>
    <n v="2195"/>
    <n v="4390"/>
    <n v="235804"/>
    <x v="2"/>
    <n v="7.9812047293514959E-2"/>
  </r>
  <r>
    <s v="A267"/>
    <x v="0"/>
    <d v="2024-10-04T00:00:00"/>
    <x v="0"/>
    <x v="5"/>
    <n v="15746"/>
    <n v="258"/>
    <n v="839"/>
    <n v="2656"/>
    <n v="66614"/>
    <n v="213724"/>
    <x v="3"/>
    <n v="7.8807246729426739E-2"/>
  </r>
  <r>
    <s v="A267"/>
    <x v="0"/>
    <d v="2024-10-04T00:00:00"/>
    <x v="0"/>
    <x v="6"/>
    <n v="15746"/>
    <n v="258"/>
    <n v="839"/>
    <n v="2656"/>
    <n v="66614"/>
    <n v="213724"/>
    <x v="3"/>
    <n v="7.8807246729426739E-2"/>
  </r>
  <r>
    <s v="A59"/>
    <x v="1"/>
    <d v="2024-06-22T00:00:00"/>
    <x v="2"/>
    <x v="8"/>
    <n v="16430"/>
    <n v="488"/>
    <n v="514"/>
    <n v="1436"/>
    <n v="30059"/>
    <n v="223305"/>
    <x v="1"/>
    <n v="7.8063634938760881E-2"/>
  </r>
  <r>
    <s v="A59"/>
    <x v="1"/>
    <d v="2024-06-22T00:00:00"/>
    <x v="2"/>
    <x v="9"/>
    <n v="16430"/>
    <n v="488"/>
    <n v="514"/>
    <n v="1436"/>
    <n v="30059"/>
    <n v="223305"/>
    <x v="1"/>
    <n v="7.8063634938760881E-2"/>
  </r>
  <r>
    <s v="A124"/>
    <x v="1"/>
    <d v="2025-04-06T00:00:00"/>
    <x v="1"/>
    <x v="15"/>
    <n v="8238"/>
    <n v="766"/>
    <n v="235"/>
    <n v="1273"/>
    <n v="4706"/>
    <n v="119141"/>
    <x v="1"/>
    <n v="7.7546772311798629E-2"/>
  </r>
  <r>
    <s v="A124"/>
    <x v="1"/>
    <d v="2025-04-06T00:00:00"/>
    <x v="1"/>
    <x v="2"/>
    <n v="8238"/>
    <n v="766"/>
    <n v="235"/>
    <n v="1273"/>
    <n v="4706"/>
    <n v="119141"/>
    <x v="1"/>
    <n v="7.7546772311798629E-2"/>
  </r>
  <r>
    <s v="A101"/>
    <x v="1"/>
    <d v="2024-10-18T00:00:00"/>
    <x v="3"/>
    <x v="10"/>
    <n v="6892"/>
    <n v="1184"/>
    <n v="925"/>
    <n v="1062"/>
    <n v="75008"/>
    <n v="116260"/>
    <x v="2"/>
    <n v="7.7421297092723204E-2"/>
  </r>
  <r>
    <s v="A101"/>
    <x v="1"/>
    <d v="2024-10-18T00:00:00"/>
    <x v="3"/>
    <x v="11"/>
    <n v="6892"/>
    <n v="1184"/>
    <n v="925"/>
    <n v="1062"/>
    <n v="75008"/>
    <n v="116260"/>
    <x v="2"/>
    <n v="7.7421297092723204E-2"/>
  </r>
  <r>
    <s v="A278"/>
    <x v="2"/>
    <d v="2024-11-26T00:00:00"/>
    <x v="0"/>
    <x v="0"/>
    <n v="14607"/>
    <n v="1458"/>
    <n v="478"/>
    <n v="334"/>
    <n v="49257"/>
    <n v="214668"/>
    <x v="1"/>
    <n v="7.7063185942944451E-2"/>
  </r>
  <r>
    <s v="A278"/>
    <x v="2"/>
    <d v="2024-11-26T00:00:00"/>
    <x v="0"/>
    <x v="1"/>
    <n v="14607"/>
    <n v="1458"/>
    <n v="478"/>
    <n v="334"/>
    <n v="49257"/>
    <n v="214668"/>
    <x v="1"/>
    <n v="7.7063185942944451E-2"/>
  </r>
  <r>
    <s v="A11"/>
    <x v="1"/>
    <d v="2025-02-02T00:00:00"/>
    <x v="3"/>
    <x v="5"/>
    <n v="12136"/>
    <n v="1117"/>
    <n v="834"/>
    <n v="892"/>
    <n v="24675"/>
    <n v="183273"/>
    <x v="3"/>
    <n v="7.6863476889667326E-2"/>
  </r>
  <r>
    <s v="A11"/>
    <x v="1"/>
    <d v="2025-02-02T00:00:00"/>
    <x v="3"/>
    <x v="7"/>
    <n v="12136"/>
    <n v="1117"/>
    <n v="834"/>
    <n v="892"/>
    <n v="24675"/>
    <n v="183273"/>
    <x v="3"/>
    <n v="7.6863476889667326E-2"/>
  </r>
  <r>
    <s v="A277"/>
    <x v="3"/>
    <d v="2025-04-06T00:00:00"/>
    <x v="2"/>
    <x v="14"/>
    <n v="14941"/>
    <n v="1424"/>
    <n v="238"/>
    <n v="1054"/>
    <n v="20516"/>
    <n v="216048"/>
    <x v="2"/>
    <n v="7.6848663260016298E-2"/>
  </r>
  <r>
    <s v="A116"/>
    <x v="0"/>
    <d v="2025-03-18T00:00:00"/>
    <x v="2"/>
    <x v="8"/>
    <n v="5818"/>
    <n v="1252"/>
    <n v="687"/>
    <n v="2300"/>
    <n v="25081"/>
    <n v="101212"/>
    <x v="2"/>
    <n v="7.6641109749832043E-2"/>
  </r>
  <r>
    <s v="A116"/>
    <x v="0"/>
    <d v="2025-03-18T00:00:00"/>
    <x v="2"/>
    <x v="9"/>
    <n v="5818"/>
    <n v="1252"/>
    <n v="687"/>
    <n v="2300"/>
    <n v="25081"/>
    <n v="101212"/>
    <x v="2"/>
    <n v="7.6641109749832043E-2"/>
  </r>
  <r>
    <s v="A112"/>
    <x v="1"/>
    <d v="2024-10-05T00:00:00"/>
    <x v="3"/>
    <x v="10"/>
    <n v="16388"/>
    <n v="1208"/>
    <n v="417"/>
    <n v="2306"/>
    <n v="16865"/>
    <n v="236733"/>
    <x v="0"/>
    <n v="7.6089940988370866E-2"/>
  </r>
  <r>
    <s v="A112"/>
    <x v="1"/>
    <d v="2024-10-05T00:00:00"/>
    <x v="3"/>
    <x v="11"/>
    <n v="16388"/>
    <n v="1208"/>
    <n v="417"/>
    <n v="2306"/>
    <n v="16865"/>
    <n v="236733"/>
    <x v="0"/>
    <n v="7.6089940988370866E-2"/>
  </r>
  <r>
    <s v="A211"/>
    <x v="1"/>
    <d v="2025-09-24T00:00:00"/>
    <x v="2"/>
    <x v="14"/>
    <n v="11795"/>
    <n v="958"/>
    <n v="814"/>
    <n v="301"/>
    <n v="12564"/>
    <n v="179999"/>
    <x v="4"/>
    <n v="7.5372640959116444E-2"/>
  </r>
  <r>
    <s v="A233"/>
    <x v="0"/>
    <d v="2025-03-08T00:00:00"/>
    <x v="2"/>
    <x v="3"/>
    <n v="5812"/>
    <n v="934"/>
    <n v="302"/>
    <n v="2356"/>
    <n v="37437"/>
    <n v="93551"/>
    <x v="0"/>
    <n v="7.5338585370546551E-2"/>
  </r>
  <r>
    <s v="A233"/>
    <x v="0"/>
    <d v="2025-03-08T00:00:00"/>
    <x v="2"/>
    <x v="4"/>
    <n v="5812"/>
    <n v="934"/>
    <n v="302"/>
    <n v="2356"/>
    <n v="37437"/>
    <n v="93551"/>
    <x v="0"/>
    <n v="7.5338585370546551E-2"/>
  </r>
  <r>
    <s v="A239"/>
    <x v="1"/>
    <d v="2025-09-10T00:00:00"/>
    <x v="2"/>
    <x v="10"/>
    <n v="13613"/>
    <n v="350"/>
    <n v="809"/>
    <n v="2013"/>
    <n v="20471"/>
    <n v="198038"/>
    <x v="4"/>
    <n v="7.4591745018632791E-2"/>
  </r>
  <r>
    <s v="A239"/>
    <x v="1"/>
    <d v="2025-09-10T00:00:00"/>
    <x v="2"/>
    <x v="11"/>
    <n v="13613"/>
    <n v="350"/>
    <n v="809"/>
    <n v="2013"/>
    <n v="20471"/>
    <n v="198038"/>
    <x v="4"/>
    <n v="7.4591745018632791E-2"/>
  </r>
  <r>
    <s v="A17"/>
    <x v="0"/>
    <d v="2025-05-05T00:00:00"/>
    <x v="1"/>
    <x v="5"/>
    <n v="10415"/>
    <n v="1388"/>
    <n v="725"/>
    <n v="2462"/>
    <n v="53082"/>
    <n v="168267"/>
    <x v="2"/>
    <n v="7.4453101321114656E-2"/>
  </r>
  <r>
    <s v="A17"/>
    <x v="0"/>
    <d v="2025-05-05T00:00:00"/>
    <x v="1"/>
    <x v="6"/>
    <n v="10415"/>
    <n v="1388"/>
    <n v="725"/>
    <n v="2462"/>
    <n v="53082"/>
    <n v="168267"/>
    <x v="2"/>
    <n v="7.4453101321114656E-2"/>
  </r>
  <r>
    <s v="A252"/>
    <x v="3"/>
    <d v="2025-04-28T00:00:00"/>
    <x v="3"/>
    <x v="5"/>
    <n v="10659"/>
    <n v="1342"/>
    <n v="408"/>
    <n v="709"/>
    <n v="16309"/>
    <n v="168803"/>
    <x v="3"/>
    <n v="7.3511726687321907E-2"/>
  </r>
  <r>
    <s v="A252"/>
    <x v="3"/>
    <d v="2025-04-28T00:00:00"/>
    <x v="3"/>
    <x v="6"/>
    <n v="10659"/>
    <n v="1342"/>
    <n v="408"/>
    <n v="709"/>
    <n v="16309"/>
    <n v="168803"/>
    <x v="3"/>
    <n v="7.3511726687321907E-2"/>
  </r>
  <r>
    <s v="A209"/>
    <x v="2"/>
    <d v="2025-03-19T00:00:00"/>
    <x v="3"/>
    <x v="5"/>
    <n v="13475"/>
    <n v="1032"/>
    <n v="295"/>
    <n v="541"/>
    <n v="43666"/>
    <n v="202396"/>
    <x v="2"/>
    <n v="7.3133856400324118E-2"/>
  </r>
  <r>
    <s v="A209"/>
    <x v="2"/>
    <d v="2025-03-19T00:00:00"/>
    <x v="3"/>
    <x v="7"/>
    <n v="13475"/>
    <n v="1032"/>
    <n v="295"/>
    <n v="541"/>
    <n v="43666"/>
    <n v="202396"/>
    <x v="2"/>
    <n v="7.3133856400324118E-2"/>
  </r>
  <r>
    <s v="A18"/>
    <x v="0"/>
    <d v="2024-08-19T00:00:00"/>
    <x v="2"/>
    <x v="8"/>
    <n v="15550"/>
    <n v="204"/>
    <n v="279"/>
    <n v="1646"/>
    <n v="35819"/>
    <n v="219436"/>
    <x v="0"/>
    <n v="7.306458375107093E-2"/>
  </r>
  <r>
    <s v="A18"/>
    <x v="0"/>
    <d v="2024-08-19T00:00:00"/>
    <x v="2"/>
    <x v="9"/>
    <n v="15550"/>
    <n v="204"/>
    <n v="279"/>
    <n v="1646"/>
    <n v="35819"/>
    <n v="219436"/>
    <x v="0"/>
    <n v="7.306458375107093E-2"/>
  </r>
  <r>
    <s v="A229"/>
    <x v="3"/>
    <d v="2024-07-03T00:00:00"/>
    <x v="0"/>
    <x v="10"/>
    <n v="12167"/>
    <n v="364"/>
    <n v="160"/>
    <n v="616"/>
    <n v="42228"/>
    <n v="175832"/>
    <x v="3"/>
    <n v="7.2176850630146963E-2"/>
  </r>
  <r>
    <s v="A229"/>
    <x v="3"/>
    <d v="2024-07-03T00:00:00"/>
    <x v="0"/>
    <x v="11"/>
    <n v="12167"/>
    <n v="364"/>
    <n v="160"/>
    <n v="616"/>
    <n v="42228"/>
    <n v="175832"/>
    <x v="3"/>
    <n v="7.2176850630146963E-2"/>
  </r>
  <r>
    <s v="A89"/>
    <x v="0"/>
    <d v="2025-09-23T00:00:00"/>
    <x v="2"/>
    <x v="17"/>
    <n v="10017"/>
    <n v="1357"/>
    <n v="966"/>
    <n v="2871"/>
    <n v="14800"/>
    <n v="171691"/>
    <x v="4"/>
    <n v="7.1873307278774071E-2"/>
  </r>
  <r>
    <s v="A89"/>
    <x v="0"/>
    <d v="2025-09-23T00:00:00"/>
    <x v="2"/>
    <x v="18"/>
    <n v="10017"/>
    <n v="1357"/>
    <n v="966"/>
    <n v="2871"/>
    <n v="14800"/>
    <n v="171691"/>
    <x v="4"/>
    <n v="7.1873307278774071E-2"/>
  </r>
  <r>
    <s v="A177"/>
    <x v="1"/>
    <d v="2024-07-10T00:00:00"/>
    <x v="2"/>
    <x v="15"/>
    <n v="8809"/>
    <n v="1151"/>
    <n v="908"/>
    <n v="883"/>
    <n v="42921"/>
    <n v="151279"/>
    <x v="2"/>
    <n v="7.1840771025720687E-2"/>
  </r>
  <r>
    <s v="A177"/>
    <x v="1"/>
    <d v="2024-07-10T00:00:00"/>
    <x v="2"/>
    <x v="2"/>
    <n v="8809"/>
    <n v="1151"/>
    <n v="908"/>
    <n v="883"/>
    <n v="42921"/>
    <n v="151279"/>
    <x v="2"/>
    <n v="7.1840771025720687E-2"/>
  </r>
  <r>
    <s v="A192"/>
    <x v="1"/>
    <d v="2025-10-15T00:00:00"/>
    <x v="2"/>
    <x v="8"/>
    <n v="8882"/>
    <n v="701"/>
    <n v="421"/>
    <n v="2343"/>
    <n v="13588"/>
    <n v="139304"/>
    <x v="4"/>
    <n v="7.1814161833113191E-2"/>
  </r>
  <r>
    <s v="A192"/>
    <x v="1"/>
    <d v="2025-10-15T00:00:00"/>
    <x v="2"/>
    <x v="9"/>
    <n v="8882"/>
    <n v="701"/>
    <n v="421"/>
    <n v="2343"/>
    <n v="13588"/>
    <n v="139304"/>
    <x v="4"/>
    <n v="7.1814161833113191E-2"/>
  </r>
  <r>
    <s v="A115"/>
    <x v="1"/>
    <d v="2025-09-30T00:00:00"/>
    <x v="1"/>
    <x v="3"/>
    <n v="8269"/>
    <n v="250"/>
    <n v="638"/>
    <n v="815"/>
    <n v="41991"/>
    <n v="129393"/>
    <x v="4"/>
    <n v="7.0768897853825175E-2"/>
  </r>
  <r>
    <s v="A115"/>
    <x v="1"/>
    <d v="2025-09-30T00:00:00"/>
    <x v="1"/>
    <x v="4"/>
    <n v="8269"/>
    <n v="250"/>
    <n v="638"/>
    <n v="815"/>
    <n v="41991"/>
    <n v="129393"/>
    <x v="4"/>
    <n v="7.0768897853825175E-2"/>
  </r>
  <r>
    <s v="A257"/>
    <x v="1"/>
    <d v="2025-04-06T00:00:00"/>
    <x v="3"/>
    <x v="5"/>
    <n v="15917"/>
    <n v="1479"/>
    <n v="196"/>
    <n v="313"/>
    <n v="48524"/>
    <n v="249684"/>
    <x v="1"/>
    <n v="7.0457057720959296E-2"/>
  </r>
  <r>
    <s v="A257"/>
    <x v="1"/>
    <d v="2025-04-06T00:00:00"/>
    <x v="3"/>
    <x v="6"/>
    <n v="15917"/>
    <n v="1479"/>
    <n v="196"/>
    <n v="313"/>
    <n v="48524"/>
    <n v="249684"/>
    <x v="1"/>
    <n v="7.0457057720959296E-2"/>
  </r>
  <r>
    <s v="A291"/>
    <x v="3"/>
    <d v="2024-11-06T00:00:00"/>
    <x v="2"/>
    <x v="0"/>
    <n v="11865"/>
    <n v="241"/>
    <n v="319"/>
    <n v="703"/>
    <n v="69596"/>
    <n v="177513"/>
    <x v="1"/>
    <n v="6.999487361489018E-2"/>
  </r>
  <r>
    <s v="A291"/>
    <x v="3"/>
    <d v="2024-11-06T00:00:00"/>
    <x v="2"/>
    <x v="1"/>
    <n v="11865"/>
    <n v="241"/>
    <n v="319"/>
    <n v="703"/>
    <n v="69596"/>
    <n v="177513"/>
    <x v="1"/>
    <n v="6.999487361489018E-2"/>
  </r>
  <r>
    <s v="A299"/>
    <x v="3"/>
    <d v="2025-09-25T00:00:00"/>
    <x v="3"/>
    <x v="15"/>
    <n v="12568"/>
    <n v="541"/>
    <n v="273"/>
    <n v="2767"/>
    <n v="22331"/>
    <n v="192747"/>
    <x v="4"/>
    <n v="6.9427799135654514E-2"/>
  </r>
  <r>
    <s v="A299"/>
    <x v="3"/>
    <d v="2025-09-25T00:00:00"/>
    <x v="3"/>
    <x v="2"/>
    <n v="12568"/>
    <n v="541"/>
    <n v="273"/>
    <n v="2767"/>
    <n v="22331"/>
    <n v="192747"/>
    <x v="4"/>
    <n v="6.9427799135654514E-2"/>
  </r>
  <r>
    <s v="A45"/>
    <x v="0"/>
    <d v="2025-09-17T00:00:00"/>
    <x v="1"/>
    <x v="0"/>
    <n v="15456"/>
    <n v="590"/>
    <n v="555"/>
    <n v="2882"/>
    <n v="49816"/>
    <n v="240422"/>
    <x v="4"/>
    <n v="6.9049421433978589E-2"/>
  </r>
  <r>
    <s v="A45"/>
    <x v="0"/>
    <d v="2025-09-17T00:00:00"/>
    <x v="1"/>
    <x v="1"/>
    <n v="15456"/>
    <n v="590"/>
    <n v="555"/>
    <n v="2882"/>
    <n v="49816"/>
    <n v="240422"/>
    <x v="4"/>
    <n v="6.9049421433978589E-2"/>
  </r>
  <r>
    <s v="A37"/>
    <x v="0"/>
    <d v="2025-01-06T00:00:00"/>
    <x v="2"/>
    <x v="12"/>
    <n v="11860"/>
    <n v="1448"/>
    <n v="893"/>
    <n v="490"/>
    <n v="23518"/>
    <n v="206205"/>
    <x v="0"/>
    <n v="6.8868359157149436E-2"/>
  </r>
  <r>
    <s v="A37"/>
    <x v="0"/>
    <d v="2025-01-06T00:00:00"/>
    <x v="2"/>
    <x v="13"/>
    <n v="11860"/>
    <n v="1448"/>
    <n v="893"/>
    <n v="490"/>
    <n v="23518"/>
    <n v="206205"/>
    <x v="0"/>
    <n v="6.8868359157149436E-2"/>
  </r>
  <r>
    <s v="A162"/>
    <x v="3"/>
    <d v="2025-04-01T00:00:00"/>
    <x v="2"/>
    <x v="0"/>
    <n v="6432"/>
    <n v="1272"/>
    <n v="498"/>
    <n v="677"/>
    <n v="47305"/>
    <n v="119134"/>
    <x v="0"/>
    <n v="6.8846844729464299E-2"/>
  </r>
  <r>
    <s v="A162"/>
    <x v="3"/>
    <d v="2025-04-01T00:00:00"/>
    <x v="2"/>
    <x v="1"/>
    <n v="6432"/>
    <n v="1272"/>
    <n v="498"/>
    <n v="677"/>
    <n v="47305"/>
    <n v="119134"/>
    <x v="0"/>
    <n v="6.8846844729464299E-2"/>
  </r>
  <r>
    <s v="A279"/>
    <x v="3"/>
    <d v="2024-09-02T00:00:00"/>
    <x v="0"/>
    <x v="5"/>
    <n v="11765"/>
    <n v="693"/>
    <n v="729"/>
    <n v="744"/>
    <n v="97772"/>
    <n v="194243"/>
    <x v="0"/>
    <n v="6.7889190344053579E-2"/>
  </r>
  <r>
    <s v="A279"/>
    <x v="3"/>
    <d v="2024-09-02T00:00:00"/>
    <x v="0"/>
    <x v="7"/>
    <n v="11765"/>
    <n v="693"/>
    <n v="729"/>
    <n v="744"/>
    <n v="97772"/>
    <n v="194243"/>
    <x v="0"/>
    <n v="6.7889190344053579E-2"/>
  </r>
  <r>
    <s v="A241"/>
    <x v="2"/>
    <d v="2025-01-18T00:00:00"/>
    <x v="1"/>
    <x v="15"/>
    <n v="12589"/>
    <n v="346"/>
    <n v="459"/>
    <n v="1407"/>
    <n v="29254"/>
    <n v="198059"/>
    <x v="3"/>
    <n v="6.7626313371268162E-2"/>
  </r>
  <r>
    <s v="A241"/>
    <x v="2"/>
    <d v="2025-01-18T00:00:00"/>
    <x v="1"/>
    <x v="2"/>
    <n v="12589"/>
    <n v="346"/>
    <n v="459"/>
    <n v="1407"/>
    <n v="29254"/>
    <n v="198059"/>
    <x v="3"/>
    <n v="6.7626313371268162E-2"/>
  </r>
  <r>
    <s v="A111"/>
    <x v="0"/>
    <d v="2024-11-23T00:00:00"/>
    <x v="1"/>
    <x v="2"/>
    <n v="9941"/>
    <n v="1329"/>
    <n v="238"/>
    <n v="869"/>
    <n v="40281"/>
    <n v="172311"/>
    <x v="3"/>
    <n v="6.6786217943137702E-2"/>
  </r>
  <r>
    <s v="A99"/>
    <x v="2"/>
    <d v="2024-07-02T00:00:00"/>
    <x v="3"/>
    <x v="0"/>
    <n v="12320"/>
    <n v="1157"/>
    <n v="365"/>
    <n v="584"/>
    <n v="66634"/>
    <n v="210102"/>
    <x v="1"/>
    <n v="6.5882285746922925E-2"/>
  </r>
  <r>
    <s v="A99"/>
    <x v="2"/>
    <d v="2024-07-02T00:00:00"/>
    <x v="3"/>
    <x v="1"/>
    <n v="12320"/>
    <n v="1157"/>
    <n v="365"/>
    <n v="584"/>
    <n v="66634"/>
    <n v="210102"/>
    <x v="1"/>
    <n v="6.5882285746922925E-2"/>
  </r>
  <r>
    <s v="A222"/>
    <x v="1"/>
    <d v="2024-10-08T00:00:00"/>
    <x v="1"/>
    <x v="14"/>
    <n v="8738"/>
    <n v="295"/>
    <n v="529"/>
    <n v="442"/>
    <n v="25286"/>
    <n v="147522"/>
    <x v="1"/>
    <n v="6.4817450956467515E-2"/>
  </r>
  <r>
    <s v="A54"/>
    <x v="0"/>
    <d v="2025-03-13T00:00:00"/>
    <x v="3"/>
    <x v="12"/>
    <n v="6544"/>
    <n v="749"/>
    <n v="888"/>
    <n v="594"/>
    <n v="18171"/>
    <n v="126475"/>
    <x v="3"/>
    <n v="6.4684720300454635E-2"/>
  </r>
  <r>
    <s v="A54"/>
    <x v="0"/>
    <d v="2025-03-13T00:00:00"/>
    <x v="3"/>
    <x v="13"/>
    <n v="6544"/>
    <n v="749"/>
    <n v="888"/>
    <n v="594"/>
    <n v="18171"/>
    <n v="126475"/>
    <x v="3"/>
    <n v="6.4684720300454635E-2"/>
  </r>
  <r>
    <s v="A218"/>
    <x v="3"/>
    <d v="2024-06-11T00:00:00"/>
    <x v="0"/>
    <x v="14"/>
    <n v="14910"/>
    <n v="778"/>
    <n v="289"/>
    <n v="2541"/>
    <n v="14309"/>
    <n v="247815"/>
    <x v="3"/>
    <n v="6.4471480741682297E-2"/>
  </r>
  <r>
    <s v="A154"/>
    <x v="1"/>
    <d v="2024-10-09T00:00:00"/>
    <x v="0"/>
    <x v="16"/>
    <n v="7240"/>
    <n v="1384"/>
    <n v="954"/>
    <n v="2335"/>
    <n v="6757"/>
    <n v="150448"/>
    <x v="3"/>
    <n v="6.3663192598106988E-2"/>
  </r>
  <r>
    <s v="A154"/>
    <x v="1"/>
    <d v="2024-10-09T00:00:00"/>
    <x v="0"/>
    <x v="5"/>
    <n v="7240"/>
    <n v="1384"/>
    <n v="954"/>
    <n v="2335"/>
    <n v="6757"/>
    <n v="150448"/>
    <x v="3"/>
    <n v="6.3663192598106988E-2"/>
  </r>
  <r>
    <s v="A210"/>
    <x v="3"/>
    <d v="2025-02-19T00:00:00"/>
    <x v="0"/>
    <x v="16"/>
    <n v="8168"/>
    <n v="512"/>
    <n v="442"/>
    <n v="2343"/>
    <n v="2753"/>
    <n v="143896"/>
    <x v="2"/>
    <n v="6.3393006059932172E-2"/>
  </r>
  <r>
    <s v="A210"/>
    <x v="3"/>
    <d v="2025-02-19T00:00:00"/>
    <x v="0"/>
    <x v="5"/>
    <n v="8168"/>
    <n v="512"/>
    <n v="442"/>
    <n v="2343"/>
    <n v="2753"/>
    <n v="143896"/>
    <x v="2"/>
    <n v="6.3393006059932172E-2"/>
  </r>
  <r>
    <s v="A149"/>
    <x v="3"/>
    <d v="2024-06-16T00:00:00"/>
    <x v="1"/>
    <x v="3"/>
    <n v="12160"/>
    <n v="1405"/>
    <n v="769"/>
    <n v="1980"/>
    <n v="33174"/>
    <n v="226481"/>
    <x v="0"/>
    <n v="6.329007731332871E-2"/>
  </r>
  <r>
    <s v="A149"/>
    <x v="3"/>
    <d v="2024-06-16T00:00:00"/>
    <x v="1"/>
    <x v="4"/>
    <n v="12160"/>
    <n v="1405"/>
    <n v="769"/>
    <n v="1980"/>
    <n v="33174"/>
    <n v="226481"/>
    <x v="0"/>
    <n v="6.329007731332871E-2"/>
  </r>
  <r>
    <s v="A295"/>
    <x v="2"/>
    <d v="2025-05-06T00:00:00"/>
    <x v="3"/>
    <x v="3"/>
    <n v="7287"/>
    <n v="1240"/>
    <n v="686"/>
    <n v="1255"/>
    <n v="15403"/>
    <n v="147971"/>
    <x v="0"/>
    <n v="6.2262200025680704E-2"/>
  </r>
  <r>
    <s v="A295"/>
    <x v="2"/>
    <d v="2025-05-06T00:00:00"/>
    <x v="3"/>
    <x v="4"/>
    <n v="7287"/>
    <n v="1240"/>
    <n v="686"/>
    <n v="1255"/>
    <n v="15403"/>
    <n v="147971"/>
    <x v="0"/>
    <n v="6.2262200025680704E-2"/>
  </r>
  <r>
    <s v="A85"/>
    <x v="1"/>
    <d v="2025-04-19T00:00:00"/>
    <x v="2"/>
    <x v="0"/>
    <n v="8881"/>
    <n v="210"/>
    <n v="673"/>
    <n v="1565"/>
    <n v="24847"/>
    <n v="156891"/>
    <x v="3"/>
    <n v="6.223429004850501E-2"/>
  </r>
  <r>
    <s v="A85"/>
    <x v="1"/>
    <d v="2025-04-19T00:00:00"/>
    <x v="2"/>
    <x v="1"/>
    <n v="8881"/>
    <n v="210"/>
    <n v="673"/>
    <n v="1565"/>
    <n v="24847"/>
    <n v="156891"/>
    <x v="3"/>
    <n v="6.223429004850501E-2"/>
  </r>
  <r>
    <s v="A156"/>
    <x v="2"/>
    <d v="2024-10-22T00:00:00"/>
    <x v="1"/>
    <x v="0"/>
    <n v="12478"/>
    <n v="484"/>
    <n v="332"/>
    <n v="2734"/>
    <n v="43338"/>
    <n v="213895"/>
    <x v="1"/>
    <n v="6.2151990462610156E-2"/>
  </r>
  <r>
    <s v="A156"/>
    <x v="2"/>
    <d v="2024-10-22T00:00:00"/>
    <x v="1"/>
    <x v="1"/>
    <n v="12478"/>
    <n v="484"/>
    <n v="332"/>
    <n v="2734"/>
    <n v="43338"/>
    <n v="213895"/>
    <x v="1"/>
    <n v="6.2151990462610156E-2"/>
  </r>
  <r>
    <s v="A270"/>
    <x v="1"/>
    <d v="2025-01-15T00:00:00"/>
    <x v="1"/>
    <x v="10"/>
    <n v="11333"/>
    <n v="920"/>
    <n v="294"/>
    <n v="606"/>
    <n v="59490"/>
    <n v="202082"/>
    <x v="3"/>
    <n v="6.2088657079799291E-2"/>
  </r>
  <r>
    <s v="A270"/>
    <x v="1"/>
    <d v="2025-01-15T00:00:00"/>
    <x v="1"/>
    <x v="11"/>
    <n v="11333"/>
    <n v="920"/>
    <n v="294"/>
    <n v="606"/>
    <n v="59490"/>
    <n v="202082"/>
    <x v="3"/>
    <n v="6.2088657079799291E-2"/>
  </r>
  <r>
    <s v="A169"/>
    <x v="1"/>
    <d v="2024-12-03T00:00:00"/>
    <x v="2"/>
    <x v="0"/>
    <n v="2055"/>
    <n v="675"/>
    <n v="257"/>
    <n v="820"/>
    <n v="33534"/>
    <n v="48125"/>
    <x v="0"/>
    <n v="6.2067532467532466E-2"/>
  </r>
  <r>
    <s v="A169"/>
    <x v="1"/>
    <d v="2024-12-03T00:00:00"/>
    <x v="2"/>
    <x v="1"/>
    <n v="2055"/>
    <n v="675"/>
    <n v="257"/>
    <n v="820"/>
    <n v="33534"/>
    <n v="48125"/>
    <x v="0"/>
    <n v="6.2067532467532466E-2"/>
  </r>
  <r>
    <s v="A81"/>
    <x v="1"/>
    <d v="2024-10-19T00:00:00"/>
    <x v="3"/>
    <x v="5"/>
    <n v="6673"/>
    <n v="826"/>
    <n v="321"/>
    <n v="577"/>
    <n v="19262"/>
    <n v="132324"/>
    <x v="2"/>
    <n v="5.9097367068710133E-2"/>
  </r>
  <r>
    <s v="A81"/>
    <x v="1"/>
    <d v="2024-10-19T00:00:00"/>
    <x v="3"/>
    <x v="7"/>
    <n v="6673"/>
    <n v="826"/>
    <n v="321"/>
    <n v="577"/>
    <n v="19262"/>
    <n v="132324"/>
    <x v="2"/>
    <n v="5.9097367068710133E-2"/>
  </r>
  <r>
    <s v="A48"/>
    <x v="1"/>
    <d v="2025-03-11T00:00:00"/>
    <x v="3"/>
    <x v="3"/>
    <n v="7997"/>
    <n v="1238"/>
    <n v="438"/>
    <n v="1874"/>
    <n v="36272"/>
    <n v="165818"/>
    <x v="2"/>
    <n v="5.8335042034037318E-2"/>
  </r>
  <r>
    <s v="A48"/>
    <x v="1"/>
    <d v="2025-03-11T00:00:00"/>
    <x v="3"/>
    <x v="4"/>
    <n v="7997"/>
    <n v="1238"/>
    <n v="438"/>
    <n v="1874"/>
    <n v="36272"/>
    <n v="165818"/>
    <x v="2"/>
    <n v="5.8335042034037318E-2"/>
  </r>
  <r>
    <s v="A15"/>
    <x v="0"/>
    <d v="2025-09-07T00:00:00"/>
    <x v="1"/>
    <x v="12"/>
    <n v="3015"/>
    <n v="997"/>
    <n v="783"/>
    <n v="617"/>
    <n v="77167"/>
    <n v="82229"/>
    <x v="4"/>
    <n v="5.8312760704860814E-2"/>
  </r>
  <r>
    <s v="A15"/>
    <x v="0"/>
    <d v="2025-09-07T00:00:00"/>
    <x v="1"/>
    <x v="13"/>
    <n v="3015"/>
    <n v="997"/>
    <n v="783"/>
    <n v="617"/>
    <n v="77167"/>
    <n v="82229"/>
    <x v="4"/>
    <n v="5.8312760704860814E-2"/>
  </r>
  <r>
    <s v="A288"/>
    <x v="3"/>
    <d v="2025-04-17T00:00:00"/>
    <x v="1"/>
    <x v="8"/>
    <n v="2009"/>
    <n v="1037"/>
    <n v="344"/>
    <n v="2277"/>
    <n v="85743"/>
    <n v="58743"/>
    <x v="1"/>
    <n v="5.7709003625963942E-2"/>
  </r>
  <r>
    <s v="A288"/>
    <x v="3"/>
    <d v="2025-04-17T00:00:00"/>
    <x v="1"/>
    <x v="9"/>
    <n v="2009"/>
    <n v="1037"/>
    <n v="344"/>
    <n v="2277"/>
    <n v="85743"/>
    <n v="58743"/>
    <x v="1"/>
    <n v="5.7709003625963942E-2"/>
  </r>
  <r>
    <s v="A32"/>
    <x v="3"/>
    <d v="2024-07-31T00:00:00"/>
    <x v="2"/>
    <x v="5"/>
    <n v="2404"/>
    <n v="774"/>
    <n v="661"/>
    <n v="662"/>
    <n v="12676"/>
    <n v="66916"/>
    <x v="0"/>
    <n v="5.7370434574690654E-2"/>
  </r>
  <r>
    <s v="A32"/>
    <x v="3"/>
    <d v="2024-07-31T00:00:00"/>
    <x v="2"/>
    <x v="6"/>
    <n v="2404"/>
    <n v="774"/>
    <n v="661"/>
    <n v="662"/>
    <n v="12676"/>
    <n v="66916"/>
    <x v="0"/>
    <n v="5.7370434574690654E-2"/>
  </r>
  <r>
    <s v="A133"/>
    <x v="3"/>
    <d v="2025-02-06T00:00:00"/>
    <x v="2"/>
    <x v="3"/>
    <n v="2666"/>
    <n v="1136"/>
    <n v="989"/>
    <n v="1710"/>
    <n v="36467"/>
    <n v="83753"/>
    <x v="3"/>
    <n v="5.7203921053574198E-2"/>
  </r>
  <r>
    <s v="A133"/>
    <x v="3"/>
    <d v="2025-02-06T00:00:00"/>
    <x v="2"/>
    <x v="4"/>
    <n v="2666"/>
    <n v="1136"/>
    <n v="989"/>
    <n v="1710"/>
    <n v="36467"/>
    <n v="83753"/>
    <x v="3"/>
    <n v="5.7203921053574198E-2"/>
  </r>
  <r>
    <s v="A28"/>
    <x v="2"/>
    <d v="2025-03-04T00:00:00"/>
    <x v="1"/>
    <x v="2"/>
    <n v="12344"/>
    <n v="815"/>
    <n v="298"/>
    <n v="2439"/>
    <n v="6259"/>
    <n v="237133"/>
    <x v="1"/>
    <n v="5.6748744375519224E-2"/>
  </r>
  <r>
    <s v="A96"/>
    <x v="2"/>
    <d v="2024-09-10T00:00:00"/>
    <x v="3"/>
    <x v="8"/>
    <n v="6637"/>
    <n v="595"/>
    <n v="161"/>
    <n v="2653"/>
    <n v="19334"/>
    <n v="131155"/>
    <x v="3"/>
    <n v="5.6368419046166747E-2"/>
  </r>
  <r>
    <s v="A96"/>
    <x v="2"/>
    <d v="2024-09-10T00:00:00"/>
    <x v="3"/>
    <x v="9"/>
    <n v="6637"/>
    <n v="595"/>
    <n v="161"/>
    <n v="2653"/>
    <n v="19334"/>
    <n v="131155"/>
    <x v="3"/>
    <n v="5.6368419046166747E-2"/>
  </r>
  <r>
    <s v="A87"/>
    <x v="2"/>
    <d v="2024-06-06T00:00:00"/>
    <x v="1"/>
    <x v="16"/>
    <n v="11521"/>
    <n v="1071"/>
    <n v="762"/>
    <n v="2539"/>
    <n v="12701"/>
    <n v="238350"/>
    <x v="3"/>
    <n v="5.6026851269142017E-2"/>
  </r>
  <r>
    <s v="A87"/>
    <x v="2"/>
    <d v="2024-06-06T00:00:00"/>
    <x v="1"/>
    <x v="5"/>
    <n v="11521"/>
    <n v="1071"/>
    <n v="762"/>
    <n v="2539"/>
    <n v="12701"/>
    <n v="238350"/>
    <x v="3"/>
    <n v="5.6026851269142017E-2"/>
  </r>
  <r>
    <s v="A49"/>
    <x v="2"/>
    <d v="2025-09-18T00:00:00"/>
    <x v="3"/>
    <x v="5"/>
    <n v="4048"/>
    <n v="677"/>
    <n v="911"/>
    <n v="2429"/>
    <n v="27361"/>
    <n v="101272"/>
    <x v="4"/>
    <n v="5.5652105221581483E-2"/>
  </r>
  <r>
    <s v="A49"/>
    <x v="2"/>
    <d v="2025-09-18T00:00:00"/>
    <x v="3"/>
    <x v="6"/>
    <n v="4048"/>
    <n v="677"/>
    <n v="911"/>
    <n v="2429"/>
    <n v="27361"/>
    <n v="101272"/>
    <x v="4"/>
    <n v="5.5652105221581483E-2"/>
  </r>
  <r>
    <s v="A20"/>
    <x v="1"/>
    <d v="2024-09-09T00:00:00"/>
    <x v="0"/>
    <x v="12"/>
    <n v="6158"/>
    <n v="277"/>
    <n v="512"/>
    <n v="2189"/>
    <n v="76881"/>
    <n v="124878"/>
    <x v="1"/>
    <n v="5.563029516808405E-2"/>
  </r>
  <r>
    <s v="A20"/>
    <x v="1"/>
    <d v="2024-09-09T00:00:00"/>
    <x v="0"/>
    <x v="13"/>
    <n v="6158"/>
    <n v="277"/>
    <n v="512"/>
    <n v="2189"/>
    <n v="76881"/>
    <n v="124878"/>
    <x v="1"/>
    <n v="5.563029516808405E-2"/>
  </r>
  <r>
    <s v="A102"/>
    <x v="2"/>
    <d v="2025-09-26T00:00:00"/>
    <x v="3"/>
    <x v="2"/>
    <n v="9043"/>
    <n v="1192"/>
    <n v="810"/>
    <n v="1550"/>
    <n v="5221"/>
    <n v="199476"/>
    <x v="4"/>
    <n v="5.5370069582305642E-2"/>
  </r>
  <r>
    <s v="A69"/>
    <x v="0"/>
    <d v="2025-03-08T00:00:00"/>
    <x v="1"/>
    <x v="8"/>
    <n v="10580"/>
    <n v="427"/>
    <n v="790"/>
    <n v="2814"/>
    <n v="24916"/>
    <n v="213312"/>
    <x v="2"/>
    <n v="5.530396789678968E-2"/>
  </r>
  <r>
    <s v="A69"/>
    <x v="0"/>
    <d v="2025-03-08T00:00:00"/>
    <x v="1"/>
    <x v="9"/>
    <n v="10580"/>
    <n v="427"/>
    <n v="790"/>
    <n v="2814"/>
    <n v="24916"/>
    <n v="213312"/>
    <x v="2"/>
    <n v="5.530396789678968E-2"/>
  </r>
  <r>
    <s v="A120"/>
    <x v="3"/>
    <d v="2024-10-21T00:00:00"/>
    <x v="0"/>
    <x v="5"/>
    <n v="8254"/>
    <n v="1405"/>
    <n v="165"/>
    <n v="2504"/>
    <n v="8081"/>
    <n v="177710"/>
    <x v="0"/>
    <n v="5.5281075910190762E-2"/>
  </r>
  <r>
    <s v="A120"/>
    <x v="3"/>
    <d v="2024-10-21T00:00:00"/>
    <x v="0"/>
    <x v="7"/>
    <n v="8254"/>
    <n v="1405"/>
    <n v="165"/>
    <n v="2504"/>
    <n v="8081"/>
    <n v="177710"/>
    <x v="0"/>
    <n v="5.5281075910190762E-2"/>
  </r>
  <r>
    <s v="A293"/>
    <x v="3"/>
    <d v="2025-05-14T00:00:00"/>
    <x v="2"/>
    <x v="5"/>
    <n v="9041"/>
    <n v="1133"/>
    <n v="612"/>
    <n v="1687"/>
    <n v="28102"/>
    <n v="195683"/>
    <x v="1"/>
    <n v="5.5119760020032396E-2"/>
  </r>
  <r>
    <s v="A293"/>
    <x v="3"/>
    <d v="2025-05-14T00:00:00"/>
    <x v="2"/>
    <x v="6"/>
    <n v="9041"/>
    <n v="1133"/>
    <n v="612"/>
    <n v="1687"/>
    <n v="28102"/>
    <n v="195683"/>
    <x v="1"/>
    <n v="5.5119760020032396E-2"/>
  </r>
  <r>
    <s v="A113"/>
    <x v="0"/>
    <d v="2025-09-29T00:00:00"/>
    <x v="0"/>
    <x v="15"/>
    <n v="7569"/>
    <n v="803"/>
    <n v="804"/>
    <n v="1753"/>
    <n v="43582"/>
    <n v="166945"/>
    <x v="4"/>
    <n v="5.4964209769684629E-2"/>
  </r>
  <r>
    <s v="A113"/>
    <x v="0"/>
    <d v="2025-09-29T00:00:00"/>
    <x v="0"/>
    <x v="2"/>
    <n v="7569"/>
    <n v="803"/>
    <n v="804"/>
    <n v="1753"/>
    <n v="43582"/>
    <n v="166945"/>
    <x v="4"/>
    <n v="5.4964209769684629E-2"/>
  </r>
  <r>
    <s v="A197"/>
    <x v="2"/>
    <d v="2024-10-22T00:00:00"/>
    <x v="1"/>
    <x v="12"/>
    <n v="7750"/>
    <n v="1146"/>
    <n v="415"/>
    <n v="1411"/>
    <n v="85339"/>
    <n v="172439"/>
    <x v="3"/>
    <n v="5.3995905798572247E-2"/>
  </r>
  <r>
    <s v="A197"/>
    <x v="2"/>
    <d v="2024-10-22T00:00:00"/>
    <x v="1"/>
    <x v="13"/>
    <n v="7750"/>
    <n v="1146"/>
    <n v="415"/>
    <n v="1411"/>
    <n v="85339"/>
    <n v="172439"/>
    <x v="3"/>
    <n v="5.3995905798572247E-2"/>
  </r>
  <r>
    <s v="A94"/>
    <x v="2"/>
    <d v="2024-11-07T00:00:00"/>
    <x v="3"/>
    <x v="16"/>
    <n v="11550"/>
    <n v="501"/>
    <n v="646"/>
    <n v="773"/>
    <n v="17841"/>
    <n v="237576"/>
    <x v="1"/>
    <n v="5.3443950567397383E-2"/>
  </r>
  <r>
    <s v="A94"/>
    <x v="2"/>
    <d v="2024-11-07T00:00:00"/>
    <x v="3"/>
    <x v="5"/>
    <n v="11550"/>
    <n v="501"/>
    <n v="646"/>
    <n v="773"/>
    <n v="17841"/>
    <n v="237576"/>
    <x v="1"/>
    <n v="5.3443950567397383E-2"/>
  </r>
  <r>
    <s v="A30"/>
    <x v="0"/>
    <d v="2025-02-25T00:00:00"/>
    <x v="3"/>
    <x v="15"/>
    <n v="10702"/>
    <n v="621"/>
    <n v="445"/>
    <n v="2918"/>
    <n v="54808"/>
    <n v="220225"/>
    <x v="0"/>
    <n v="5.3436258372119426E-2"/>
  </r>
  <r>
    <s v="A30"/>
    <x v="0"/>
    <d v="2025-02-25T00:00:00"/>
    <x v="3"/>
    <x v="2"/>
    <n v="10702"/>
    <n v="621"/>
    <n v="445"/>
    <n v="2918"/>
    <n v="54808"/>
    <n v="220225"/>
    <x v="0"/>
    <n v="5.3436258372119426E-2"/>
  </r>
  <r>
    <s v="A12"/>
    <x v="1"/>
    <d v="2024-07-21T00:00:00"/>
    <x v="1"/>
    <x v="10"/>
    <n v="2009"/>
    <n v="1072"/>
    <n v="550"/>
    <n v="1437"/>
    <n v="22982"/>
    <n v="69426"/>
    <x v="1"/>
    <n v="5.2300290957278256E-2"/>
  </r>
  <r>
    <s v="A12"/>
    <x v="1"/>
    <d v="2024-07-21T00:00:00"/>
    <x v="1"/>
    <x v="11"/>
    <n v="2009"/>
    <n v="1072"/>
    <n v="550"/>
    <n v="1437"/>
    <n v="22982"/>
    <n v="69426"/>
    <x v="1"/>
    <n v="5.2300290957278256E-2"/>
  </r>
  <r>
    <s v="A269"/>
    <x v="1"/>
    <d v="2024-11-05T00:00:00"/>
    <x v="1"/>
    <x v="14"/>
    <n v="8469"/>
    <n v="935"/>
    <n v="211"/>
    <n v="2635"/>
    <n v="21890"/>
    <n v="184539"/>
    <x v="2"/>
    <n v="5.2102807536618279E-2"/>
  </r>
  <r>
    <s v="A9"/>
    <x v="1"/>
    <d v="2024-08-30T00:00:00"/>
    <x v="3"/>
    <x v="10"/>
    <n v="6804"/>
    <n v="787"/>
    <n v="970"/>
    <n v="1095"/>
    <n v="56343"/>
    <n v="164677"/>
    <x v="0"/>
    <n v="5.1986616224487935E-2"/>
  </r>
  <r>
    <s v="A9"/>
    <x v="1"/>
    <d v="2024-08-30T00:00:00"/>
    <x v="3"/>
    <x v="11"/>
    <n v="6804"/>
    <n v="787"/>
    <n v="970"/>
    <n v="1095"/>
    <n v="56343"/>
    <n v="164677"/>
    <x v="0"/>
    <n v="5.1986616224487935E-2"/>
  </r>
  <r>
    <s v="A31"/>
    <x v="3"/>
    <d v="2024-12-16T00:00:00"/>
    <x v="2"/>
    <x v="5"/>
    <n v="2384"/>
    <n v="1246"/>
    <n v="160"/>
    <n v="2004"/>
    <n v="2701"/>
    <n v="73142"/>
    <x v="0"/>
    <n v="5.1817013480626728E-2"/>
  </r>
  <r>
    <s v="A31"/>
    <x v="3"/>
    <d v="2024-12-16T00:00:00"/>
    <x v="2"/>
    <x v="7"/>
    <n v="2384"/>
    <n v="1246"/>
    <n v="160"/>
    <n v="2004"/>
    <n v="2701"/>
    <n v="73142"/>
    <x v="0"/>
    <n v="5.1817013480626728E-2"/>
  </r>
  <r>
    <s v="A22"/>
    <x v="3"/>
    <d v="2025-02-27T00:00:00"/>
    <x v="2"/>
    <x v="0"/>
    <n v="8970"/>
    <n v="331"/>
    <n v="968"/>
    <n v="2296"/>
    <n v="24613"/>
    <n v="198562"/>
    <x v="1"/>
    <n v="5.1716844109144754E-2"/>
  </r>
  <r>
    <s v="A22"/>
    <x v="3"/>
    <d v="2025-02-27T00:00:00"/>
    <x v="2"/>
    <x v="1"/>
    <n v="8970"/>
    <n v="331"/>
    <n v="968"/>
    <n v="2296"/>
    <n v="24613"/>
    <n v="198562"/>
    <x v="1"/>
    <n v="5.1716844109144754E-2"/>
  </r>
  <r>
    <s v="A200"/>
    <x v="1"/>
    <d v="2025-04-07T00:00:00"/>
    <x v="3"/>
    <x v="15"/>
    <n v="3062"/>
    <n v="1124"/>
    <n v="538"/>
    <n v="2935"/>
    <n v="69749"/>
    <n v="91924"/>
    <x v="1"/>
    <n v="5.1390278926069365E-2"/>
  </r>
  <r>
    <s v="A200"/>
    <x v="1"/>
    <d v="2025-04-07T00:00:00"/>
    <x v="3"/>
    <x v="2"/>
    <n v="3062"/>
    <n v="1124"/>
    <n v="538"/>
    <n v="2935"/>
    <n v="69749"/>
    <n v="91924"/>
    <x v="1"/>
    <n v="5.1390278926069365E-2"/>
  </r>
  <r>
    <s v="A261"/>
    <x v="3"/>
    <d v="2024-10-27T00:00:00"/>
    <x v="3"/>
    <x v="3"/>
    <n v="7560"/>
    <n v="1139"/>
    <n v="248"/>
    <n v="1624"/>
    <n v="72237"/>
    <n v="177084"/>
    <x v="3"/>
    <n v="5.0524045085947912E-2"/>
  </r>
  <r>
    <s v="A261"/>
    <x v="3"/>
    <d v="2024-10-27T00:00:00"/>
    <x v="3"/>
    <x v="4"/>
    <n v="7560"/>
    <n v="1139"/>
    <n v="248"/>
    <n v="1624"/>
    <n v="72237"/>
    <n v="177084"/>
    <x v="3"/>
    <n v="5.0524045085947912E-2"/>
  </r>
  <r>
    <s v="A219"/>
    <x v="0"/>
    <d v="2025-01-28T00:00:00"/>
    <x v="3"/>
    <x v="0"/>
    <n v="9943"/>
    <n v="1274"/>
    <n v="336"/>
    <n v="389"/>
    <n v="6145"/>
    <n v="231305"/>
    <x v="0"/>
    <n v="4.9947039623008581E-2"/>
  </r>
  <r>
    <s v="A219"/>
    <x v="0"/>
    <d v="2025-01-28T00:00:00"/>
    <x v="3"/>
    <x v="1"/>
    <n v="9943"/>
    <n v="1274"/>
    <n v="336"/>
    <n v="389"/>
    <n v="6145"/>
    <n v="231305"/>
    <x v="0"/>
    <n v="4.9947039623008581E-2"/>
  </r>
  <r>
    <s v="A171"/>
    <x v="0"/>
    <d v="2024-12-31T00:00:00"/>
    <x v="2"/>
    <x v="3"/>
    <n v="10717"/>
    <n v="760"/>
    <n v="460"/>
    <n v="1316"/>
    <n v="18164"/>
    <n v="240641"/>
    <x v="2"/>
    <n v="4.9605013277039242E-2"/>
  </r>
  <r>
    <s v="A171"/>
    <x v="0"/>
    <d v="2024-12-31T00:00:00"/>
    <x v="2"/>
    <x v="4"/>
    <n v="10717"/>
    <n v="760"/>
    <n v="460"/>
    <n v="1316"/>
    <n v="18164"/>
    <n v="240641"/>
    <x v="2"/>
    <n v="4.9605013277039242E-2"/>
  </r>
  <r>
    <s v="A65"/>
    <x v="1"/>
    <d v="2025-03-28T00:00:00"/>
    <x v="1"/>
    <x v="3"/>
    <n v="6363"/>
    <n v="1341"/>
    <n v="222"/>
    <n v="2712"/>
    <n v="19987"/>
    <n v="160585"/>
    <x v="3"/>
    <n v="4.9357038328611019E-2"/>
  </r>
  <r>
    <s v="A65"/>
    <x v="1"/>
    <d v="2025-03-28T00:00:00"/>
    <x v="1"/>
    <x v="4"/>
    <n v="6363"/>
    <n v="1341"/>
    <n v="222"/>
    <n v="2712"/>
    <n v="19987"/>
    <n v="160585"/>
    <x v="3"/>
    <n v="4.9357038328611019E-2"/>
  </r>
  <r>
    <s v="A130"/>
    <x v="0"/>
    <d v="2024-09-29T00:00:00"/>
    <x v="3"/>
    <x v="10"/>
    <n v="10472"/>
    <n v="401"/>
    <n v="668"/>
    <n v="383"/>
    <n v="37571"/>
    <n v="249203"/>
    <x v="3"/>
    <n v="4.6311641513143903E-2"/>
  </r>
  <r>
    <s v="A130"/>
    <x v="0"/>
    <d v="2024-09-29T00:00:00"/>
    <x v="3"/>
    <x v="11"/>
    <n v="10472"/>
    <n v="401"/>
    <n v="668"/>
    <n v="383"/>
    <n v="37571"/>
    <n v="249203"/>
    <x v="3"/>
    <n v="4.6311641513143903E-2"/>
  </r>
  <r>
    <s v="A16"/>
    <x v="3"/>
    <d v="2024-08-26T00:00:00"/>
    <x v="3"/>
    <x v="8"/>
    <n v="4193"/>
    <n v="924"/>
    <n v="707"/>
    <n v="2696"/>
    <n v="55075"/>
    <n v="126652"/>
    <x v="1"/>
    <n v="4.5984271863057827E-2"/>
  </r>
  <r>
    <s v="A16"/>
    <x v="3"/>
    <d v="2024-08-26T00:00:00"/>
    <x v="3"/>
    <x v="9"/>
    <n v="4193"/>
    <n v="924"/>
    <n v="707"/>
    <n v="2696"/>
    <n v="55075"/>
    <n v="126652"/>
    <x v="1"/>
    <n v="4.5984271863057827E-2"/>
  </r>
  <r>
    <s v="A58"/>
    <x v="3"/>
    <d v="2025-04-15T00:00:00"/>
    <x v="3"/>
    <x v="12"/>
    <n v="5419"/>
    <n v="1150"/>
    <n v="656"/>
    <n v="1990"/>
    <n v="410"/>
    <n v="158154"/>
    <x v="3"/>
    <n v="4.5683321319726342E-2"/>
  </r>
  <r>
    <s v="A58"/>
    <x v="3"/>
    <d v="2025-04-15T00:00:00"/>
    <x v="3"/>
    <x v="13"/>
    <n v="5419"/>
    <n v="1150"/>
    <n v="656"/>
    <n v="1990"/>
    <n v="410"/>
    <n v="158154"/>
    <x v="3"/>
    <n v="4.5683321319726342E-2"/>
  </r>
  <r>
    <s v="A145"/>
    <x v="0"/>
    <d v="2024-08-12T00:00:00"/>
    <x v="3"/>
    <x v="10"/>
    <n v="8376"/>
    <n v="1154"/>
    <n v="422"/>
    <n v="1907"/>
    <n v="36874"/>
    <n v="218486"/>
    <x v="3"/>
    <n v="4.5549829279679245E-2"/>
  </r>
  <r>
    <s v="A145"/>
    <x v="0"/>
    <d v="2024-08-12T00:00:00"/>
    <x v="3"/>
    <x v="11"/>
    <n v="8376"/>
    <n v="1154"/>
    <n v="422"/>
    <n v="1907"/>
    <n v="36874"/>
    <n v="218486"/>
    <x v="3"/>
    <n v="4.5549829279679245E-2"/>
  </r>
  <r>
    <s v="A283"/>
    <x v="2"/>
    <d v="2025-05-09T00:00:00"/>
    <x v="3"/>
    <x v="8"/>
    <n v="8988"/>
    <n v="228"/>
    <n v="766"/>
    <n v="652"/>
    <n v="63789"/>
    <n v="219785"/>
    <x v="3"/>
    <n v="4.541711217781013E-2"/>
  </r>
  <r>
    <s v="A283"/>
    <x v="2"/>
    <d v="2025-05-09T00:00:00"/>
    <x v="3"/>
    <x v="9"/>
    <n v="8988"/>
    <n v="228"/>
    <n v="766"/>
    <n v="652"/>
    <n v="63789"/>
    <n v="219785"/>
    <x v="3"/>
    <n v="4.541711217781013E-2"/>
  </r>
  <r>
    <s v="A298"/>
    <x v="1"/>
    <d v="2025-09-24T00:00:00"/>
    <x v="1"/>
    <x v="16"/>
    <n v="3342"/>
    <n v="787"/>
    <n v="375"/>
    <n v="907"/>
    <n v="85823"/>
    <n v="99189"/>
    <x v="4"/>
    <n v="4.5408260996683103E-2"/>
  </r>
  <r>
    <s v="A298"/>
    <x v="1"/>
    <d v="2025-09-24T00:00:00"/>
    <x v="1"/>
    <x v="5"/>
    <n v="3342"/>
    <n v="787"/>
    <n v="375"/>
    <n v="907"/>
    <n v="85823"/>
    <n v="99189"/>
    <x v="4"/>
    <n v="4.5408260996683103E-2"/>
  </r>
  <r>
    <s v="A90"/>
    <x v="2"/>
    <d v="2024-06-03T00:00:00"/>
    <x v="2"/>
    <x v="5"/>
    <n v="8941"/>
    <n v="911"/>
    <n v="166"/>
    <n v="1217"/>
    <n v="68817"/>
    <n v="221180"/>
    <x v="2"/>
    <n v="4.5293426168731353E-2"/>
  </r>
  <r>
    <s v="A90"/>
    <x v="2"/>
    <d v="2024-06-03T00:00:00"/>
    <x v="2"/>
    <x v="6"/>
    <n v="8941"/>
    <n v="911"/>
    <n v="166"/>
    <n v="1217"/>
    <n v="68817"/>
    <n v="221180"/>
    <x v="2"/>
    <n v="4.5293426168731353E-2"/>
  </r>
  <r>
    <s v="A134"/>
    <x v="3"/>
    <d v="2025-10-01T00:00:00"/>
    <x v="3"/>
    <x v="2"/>
    <n v="6188"/>
    <n v="774"/>
    <n v="647"/>
    <n v="1830"/>
    <n v="55436"/>
    <n v="175542"/>
    <x v="4"/>
    <n v="4.3345752013763089E-2"/>
  </r>
  <r>
    <s v="A38"/>
    <x v="3"/>
    <d v="2025-02-17T00:00:00"/>
    <x v="1"/>
    <x v="10"/>
    <n v="7989"/>
    <n v="1206"/>
    <n v="376"/>
    <n v="2769"/>
    <n v="27550"/>
    <n v="221749"/>
    <x v="3"/>
    <n v="4.3161412227338117E-2"/>
  </r>
  <r>
    <s v="A38"/>
    <x v="3"/>
    <d v="2025-02-17T00:00:00"/>
    <x v="1"/>
    <x v="11"/>
    <n v="7989"/>
    <n v="1206"/>
    <n v="376"/>
    <n v="2769"/>
    <n v="27550"/>
    <n v="221749"/>
    <x v="3"/>
    <n v="4.3161412227338117E-2"/>
  </r>
  <r>
    <s v="A70"/>
    <x v="2"/>
    <d v="2025-04-02T00:00:00"/>
    <x v="1"/>
    <x v="16"/>
    <n v="6858"/>
    <n v="415"/>
    <n v="366"/>
    <n v="2761"/>
    <n v="2988"/>
    <n v="177348"/>
    <x v="0"/>
    <n v="4.3073505198818141E-2"/>
  </r>
  <r>
    <s v="A70"/>
    <x v="2"/>
    <d v="2025-04-02T00:00:00"/>
    <x v="1"/>
    <x v="5"/>
    <n v="6858"/>
    <n v="415"/>
    <n v="366"/>
    <n v="2761"/>
    <n v="2988"/>
    <n v="177348"/>
    <x v="0"/>
    <n v="4.3073505198818141E-2"/>
  </r>
  <r>
    <s v="A142"/>
    <x v="3"/>
    <d v="2025-03-25T00:00:00"/>
    <x v="3"/>
    <x v="12"/>
    <n v="5900"/>
    <n v="546"/>
    <n v="592"/>
    <n v="1594"/>
    <n v="38627"/>
    <n v="164398"/>
    <x v="2"/>
    <n v="4.2810739790021778E-2"/>
  </r>
  <r>
    <s v="A142"/>
    <x v="3"/>
    <d v="2025-03-25T00:00:00"/>
    <x v="3"/>
    <x v="13"/>
    <n v="5900"/>
    <n v="546"/>
    <n v="592"/>
    <n v="1594"/>
    <n v="38627"/>
    <n v="164398"/>
    <x v="2"/>
    <n v="4.2810739790021778E-2"/>
  </r>
  <r>
    <s v="A207"/>
    <x v="0"/>
    <d v="2024-12-29T00:00:00"/>
    <x v="3"/>
    <x v="14"/>
    <n v="8288"/>
    <n v="1401"/>
    <n v="819"/>
    <n v="1235"/>
    <n v="33446"/>
    <n v="248786"/>
    <x v="0"/>
    <n v="4.2237103373984064E-2"/>
  </r>
  <r>
    <s v="A274"/>
    <x v="0"/>
    <d v="2025-01-01T00:00:00"/>
    <x v="0"/>
    <x v="0"/>
    <n v="8283"/>
    <n v="720"/>
    <n v="888"/>
    <n v="611"/>
    <n v="52791"/>
    <n v="235229"/>
    <x v="0"/>
    <n v="4.2048386891072105E-2"/>
  </r>
  <r>
    <s v="A274"/>
    <x v="0"/>
    <d v="2025-01-01T00:00:00"/>
    <x v="0"/>
    <x v="1"/>
    <n v="8283"/>
    <n v="720"/>
    <n v="888"/>
    <n v="611"/>
    <n v="52791"/>
    <n v="235229"/>
    <x v="0"/>
    <n v="4.2048386891072105E-2"/>
  </r>
  <r>
    <s v="A206"/>
    <x v="3"/>
    <d v="2024-06-24T00:00:00"/>
    <x v="2"/>
    <x v="5"/>
    <n v="6632"/>
    <n v="254"/>
    <n v="525"/>
    <n v="1013"/>
    <n v="13838"/>
    <n v="180180"/>
    <x v="0"/>
    <n v="4.1131091131091133E-2"/>
  </r>
  <r>
    <s v="A206"/>
    <x v="3"/>
    <d v="2024-06-24T00:00:00"/>
    <x v="2"/>
    <x v="6"/>
    <n v="6632"/>
    <n v="254"/>
    <n v="525"/>
    <n v="1013"/>
    <n v="13838"/>
    <n v="180180"/>
    <x v="0"/>
    <n v="4.1131091131091133E-2"/>
  </r>
  <r>
    <s v="A256"/>
    <x v="1"/>
    <d v="2025-09-17T00:00:00"/>
    <x v="3"/>
    <x v="0"/>
    <n v="2117"/>
    <n v="1133"/>
    <n v="203"/>
    <n v="1173"/>
    <n v="40125"/>
    <n v="85379"/>
    <x v="4"/>
    <n v="4.0443200318579509E-2"/>
  </r>
  <r>
    <s v="A256"/>
    <x v="1"/>
    <d v="2025-09-17T00:00:00"/>
    <x v="3"/>
    <x v="1"/>
    <n v="2117"/>
    <n v="1133"/>
    <n v="203"/>
    <n v="1173"/>
    <n v="40125"/>
    <n v="85379"/>
    <x v="4"/>
    <n v="4.0443200318579509E-2"/>
  </r>
  <r>
    <s v="A182"/>
    <x v="1"/>
    <d v="2024-07-31T00:00:00"/>
    <x v="0"/>
    <x v="12"/>
    <n v="7122"/>
    <n v="628"/>
    <n v="757"/>
    <n v="2313"/>
    <n v="50924"/>
    <n v="210954"/>
    <x v="2"/>
    <n v="4.0326327066564277E-2"/>
  </r>
  <r>
    <s v="A182"/>
    <x v="1"/>
    <d v="2024-07-31T00:00:00"/>
    <x v="0"/>
    <x v="13"/>
    <n v="7122"/>
    <n v="628"/>
    <n v="757"/>
    <n v="2313"/>
    <n v="50924"/>
    <n v="210954"/>
    <x v="2"/>
    <n v="4.0326327066564277E-2"/>
  </r>
  <r>
    <s v="A79"/>
    <x v="1"/>
    <d v="2025-09-22T00:00:00"/>
    <x v="0"/>
    <x v="17"/>
    <n v="8996"/>
    <n v="329"/>
    <n v="378"/>
    <n v="2384"/>
    <n v="39404"/>
    <n v="242724"/>
    <x v="4"/>
    <n v="3.9975445361810122E-2"/>
  </r>
  <r>
    <s v="A79"/>
    <x v="1"/>
    <d v="2025-09-22T00:00:00"/>
    <x v="0"/>
    <x v="18"/>
    <n v="8996"/>
    <n v="329"/>
    <n v="378"/>
    <n v="2384"/>
    <n v="39404"/>
    <n v="242724"/>
    <x v="4"/>
    <n v="3.9975445361810122E-2"/>
  </r>
  <r>
    <s v="A14"/>
    <x v="1"/>
    <d v="2025-09-06T00:00:00"/>
    <x v="1"/>
    <x v="8"/>
    <n v="7124"/>
    <n v="469"/>
    <n v="851"/>
    <n v="2571"/>
    <n v="33802"/>
    <n v="216313"/>
    <x v="4"/>
    <n v="3.9036026498638549E-2"/>
  </r>
  <r>
    <s v="A14"/>
    <x v="1"/>
    <d v="2025-09-06T00:00:00"/>
    <x v="1"/>
    <x v="9"/>
    <n v="7124"/>
    <n v="469"/>
    <n v="851"/>
    <n v="2571"/>
    <n v="33802"/>
    <n v="216313"/>
    <x v="4"/>
    <n v="3.9036026498638549E-2"/>
  </r>
  <r>
    <s v="A275"/>
    <x v="3"/>
    <d v="2024-08-05T00:00:00"/>
    <x v="1"/>
    <x v="8"/>
    <n v="4048"/>
    <n v="751"/>
    <n v="930"/>
    <n v="1382"/>
    <n v="16844"/>
    <n v="148177"/>
    <x v="1"/>
    <n v="3.8663220337839206E-2"/>
  </r>
  <r>
    <s v="A275"/>
    <x v="3"/>
    <d v="2024-08-05T00:00:00"/>
    <x v="1"/>
    <x v="9"/>
    <n v="4048"/>
    <n v="751"/>
    <n v="930"/>
    <n v="1382"/>
    <n v="16844"/>
    <n v="148177"/>
    <x v="1"/>
    <n v="3.8663220337839206E-2"/>
  </r>
  <r>
    <s v="A141"/>
    <x v="0"/>
    <d v="2025-10-03T00:00:00"/>
    <x v="2"/>
    <x v="16"/>
    <n v="6777"/>
    <n v="617"/>
    <n v="551"/>
    <n v="2109"/>
    <n v="18559"/>
    <n v="208452"/>
    <x v="4"/>
    <n v="3.8114290100358834E-2"/>
  </r>
  <r>
    <s v="A141"/>
    <x v="0"/>
    <d v="2025-10-03T00:00:00"/>
    <x v="2"/>
    <x v="5"/>
    <n v="6777"/>
    <n v="617"/>
    <n v="551"/>
    <n v="2109"/>
    <n v="18559"/>
    <n v="208452"/>
    <x v="4"/>
    <n v="3.8114290100358834E-2"/>
  </r>
  <r>
    <s v="A43"/>
    <x v="2"/>
    <d v="2025-09-16T00:00:00"/>
    <x v="1"/>
    <x v="14"/>
    <n v="6809"/>
    <n v="397"/>
    <n v="813"/>
    <n v="1125"/>
    <n v="12206"/>
    <n v="218136"/>
    <x v="4"/>
    <n v="3.6761469908680823E-2"/>
  </r>
  <r>
    <s v="A281"/>
    <x v="0"/>
    <d v="2025-03-22T00:00:00"/>
    <x v="0"/>
    <x v="5"/>
    <n v="3917"/>
    <n v="865"/>
    <n v="759"/>
    <n v="2282"/>
    <n v="56125"/>
    <n v="154014"/>
    <x v="0"/>
    <n v="3.5977248821535704E-2"/>
  </r>
  <r>
    <s v="A281"/>
    <x v="0"/>
    <d v="2025-03-22T00:00:00"/>
    <x v="0"/>
    <x v="6"/>
    <n v="3917"/>
    <n v="865"/>
    <n v="759"/>
    <n v="2282"/>
    <n v="56125"/>
    <n v="154014"/>
    <x v="0"/>
    <n v="3.5977248821535704E-2"/>
  </r>
  <r>
    <s v="A280"/>
    <x v="2"/>
    <d v="2025-09-18T00:00:00"/>
    <x v="0"/>
    <x v="0"/>
    <n v="3828"/>
    <n v="203"/>
    <n v="506"/>
    <n v="2440"/>
    <n v="63650"/>
    <n v="126365"/>
    <x v="4"/>
    <n v="3.5903929094290347E-2"/>
  </r>
  <r>
    <s v="A280"/>
    <x v="2"/>
    <d v="2025-09-18T00:00:00"/>
    <x v="0"/>
    <x v="1"/>
    <n v="3828"/>
    <n v="203"/>
    <n v="506"/>
    <n v="2440"/>
    <n v="63650"/>
    <n v="126365"/>
    <x v="4"/>
    <n v="3.5903929094290347E-2"/>
  </r>
  <r>
    <s v="A178"/>
    <x v="1"/>
    <d v="2025-10-10T00:00:00"/>
    <x v="3"/>
    <x v="12"/>
    <n v="6621"/>
    <n v="922"/>
    <n v="930"/>
    <n v="694"/>
    <n v="839"/>
    <n v="243532"/>
    <x v="4"/>
    <n v="3.479214230573395E-2"/>
  </r>
  <r>
    <s v="A178"/>
    <x v="1"/>
    <d v="2025-10-10T00:00:00"/>
    <x v="3"/>
    <x v="13"/>
    <n v="6621"/>
    <n v="922"/>
    <n v="930"/>
    <n v="694"/>
    <n v="839"/>
    <n v="243532"/>
    <x v="4"/>
    <n v="3.479214230573395E-2"/>
  </r>
  <r>
    <s v="A181"/>
    <x v="3"/>
    <d v="2025-10-12T00:00:00"/>
    <x v="3"/>
    <x v="8"/>
    <n v="7126"/>
    <n v="484"/>
    <n v="565"/>
    <n v="573"/>
    <n v="7389"/>
    <n v="237096"/>
    <x v="4"/>
    <n v="3.4479704423524646E-2"/>
  </r>
  <r>
    <s v="A181"/>
    <x v="3"/>
    <d v="2025-10-12T00:00:00"/>
    <x v="3"/>
    <x v="9"/>
    <n v="7126"/>
    <n v="484"/>
    <n v="565"/>
    <n v="573"/>
    <n v="7389"/>
    <n v="237096"/>
    <x v="4"/>
    <n v="3.4479704423524646E-2"/>
  </r>
  <r>
    <s v="A110"/>
    <x v="1"/>
    <d v="2024-07-29T00:00:00"/>
    <x v="0"/>
    <x v="8"/>
    <n v="6164"/>
    <n v="326"/>
    <n v="615"/>
    <n v="2806"/>
    <n v="38579"/>
    <n v="206129"/>
    <x v="2"/>
    <n v="3.4468706489625425E-2"/>
  </r>
  <r>
    <s v="A110"/>
    <x v="1"/>
    <d v="2024-07-29T00:00:00"/>
    <x v="0"/>
    <x v="9"/>
    <n v="6164"/>
    <n v="326"/>
    <n v="615"/>
    <n v="2806"/>
    <n v="38579"/>
    <n v="206129"/>
    <x v="2"/>
    <n v="3.4468706489625425E-2"/>
  </r>
  <r>
    <s v="A292"/>
    <x v="1"/>
    <d v="2024-11-17T00:00:00"/>
    <x v="3"/>
    <x v="0"/>
    <n v="4219"/>
    <n v="240"/>
    <n v="670"/>
    <n v="815"/>
    <n v="11978"/>
    <n v="159735"/>
    <x v="1"/>
    <n v="3.2109431245500357E-2"/>
  </r>
  <r>
    <s v="A292"/>
    <x v="1"/>
    <d v="2024-11-17T00:00:00"/>
    <x v="3"/>
    <x v="1"/>
    <n v="4219"/>
    <n v="240"/>
    <n v="670"/>
    <n v="815"/>
    <n v="11978"/>
    <n v="159735"/>
    <x v="1"/>
    <n v="3.2109431245500357E-2"/>
  </r>
  <r>
    <s v="A273"/>
    <x v="0"/>
    <d v="2024-10-12T00:00:00"/>
    <x v="2"/>
    <x v="17"/>
    <n v="6208"/>
    <n v="725"/>
    <n v="309"/>
    <n v="848"/>
    <n v="39319"/>
    <n v="225763"/>
    <x v="0"/>
    <n v="3.207788698768177E-2"/>
  </r>
  <r>
    <s v="A273"/>
    <x v="0"/>
    <d v="2024-10-12T00:00:00"/>
    <x v="2"/>
    <x v="18"/>
    <n v="6208"/>
    <n v="725"/>
    <n v="309"/>
    <n v="848"/>
    <n v="39319"/>
    <n v="225763"/>
    <x v="0"/>
    <n v="3.207788698768177E-2"/>
  </r>
  <r>
    <s v="A247"/>
    <x v="3"/>
    <d v="2024-08-27T00:00:00"/>
    <x v="2"/>
    <x v="14"/>
    <n v="6324"/>
    <n v="908"/>
    <n v="375"/>
    <n v="758"/>
    <n v="34850"/>
    <n v="241039"/>
    <x v="0"/>
    <n v="3.1559208260903839E-2"/>
  </r>
  <r>
    <s v="A173"/>
    <x v="1"/>
    <d v="2024-12-05T00:00:00"/>
    <x v="1"/>
    <x v="5"/>
    <n v="4125"/>
    <n v="1364"/>
    <n v="319"/>
    <n v="2848"/>
    <n v="15379"/>
    <n v="188159"/>
    <x v="2"/>
    <n v="3.0867510988047343E-2"/>
  </r>
  <r>
    <s v="A173"/>
    <x v="1"/>
    <d v="2024-12-05T00:00:00"/>
    <x v="1"/>
    <x v="6"/>
    <n v="4125"/>
    <n v="1364"/>
    <n v="319"/>
    <n v="2848"/>
    <n v="15379"/>
    <n v="188159"/>
    <x v="2"/>
    <n v="3.0867510988047343E-2"/>
  </r>
  <r>
    <s v="A193"/>
    <x v="3"/>
    <d v="2024-09-11T00:00:00"/>
    <x v="2"/>
    <x v="8"/>
    <n v="3906"/>
    <n v="1187"/>
    <n v="589"/>
    <n v="401"/>
    <n v="52687"/>
    <n v="196498"/>
    <x v="0"/>
    <n v="2.8916324848090057E-2"/>
  </r>
  <r>
    <s v="A193"/>
    <x v="3"/>
    <d v="2024-09-11T00:00:00"/>
    <x v="2"/>
    <x v="9"/>
    <n v="3906"/>
    <n v="1187"/>
    <n v="589"/>
    <n v="401"/>
    <n v="52687"/>
    <n v="196498"/>
    <x v="0"/>
    <n v="2.8916324848090057E-2"/>
  </r>
  <r>
    <s v="A245"/>
    <x v="1"/>
    <d v="2025-01-12T00:00:00"/>
    <x v="2"/>
    <x v="5"/>
    <n v="4590"/>
    <n v="713"/>
    <n v="479"/>
    <n v="2730"/>
    <n v="41050"/>
    <n v="204246"/>
    <x v="3"/>
    <n v="2.8308999931455206E-2"/>
  </r>
  <r>
    <s v="A245"/>
    <x v="1"/>
    <d v="2025-01-12T00:00:00"/>
    <x v="2"/>
    <x v="7"/>
    <n v="4590"/>
    <n v="713"/>
    <n v="479"/>
    <n v="2730"/>
    <n v="41050"/>
    <n v="204246"/>
    <x v="3"/>
    <n v="2.8308999931455206E-2"/>
  </r>
  <r>
    <s v="A236"/>
    <x v="0"/>
    <d v="2024-08-19T00:00:00"/>
    <x v="0"/>
    <x v="15"/>
    <n v="3605"/>
    <n v="206"/>
    <n v="921"/>
    <n v="852"/>
    <n v="11660"/>
    <n v="182635"/>
    <x v="1"/>
    <n v="2.590960111698196E-2"/>
  </r>
  <r>
    <s v="A236"/>
    <x v="0"/>
    <d v="2024-08-19T00:00:00"/>
    <x v="0"/>
    <x v="2"/>
    <n v="3605"/>
    <n v="206"/>
    <n v="921"/>
    <n v="852"/>
    <n v="11660"/>
    <n v="182635"/>
    <x v="1"/>
    <n v="2.590960111698196E-2"/>
  </r>
  <r>
    <s v="A41"/>
    <x v="1"/>
    <d v="2025-09-15T00:00:00"/>
    <x v="1"/>
    <x v="10"/>
    <n v="5636"/>
    <n v="303"/>
    <n v="204"/>
    <n v="2480"/>
    <n v="7377"/>
    <n v="241207"/>
    <x v="4"/>
    <n v="2.5467751765081443E-2"/>
  </r>
  <r>
    <s v="A41"/>
    <x v="1"/>
    <d v="2025-09-15T00:00:00"/>
    <x v="1"/>
    <x v="11"/>
    <n v="5636"/>
    <n v="303"/>
    <n v="204"/>
    <n v="2480"/>
    <n v="7377"/>
    <n v="241207"/>
    <x v="4"/>
    <n v="2.5467751765081443E-2"/>
  </r>
  <r>
    <s v="A78"/>
    <x v="0"/>
    <d v="2024-06-17T00:00:00"/>
    <x v="2"/>
    <x v="0"/>
    <n v="3252"/>
    <n v="1043"/>
    <n v="647"/>
    <n v="1545"/>
    <n v="18859"/>
    <n v="222958"/>
    <x v="0"/>
    <n v="2.2165609666394567E-2"/>
  </r>
  <r>
    <s v="A78"/>
    <x v="0"/>
    <d v="2024-06-17T00:00:00"/>
    <x v="2"/>
    <x v="1"/>
    <n v="3252"/>
    <n v="1043"/>
    <n v="647"/>
    <n v="1545"/>
    <n v="18859"/>
    <n v="222958"/>
    <x v="0"/>
    <n v="2.2165609666394567E-2"/>
  </r>
  <r>
    <s v="A188"/>
    <x v="1"/>
    <d v="2024-06-06T00:00:00"/>
    <x v="3"/>
    <x v="17"/>
    <n v="3531"/>
    <n v="789"/>
    <n v="467"/>
    <n v="1867"/>
    <n v="40816"/>
    <n v="236037"/>
    <x v="3"/>
    <n v="2.0280718700881641E-2"/>
  </r>
  <r>
    <s v="A188"/>
    <x v="1"/>
    <d v="2024-06-06T00:00:00"/>
    <x v="3"/>
    <x v="18"/>
    <n v="3531"/>
    <n v="789"/>
    <n v="467"/>
    <n v="1867"/>
    <n v="40816"/>
    <n v="236037"/>
    <x v="3"/>
    <n v="2.0280718700881641E-2"/>
  </r>
  <r>
    <s v="A4"/>
    <x v="1"/>
    <d v="2024-08-12T00:00:00"/>
    <x v="0"/>
    <x v="5"/>
    <n v="3581"/>
    <n v="517"/>
    <n v="880"/>
    <n v="1925"/>
    <n v="18636"/>
    <n v="248611"/>
    <x v="1"/>
    <n v="2.0023249172401864E-2"/>
  </r>
  <r>
    <s v="A4"/>
    <x v="1"/>
    <d v="2024-08-12T00:00:00"/>
    <x v="0"/>
    <x v="7"/>
    <n v="3581"/>
    <n v="517"/>
    <n v="880"/>
    <n v="1925"/>
    <n v="18636"/>
    <n v="248611"/>
    <x v="1"/>
    <n v="2.0023249172401864E-2"/>
  </r>
  <r>
    <s v="A167"/>
    <x v="0"/>
    <d v="2024-11-28T00:00:00"/>
    <x v="3"/>
    <x v="5"/>
    <n v="2302"/>
    <n v="347"/>
    <n v="642"/>
    <n v="2175"/>
    <n v="56378"/>
    <n v="198056"/>
    <x v="2"/>
    <n v="1.6616512501514722E-2"/>
  </r>
  <r>
    <s v="A167"/>
    <x v="0"/>
    <d v="2024-11-28T00:00:00"/>
    <x v="3"/>
    <x v="6"/>
    <n v="2302"/>
    <n v="347"/>
    <n v="642"/>
    <n v="2175"/>
    <n v="56378"/>
    <n v="198056"/>
    <x v="2"/>
    <n v="1.6616512501514722E-2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7">
  <r>
    <s v="A82"/>
    <s v="LinkedIn"/>
    <d v="2024-07-24T00:00:00"/>
    <s v="Video"/>
    <s v="#AppleMusic"/>
    <n v="22914"/>
    <n v="954"/>
    <n v="584"/>
    <n v="1519"/>
    <n v="13637"/>
    <n v="49847"/>
    <x v="0"/>
    <n v="0.49054105563022848"/>
  </r>
  <r>
    <s v="A82"/>
    <s v="LinkedIn"/>
    <d v="2024-07-24T00:00:00"/>
    <s v="Video"/>
    <s v="#AppleLifestyle"/>
    <n v="22914"/>
    <n v="954"/>
    <n v="584"/>
    <n v="1519"/>
    <n v="13637"/>
    <n v="49847"/>
    <x v="0"/>
    <n v="0.49054105563022848"/>
  </r>
  <r>
    <s v="A201"/>
    <s v="YouTube"/>
    <d v="2025-01-15T00:00:00"/>
    <s v="Tweet"/>
    <s v="#ShotOniPhone"/>
    <n v="20360"/>
    <n v="254"/>
    <n v="726"/>
    <n v="1995"/>
    <n v="14280"/>
    <n v="43726"/>
    <x v="1"/>
    <n v="0.48803915290673738"/>
  </r>
  <r>
    <s v="A121"/>
    <s v="LinkedIn"/>
    <d v="2024-07-29T00:00:00"/>
    <s v="Video"/>
    <s v="#AppleWatchUltra2"/>
    <n v="19144"/>
    <n v="1182"/>
    <n v="860"/>
    <n v="1398"/>
    <n v="4185"/>
    <n v="46570"/>
    <x v="0"/>
    <n v="0.454928065278076"/>
  </r>
  <r>
    <s v="A121"/>
    <s v="LinkedIn"/>
    <d v="2024-07-29T00:00:00"/>
    <s v="Video"/>
    <s v="#HealthTech"/>
    <n v="19144"/>
    <n v="1182"/>
    <n v="860"/>
    <n v="1398"/>
    <n v="4185"/>
    <n v="46570"/>
    <x v="0"/>
    <n v="0.454928065278076"/>
  </r>
  <r>
    <s v="A127"/>
    <s v="Twitter"/>
    <d v="2025-01-27T00:00:00"/>
    <s v="Image"/>
    <s v="#AppleEvent"/>
    <n v="24415"/>
    <n v="860"/>
    <n v="931"/>
    <n v="320"/>
    <n v="65049"/>
    <n v="62911"/>
    <x v="0"/>
    <n v="0.41655672298962027"/>
  </r>
  <r>
    <s v="A127"/>
    <s v="Twitter"/>
    <d v="2025-01-27T00:00:00"/>
    <s v="Image"/>
    <s v="#iPhone16"/>
    <n v="24415"/>
    <n v="860"/>
    <n v="931"/>
    <n v="320"/>
    <n v="65049"/>
    <n v="62911"/>
    <x v="0"/>
    <n v="0.41655672298962027"/>
  </r>
  <r>
    <s v="A13"/>
    <s v="YouTube"/>
    <d v="2024-11-18T00:00:00"/>
    <s v="Carousel"/>
    <s v="#AppleMusic"/>
    <n v="21255"/>
    <n v="1452"/>
    <n v="625"/>
    <n v="1624"/>
    <n v="21282"/>
    <n v="57778"/>
    <x v="2"/>
    <n v="0.40382152376337016"/>
  </r>
  <r>
    <s v="A13"/>
    <s v="YouTube"/>
    <d v="2024-11-18T00:00:00"/>
    <s v="Carousel"/>
    <s v="#AppleLifestyle"/>
    <n v="21255"/>
    <n v="1452"/>
    <n v="625"/>
    <n v="1624"/>
    <n v="21282"/>
    <n v="57778"/>
    <x v="2"/>
    <n v="0.40382152376337016"/>
  </r>
  <r>
    <s v="A123"/>
    <s v="Twitter"/>
    <d v="2024-06-14T00:00:00"/>
    <s v="Video"/>
    <s v="#AppleEvent"/>
    <n v="17183"/>
    <n v="1224"/>
    <n v="943"/>
    <n v="2010"/>
    <n v="21481"/>
    <n v="49110"/>
    <x v="3"/>
    <n v="0.39401343921808185"/>
  </r>
  <r>
    <s v="A123"/>
    <s v="Twitter"/>
    <d v="2024-06-14T00:00:00"/>
    <s v="Video"/>
    <s v="#iPhone16"/>
    <n v="17183"/>
    <n v="1224"/>
    <n v="943"/>
    <n v="2010"/>
    <n v="21481"/>
    <n v="49110"/>
    <x v="3"/>
    <n v="0.39401343921808185"/>
  </r>
  <r>
    <s v="A287"/>
    <s v="Instagram"/>
    <d v="2024-08-15T00:00:00"/>
    <s v="Video"/>
    <s v="#AppleEvent"/>
    <n v="14977"/>
    <n v="274"/>
    <n v="798"/>
    <n v="458"/>
    <n v="6636"/>
    <n v="43654"/>
    <x v="0"/>
    <n v="0.36764099509781462"/>
  </r>
  <r>
    <s v="A287"/>
    <s v="Instagram"/>
    <d v="2024-08-15T00:00:00"/>
    <s v="Video"/>
    <s v="#iPadPro"/>
    <n v="14977"/>
    <n v="274"/>
    <n v="798"/>
    <n v="458"/>
    <n v="6636"/>
    <n v="43654"/>
    <x v="0"/>
    <n v="0.36764099509781462"/>
  </r>
  <r>
    <s v="A226"/>
    <s v="Twitter"/>
    <d v="2025-09-08T00:00:00"/>
    <s v="Tweet"/>
    <s v="#AppleWatch"/>
    <n v="23785"/>
    <n v="1013"/>
    <n v="468"/>
    <n v="1628"/>
    <n v="8272"/>
    <n v="71348"/>
    <x v="4"/>
    <n v="0.35412345125301342"/>
  </r>
  <r>
    <s v="A226"/>
    <s v="Twitter"/>
    <d v="2025-09-08T00:00:00"/>
    <s v="Tweet"/>
    <s v="#Health"/>
    <n v="23785"/>
    <n v="1013"/>
    <n v="468"/>
    <n v="1628"/>
    <n v="8272"/>
    <n v="71348"/>
    <x v="4"/>
    <n v="0.35412345125301342"/>
  </r>
  <r>
    <s v="A231"/>
    <s v="Twitter"/>
    <d v="2025-09-09T00:00:00"/>
    <s v="Image"/>
    <s v="#AppleMusic"/>
    <n v="19260"/>
    <n v="668"/>
    <n v="994"/>
    <n v="934"/>
    <n v="20509"/>
    <n v="61636"/>
    <x v="4"/>
    <n v="0.33944448049841003"/>
  </r>
  <r>
    <s v="A231"/>
    <s v="Twitter"/>
    <d v="2025-09-09T00:00:00"/>
    <s v="Image"/>
    <s v="#AppleLifestyle"/>
    <n v="19260"/>
    <n v="668"/>
    <n v="994"/>
    <n v="934"/>
    <n v="20509"/>
    <n v="61636"/>
    <x v="4"/>
    <n v="0.33944448049841003"/>
  </r>
  <r>
    <s v="A185"/>
    <s v="Instagram"/>
    <d v="2025-01-11T00:00:00"/>
    <s v="Image"/>
    <s v="#MacBookAirM3"/>
    <n v="21181"/>
    <n v="1242"/>
    <n v="963"/>
    <n v="1689"/>
    <n v="49329"/>
    <n v="69165"/>
    <x v="0"/>
    <n v="0.33811899081905589"/>
  </r>
  <r>
    <s v="A185"/>
    <s v="Instagram"/>
    <d v="2025-01-11T00:00:00"/>
    <s v="Image"/>
    <s v="#AppleInnovation"/>
    <n v="21181"/>
    <n v="1242"/>
    <n v="963"/>
    <n v="1689"/>
    <n v="49329"/>
    <n v="69165"/>
    <x v="0"/>
    <n v="0.33811899081905589"/>
  </r>
  <r>
    <s v="A106"/>
    <s v="Twitter"/>
    <d v="2025-02-04T00:00:00"/>
    <s v="Carousel"/>
    <s v="#AppleWatch"/>
    <n v="23833"/>
    <n v="555"/>
    <n v="523"/>
    <n v="1330"/>
    <n v="69141"/>
    <n v="73997"/>
    <x v="1"/>
    <n v="0.33664878305877266"/>
  </r>
  <r>
    <s v="A106"/>
    <s v="Twitter"/>
    <d v="2025-02-04T00:00:00"/>
    <s v="Carousel"/>
    <s v="#Health"/>
    <n v="23833"/>
    <n v="555"/>
    <n v="523"/>
    <n v="1330"/>
    <n v="69141"/>
    <n v="73997"/>
    <x v="1"/>
    <n v="0.33664878305877266"/>
  </r>
  <r>
    <s v="A174"/>
    <s v="LinkedIn"/>
    <d v="2024-06-22T00:00:00"/>
    <s v="Carousel"/>
    <s v="#AppleWatchUltra2"/>
    <n v="13479"/>
    <n v="1189"/>
    <n v="695"/>
    <n v="416"/>
    <n v="30229"/>
    <n v="45704"/>
    <x v="0"/>
    <n v="0.33614125678277612"/>
  </r>
  <r>
    <s v="A174"/>
    <s v="LinkedIn"/>
    <d v="2024-06-22T00:00:00"/>
    <s v="Carousel"/>
    <s v="#HealthTech"/>
    <n v="13479"/>
    <n v="1189"/>
    <n v="695"/>
    <n v="416"/>
    <n v="30229"/>
    <n v="45704"/>
    <x v="0"/>
    <n v="0.33614125678277612"/>
  </r>
  <r>
    <s v="A254"/>
    <s v="Instagram"/>
    <d v="2025-01-14T00:00:00"/>
    <s v="Carousel"/>
    <s v="#AppleEvent"/>
    <n v="24350"/>
    <n v="460"/>
    <n v="666"/>
    <n v="814"/>
    <n v="21120"/>
    <n v="76914"/>
    <x v="0"/>
    <n v="0.33122708479600593"/>
  </r>
  <r>
    <s v="A254"/>
    <s v="Instagram"/>
    <d v="2025-01-14T00:00:00"/>
    <s v="Carousel"/>
    <s v="#iPhone16"/>
    <n v="24350"/>
    <n v="460"/>
    <n v="666"/>
    <n v="814"/>
    <n v="21120"/>
    <n v="76914"/>
    <x v="0"/>
    <n v="0.33122708479600593"/>
  </r>
  <r>
    <s v="A223"/>
    <s v="Twitter"/>
    <d v="2024-11-12T00:00:00"/>
    <s v="Video"/>
    <s v="#AppleDesign"/>
    <n v="17913"/>
    <n v="1311"/>
    <n v="859"/>
    <n v="405"/>
    <n v="59842"/>
    <n v="62612"/>
    <x v="3"/>
    <n v="0.32075321024723696"/>
  </r>
  <r>
    <s v="A223"/>
    <s v="Twitter"/>
    <d v="2024-11-12T00:00:00"/>
    <s v="Video"/>
    <s v="#Innovation"/>
    <n v="17913"/>
    <n v="1311"/>
    <n v="859"/>
    <n v="405"/>
    <n v="59842"/>
    <n v="62612"/>
    <x v="3"/>
    <n v="0.32075321024723696"/>
  </r>
  <r>
    <s v="A164"/>
    <s v="LinkedIn"/>
    <d v="2025-02-27T00:00:00"/>
    <s v="Image"/>
    <s v="#MacBookAirM3"/>
    <n v="16178"/>
    <n v="1048"/>
    <n v="871"/>
    <n v="2553"/>
    <n v="39025"/>
    <n v="59508"/>
    <x v="0"/>
    <n v="0.30411037171472743"/>
  </r>
  <r>
    <s v="A164"/>
    <s v="LinkedIn"/>
    <d v="2025-02-27T00:00:00"/>
    <s v="Image"/>
    <s v="#AppleInnovation"/>
    <n v="16178"/>
    <n v="1048"/>
    <n v="871"/>
    <n v="2553"/>
    <n v="39025"/>
    <n v="59508"/>
    <x v="0"/>
    <n v="0.30411037171472743"/>
  </r>
  <r>
    <s v="A151"/>
    <s v="YouTube"/>
    <d v="2024-07-26T00:00:00"/>
    <s v="Video"/>
    <s v="#MacBookProM3"/>
    <n v="18282"/>
    <n v="224"/>
    <n v="962"/>
    <n v="890"/>
    <n v="35105"/>
    <n v="64089"/>
    <x v="1"/>
    <n v="0.30376507669022768"/>
  </r>
  <r>
    <s v="A140"/>
    <s v="Instagram"/>
    <d v="2024-07-15T00:00:00"/>
    <s v="Tweet"/>
    <s v="#AppleMusic"/>
    <n v="14891"/>
    <n v="674"/>
    <n v="521"/>
    <n v="1091"/>
    <n v="18101"/>
    <n v="53669"/>
    <x v="0"/>
    <n v="0.29972609886526674"/>
  </r>
  <r>
    <s v="A140"/>
    <s v="Instagram"/>
    <d v="2024-07-15T00:00:00"/>
    <s v="Tweet"/>
    <s v="#AppleLifestyle"/>
    <n v="14891"/>
    <n v="674"/>
    <n v="521"/>
    <n v="1091"/>
    <n v="18101"/>
    <n v="53669"/>
    <x v="0"/>
    <n v="0.29972609886526674"/>
  </r>
  <r>
    <s v="A83"/>
    <s v="Instagram"/>
    <d v="2024-10-15T00:00:00"/>
    <s v="Carousel"/>
    <s v="#ShotOniPhone"/>
    <n v="17781"/>
    <n v="993"/>
    <n v="627"/>
    <n v="2187"/>
    <n v="9609"/>
    <n v="66155"/>
    <x v="1"/>
    <n v="0.29326581513113142"/>
  </r>
  <r>
    <s v="A196"/>
    <s v="Twitter"/>
    <d v="2025-09-18T00:00:00"/>
    <s v="Tweet"/>
    <s v="#MacBookProM3"/>
    <n v="10152"/>
    <n v="1445"/>
    <n v="526"/>
    <n v="513"/>
    <n v="18959"/>
    <n v="43712"/>
    <x v="4"/>
    <n v="0.27733803074670571"/>
  </r>
  <r>
    <s v="A136"/>
    <s v="Instagram"/>
    <d v="2025-10-02T00:00:00"/>
    <s v="Carousel"/>
    <s v="#AppleDesign"/>
    <n v="12161"/>
    <n v="736"/>
    <n v="876"/>
    <n v="1233"/>
    <n v="21337"/>
    <n v="50225"/>
    <x v="4"/>
    <n v="0.27422598307615731"/>
  </r>
  <r>
    <s v="A136"/>
    <s v="Instagram"/>
    <d v="2025-10-02T00:00:00"/>
    <s v="Carousel"/>
    <s v="#Innovation"/>
    <n v="12161"/>
    <n v="736"/>
    <n v="876"/>
    <n v="1233"/>
    <n v="21337"/>
    <n v="50225"/>
    <x v="4"/>
    <n v="0.27422598307615731"/>
  </r>
  <r>
    <s v="A5"/>
    <s v="YouTube"/>
    <d v="2025-09-04T00:00:00"/>
    <s v="Video"/>
    <s v="#AppleWatchUltra2"/>
    <n v="21708"/>
    <n v="435"/>
    <n v="317"/>
    <n v="1213"/>
    <n v="70701"/>
    <n v="83585"/>
    <x v="4"/>
    <n v="0.26870850032900639"/>
  </r>
  <r>
    <s v="A5"/>
    <s v="YouTube"/>
    <d v="2025-09-04T00:00:00"/>
    <s v="Video"/>
    <s v="#HealthTech"/>
    <n v="21708"/>
    <n v="435"/>
    <n v="317"/>
    <n v="1213"/>
    <n v="70701"/>
    <n v="83585"/>
    <x v="4"/>
    <n v="0.26870850032900639"/>
  </r>
  <r>
    <s v="A80"/>
    <s v="LinkedIn"/>
    <d v="2024-06-13T00:00:00"/>
    <s v="Image"/>
    <s v="#AppleWatchUltra2"/>
    <n v="14173"/>
    <n v="294"/>
    <n v="257"/>
    <n v="1288"/>
    <n v="39466"/>
    <n v="55563"/>
    <x v="2"/>
    <n v="0.26499649047027696"/>
  </r>
  <r>
    <s v="A80"/>
    <s v="LinkedIn"/>
    <d v="2024-06-13T00:00:00"/>
    <s v="Image"/>
    <s v="#HealthTech"/>
    <n v="14173"/>
    <n v="294"/>
    <n v="257"/>
    <n v="1288"/>
    <n v="39466"/>
    <n v="55563"/>
    <x v="2"/>
    <n v="0.26499649047027696"/>
  </r>
  <r>
    <s v="A150"/>
    <s v="LinkedIn"/>
    <d v="2024-08-22T00:00:00"/>
    <s v="Video"/>
    <s v="#iPhonePhotography"/>
    <n v="16124"/>
    <n v="863"/>
    <n v="337"/>
    <n v="819"/>
    <n v="85788"/>
    <n v="68625"/>
    <x v="1"/>
    <n v="0.25244444444444447"/>
  </r>
  <r>
    <s v="A150"/>
    <s v="LinkedIn"/>
    <d v="2024-08-22T00:00:00"/>
    <s v="Video"/>
    <s v="#ShotOniPhone"/>
    <n v="16124"/>
    <n v="863"/>
    <n v="337"/>
    <n v="819"/>
    <n v="85788"/>
    <n v="68625"/>
    <x v="1"/>
    <n v="0.25244444444444447"/>
  </r>
  <r>
    <s v="A220"/>
    <s v="YouTube"/>
    <d v="2024-06-02T00:00:00"/>
    <s v="Video"/>
    <s v="#MacBookAirM3"/>
    <n v="14199"/>
    <n v="1206"/>
    <n v="954"/>
    <n v="2009"/>
    <n v="8"/>
    <n v="65537"/>
    <x v="3"/>
    <n v="0.24961472145505592"/>
  </r>
  <r>
    <s v="A220"/>
    <s v="YouTube"/>
    <d v="2024-06-02T00:00:00"/>
    <s v="Video"/>
    <s v="#AppleInnovation"/>
    <n v="14199"/>
    <n v="1206"/>
    <n v="954"/>
    <n v="2009"/>
    <n v="8"/>
    <n v="65537"/>
    <x v="3"/>
    <n v="0.24961472145505592"/>
  </r>
  <r>
    <s v="A21"/>
    <s v="Twitter"/>
    <d v="2025-09-08T00:00:00"/>
    <s v="Carousel"/>
    <s v="#iPhonePhotography"/>
    <n v="22309"/>
    <n v="773"/>
    <n v="854"/>
    <n v="2387"/>
    <n v="72396"/>
    <n v="97056"/>
    <x v="4"/>
    <n v="0.24662050774810418"/>
  </r>
  <r>
    <s v="A21"/>
    <s v="Twitter"/>
    <d v="2025-09-08T00:00:00"/>
    <s v="Carousel"/>
    <s v="#ShotOniPhone"/>
    <n v="22309"/>
    <n v="773"/>
    <n v="854"/>
    <n v="2387"/>
    <n v="72396"/>
    <n v="97056"/>
    <x v="4"/>
    <n v="0.24662050774810418"/>
  </r>
  <r>
    <s v="A244"/>
    <s v="Instagram"/>
    <d v="2025-09-13T00:00:00"/>
    <s v="Video"/>
    <s v="#iPhonePhotography"/>
    <n v="15046"/>
    <n v="281"/>
    <n v="515"/>
    <n v="550"/>
    <n v="22583"/>
    <n v="64596"/>
    <x v="4"/>
    <n v="0.24524738373893121"/>
  </r>
  <r>
    <s v="A244"/>
    <s v="Instagram"/>
    <d v="2025-09-13T00:00:00"/>
    <s v="Video"/>
    <s v="#ShotOniPhone"/>
    <n v="15046"/>
    <n v="281"/>
    <n v="515"/>
    <n v="550"/>
    <n v="22583"/>
    <n v="64596"/>
    <x v="4"/>
    <n v="0.24524738373893121"/>
  </r>
  <r>
    <s v="A76"/>
    <s v="Twitter"/>
    <d v="2024-11-07T00:00:00"/>
    <s v="Carousel"/>
    <s v="#ShotOniPhone"/>
    <n v="17254"/>
    <n v="246"/>
    <n v="952"/>
    <n v="871"/>
    <n v="14957"/>
    <n v="75946"/>
    <x v="2"/>
    <n v="0.24296210465330631"/>
  </r>
  <r>
    <s v="A216"/>
    <s v="Instagram"/>
    <d v="2024-07-29T00:00:00"/>
    <s v="Tweet"/>
    <s v="#AppleWatchUltra2"/>
    <n v="22590"/>
    <n v="1462"/>
    <n v="966"/>
    <n v="2463"/>
    <n v="29689"/>
    <n v="103449"/>
    <x v="3"/>
    <n v="0.24183897379385011"/>
  </r>
  <r>
    <s v="A216"/>
    <s v="Instagram"/>
    <d v="2024-07-29T00:00:00"/>
    <s v="Tweet"/>
    <s v="#HealthTech"/>
    <n v="22590"/>
    <n v="1462"/>
    <n v="966"/>
    <n v="2463"/>
    <n v="29689"/>
    <n v="103449"/>
    <x v="3"/>
    <n v="0.24183897379385011"/>
  </r>
  <r>
    <s v="A51"/>
    <s v="YouTube"/>
    <d v="2024-06-13T00:00:00"/>
    <s v="Carousel"/>
    <s v="#AppleWatch"/>
    <n v="23164"/>
    <n v="1122"/>
    <n v="900"/>
    <n v="888"/>
    <n v="36938"/>
    <n v="104674"/>
    <x v="0"/>
    <n v="0.24061371496264594"/>
  </r>
  <r>
    <s v="A51"/>
    <s v="YouTube"/>
    <d v="2024-06-13T00:00:00"/>
    <s v="Carousel"/>
    <s v="#Health"/>
    <n v="23164"/>
    <n v="1122"/>
    <n v="900"/>
    <n v="888"/>
    <n v="36938"/>
    <n v="104674"/>
    <x v="0"/>
    <n v="0.24061371496264594"/>
  </r>
  <r>
    <s v="A6"/>
    <s v="LinkedIn"/>
    <d v="2025-09-05T00:00:00"/>
    <s v="Image"/>
    <s v="#ShotOniPhone"/>
    <n v="14677"/>
    <n v="533"/>
    <n v="759"/>
    <n v="753"/>
    <n v="23275"/>
    <n v="66958"/>
    <x v="4"/>
    <n v="0.23849278652289496"/>
  </r>
  <r>
    <s v="A289"/>
    <s v="Instagram"/>
    <d v="2024-11-28T00:00:00"/>
    <s v="Carousel"/>
    <s v="#AppleMusic"/>
    <n v="18644"/>
    <n v="1369"/>
    <n v="887"/>
    <n v="1256"/>
    <n v="43415"/>
    <n v="88368"/>
    <x v="3"/>
    <n v="0.23651095419156257"/>
  </r>
  <r>
    <s v="A289"/>
    <s v="Instagram"/>
    <d v="2024-11-28T00:00:00"/>
    <s v="Carousel"/>
    <s v="#AppleLifestyle"/>
    <n v="18644"/>
    <n v="1369"/>
    <n v="887"/>
    <n v="1256"/>
    <n v="43415"/>
    <n v="88368"/>
    <x v="3"/>
    <n v="0.23651095419156257"/>
  </r>
  <r>
    <s v="A186"/>
    <s v="Instagram"/>
    <d v="2024-08-24T00:00:00"/>
    <s v="Video"/>
    <s v="#AppleDesign"/>
    <n v="24890"/>
    <n v="217"/>
    <n v="178"/>
    <n v="906"/>
    <n v="54826"/>
    <n v="107203"/>
    <x v="3"/>
    <n v="0.23586093672751696"/>
  </r>
  <r>
    <s v="A186"/>
    <s v="Instagram"/>
    <d v="2024-08-24T00:00:00"/>
    <s v="Video"/>
    <s v="#Innovation"/>
    <n v="24890"/>
    <n v="217"/>
    <n v="178"/>
    <n v="906"/>
    <n v="54826"/>
    <n v="107203"/>
    <x v="3"/>
    <n v="0.23586093672751696"/>
  </r>
  <r>
    <s v="A61"/>
    <s v="YouTube"/>
    <d v="2024-09-05T00:00:00"/>
    <s v="Carousel"/>
    <s v="#MacBookProM3"/>
    <n v="16489"/>
    <n v="395"/>
    <n v="350"/>
    <n v="2364"/>
    <n v="43239"/>
    <n v="73397"/>
    <x v="2"/>
    <n v="0.23480523727127811"/>
  </r>
  <r>
    <s v="A286"/>
    <s v="YouTube"/>
    <d v="2025-09-19T00:00:00"/>
    <s v="Tweet"/>
    <s v="#AppleWatch"/>
    <n v="22128"/>
    <n v="1004"/>
    <n v="690"/>
    <n v="2048"/>
    <n v="19443"/>
    <n v="103646"/>
    <x v="4"/>
    <n v="0.22984003241803833"/>
  </r>
  <r>
    <s v="A286"/>
    <s v="YouTube"/>
    <d v="2025-09-19T00:00:00"/>
    <s v="Tweet"/>
    <s v="#Health"/>
    <n v="22128"/>
    <n v="1004"/>
    <n v="690"/>
    <n v="2048"/>
    <n v="19443"/>
    <n v="103646"/>
    <x v="4"/>
    <n v="0.22984003241803833"/>
  </r>
  <r>
    <s v="A105"/>
    <s v="Twitter"/>
    <d v="2024-06-14T00:00:00"/>
    <s v="Carousel"/>
    <s v="#iPhone16Launch"/>
    <n v="21856"/>
    <n v="1203"/>
    <n v="634"/>
    <n v="2807"/>
    <n v="3647"/>
    <n v="104178"/>
    <x v="1"/>
    <n v="0.22742805582752595"/>
  </r>
  <r>
    <s v="A105"/>
    <s v="Twitter"/>
    <d v="2024-06-14T00:00:00"/>
    <s v="Carousel"/>
    <s v="#AppleEvent"/>
    <n v="21856"/>
    <n v="1203"/>
    <n v="634"/>
    <n v="2807"/>
    <n v="3647"/>
    <n v="104178"/>
    <x v="1"/>
    <n v="0.22742805582752595"/>
  </r>
  <r>
    <s v="A119"/>
    <s v="LinkedIn"/>
    <d v="2025-02-07T00:00:00"/>
    <s v="Carousel"/>
    <s v="#Sustainability"/>
    <n v="20290"/>
    <n v="619"/>
    <n v="927"/>
    <n v="1186"/>
    <n v="8924"/>
    <n v="96503"/>
    <x v="2"/>
    <n v="0.22627275835984373"/>
  </r>
  <r>
    <s v="A119"/>
    <s v="LinkedIn"/>
    <d v="2025-02-07T00:00:00"/>
    <s v="Carousel"/>
    <s v="#AppleEarth"/>
    <n v="20290"/>
    <n v="619"/>
    <n v="927"/>
    <n v="1186"/>
    <n v="8924"/>
    <n v="96503"/>
    <x v="2"/>
    <n v="0.22627275835984373"/>
  </r>
  <r>
    <s v="A170"/>
    <s v="Twitter"/>
    <d v="2025-04-28T00:00:00"/>
    <s v="Carousel"/>
    <s v="#iPhonePhotography"/>
    <n v="15013"/>
    <n v="1286"/>
    <n v="599"/>
    <n v="2001"/>
    <n v="67839"/>
    <n v="76059"/>
    <x v="0"/>
    <n v="0.22216963147030594"/>
  </r>
  <r>
    <s v="A170"/>
    <s v="Twitter"/>
    <d v="2025-04-28T00:00:00"/>
    <s v="Carousel"/>
    <s v="#ShotOniPhone"/>
    <n v="15013"/>
    <n v="1286"/>
    <n v="599"/>
    <n v="2001"/>
    <n v="67839"/>
    <n v="76059"/>
    <x v="0"/>
    <n v="0.22216963147030594"/>
  </r>
  <r>
    <s v="A46"/>
    <s v="LinkedIn"/>
    <d v="2025-05-02T00:00:00"/>
    <s v="Tweet"/>
    <s v="#AppleEvent"/>
    <n v="17444"/>
    <n v="1402"/>
    <n v="218"/>
    <n v="725"/>
    <n v="8710"/>
    <n v="85893"/>
    <x v="2"/>
    <n v="0.22195056640238436"/>
  </r>
  <r>
    <s v="A46"/>
    <s v="LinkedIn"/>
    <d v="2025-05-02T00:00:00"/>
    <s v="Tweet"/>
    <s v="#iPhone16"/>
    <n v="17444"/>
    <n v="1402"/>
    <n v="218"/>
    <n v="725"/>
    <n v="8710"/>
    <n v="85893"/>
    <x v="2"/>
    <n v="0.22195056640238436"/>
  </r>
  <r>
    <s v="A187"/>
    <s v="Twitter"/>
    <d v="2024-12-22T00:00:00"/>
    <s v="Tweet"/>
    <s v="#Sustainability"/>
    <n v="7870"/>
    <n v="968"/>
    <n v="626"/>
    <n v="465"/>
    <n v="27184"/>
    <n v="44114"/>
    <x v="2"/>
    <n v="0.2145350682323072"/>
  </r>
  <r>
    <s v="A187"/>
    <s v="Twitter"/>
    <d v="2024-12-22T00:00:00"/>
    <s v="Tweet"/>
    <s v="#AppleEarth"/>
    <n v="7870"/>
    <n v="968"/>
    <n v="626"/>
    <n v="465"/>
    <n v="27184"/>
    <n v="44114"/>
    <x v="2"/>
    <n v="0.2145350682323072"/>
  </r>
  <r>
    <s v="A190"/>
    <s v="Twitter"/>
    <d v="2024-10-04T00:00:00"/>
    <s v="Image"/>
    <s v="#AppleMusic"/>
    <n v="21729"/>
    <n v="1209"/>
    <n v="897"/>
    <n v="1624"/>
    <n v="38771"/>
    <n v="113297"/>
    <x v="1"/>
    <n v="0.21037626768581694"/>
  </r>
  <r>
    <s v="A190"/>
    <s v="Twitter"/>
    <d v="2024-10-04T00:00:00"/>
    <s v="Image"/>
    <s v="#AppleLifestyle"/>
    <n v="21729"/>
    <n v="1209"/>
    <n v="897"/>
    <n v="1624"/>
    <n v="38771"/>
    <n v="113297"/>
    <x v="1"/>
    <n v="0.21037626768581694"/>
  </r>
  <r>
    <s v="A251"/>
    <s v="Twitter"/>
    <d v="2025-09-15T00:00:00"/>
    <s v="Image"/>
    <s v="#AppleMusic"/>
    <n v="18389"/>
    <n v="670"/>
    <n v="655"/>
    <n v="321"/>
    <n v="21869"/>
    <n v="96088"/>
    <x v="4"/>
    <n v="0.2051660977437349"/>
  </r>
  <r>
    <s v="A251"/>
    <s v="Twitter"/>
    <d v="2025-09-15T00:00:00"/>
    <s v="Image"/>
    <s v="#AppleLifestyle"/>
    <n v="18389"/>
    <n v="670"/>
    <n v="655"/>
    <n v="321"/>
    <n v="21869"/>
    <n v="96088"/>
    <x v="4"/>
    <n v="0.2051660977437349"/>
  </r>
  <r>
    <s v="A74"/>
    <s v="Twitter"/>
    <d v="2024-10-28T00:00:00"/>
    <s v="Carousel"/>
    <s v="#AppleEvent"/>
    <n v="21198"/>
    <n v="1484"/>
    <n v="174"/>
    <n v="1293"/>
    <n v="16330"/>
    <n v="111635"/>
    <x v="1"/>
    <n v="0.20473865723115511"/>
  </r>
  <r>
    <s v="A74"/>
    <s v="Twitter"/>
    <d v="2024-10-28T00:00:00"/>
    <s v="Carousel"/>
    <s v="#iPadPro"/>
    <n v="21198"/>
    <n v="1484"/>
    <n v="174"/>
    <n v="1293"/>
    <n v="16330"/>
    <n v="111635"/>
    <x v="1"/>
    <n v="0.20473865723115511"/>
  </r>
  <r>
    <s v="A42"/>
    <s v="YouTube"/>
    <d v="2025-03-05T00:00:00"/>
    <s v="Carousel"/>
    <s v="#AppleEvent"/>
    <n v="12916"/>
    <n v="1262"/>
    <n v="772"/>
    <n v="856"/>
    <n v="11496"/>
    <n v="75046"/>
    <x v="3"/>
    <n v="0.19921115049436347"/>
  </r>
  <r>
    <s v="A42"/>
    <s v="YouTube"/>
    <d v="2025-03-05T00:00:00"/>
    <s v="Carousel"/>
    <s v="#iPhone16"/>
    <n v="12916"/>
    <n v="1262"/>
    <n v="772"/>
    <n v="856"/>
    <n v="11496"/>
    <n v="75046"/>
    <x v="3"/>
    <n v="0.19921115049436347"/>
  </r>
  <r>
    <s v="A246"/>
    <s v="Twitter"/>
    <d v="2024-10-11T00:00:00"/>
    <s v="Carousel"/>
    <s v="#iPhone16Launch"/>
    <n v="19447"/>
    <n v="1014"/>
    <n v="256"/>
    <n v="2354"/>
    <n v="5472"/>
    <n v="104106"/>
    <x v="0"/>
    <n v="0.19899909707413599"/>
  </r>
  <r>
    <s v="A246"/>
    <s v="Twitter"/>
    <d v="2024-10-11T00:00:00"/>
    <s v="Carousel"/>
    <s v="#AppleEvent"/>
    <n v="19447"/>
    <n v="1014"/>
    <n v="256"/>
    <n v="2354"/>
    <n v="5472"/>
    <n v="104106"/>
    <x v="0"/>
    <n v="0.19899909707413599"/>
  </r>
  <r>
    <s v="A260"/>
    <s v="YouTube"/>
    <d v="2025-02-12T00:00:00"/>
    <s v="Video"/>
    <s v="#MacBookAirM3"/>
    <n v="15234"/>
    <n v="1276"/>
    <n v="670"/>
    <n v="1860"/>
    <n v="60397"/>
    <n v="86413"/>
    <x v="2"/>
    <n v="0.19881267864788862"/>
  </r>
  <r>
    <s v="A260"/>
    <s v="YouTube"/>
    <d v="2025-02-12T00:00:00"/>
    <s v="Video"/>
    <s v="#AppleInnovation"/>
    <n v="15234"/>
    <n v="1276"/>
    <n v="670"/>
    <n v="1860"/>
    <n v="60397"/>
    <n v="86413"/>
    <x v="2"/>
    <n v="0.19881267864788862"/>
  </r>
  <r>
    <s v="A93"/>
    <s v="Twitter"/>
    <d v="2024-12-11T00:00:00"/>
    <s v="Carousel"/>
    <s v="#iPhone16Launch"/>
    <n v="22645"/>
    <n v="545"/>
    <n v="972"/>
    <n v="321"/>
    <n v="8396"/>
    <n v="121537"/>
    <x v="2"/>
    <n v="0.19880365649966678"/>
  </r>
  <r>
    <s v="A93"/>
    <s v="Twitter"/>
    <d v="2024-12-11T00:00:00"/>
    <s v="Carousel"/>
    <s v="#AppleEvent"/>
    <n v="22645"/>
    <n v="545"/>
    <n v="972"/>
    <n v="321"/>
    <n v="8396"/>
    <n v="121537"/>
    <x v="2"/>
    <n v="0.19880365649966678"/>
  </r>
  <r>
    <s v="A163"/>
    <s v="LinkedIn"/>
    <d v="2025-04-08T00:00:00"/>
    <s v="Video"/>
    <s v="#AppleWatchUltra2"/>
    <n v="15568"/>
    <n v="1166"/>
    <n v="546"/>
    <n v="826"/>
    <n v="21836"/>
    <n v="87055"/>
    <x v="0"/>
    <n v="0.19849520418126471"/>
  </r>
  <r>
    <s v="A163"/>
    <s v="LinkedIn"/>
    <d v="2025-04-08T00:00:00"/>
    <s v="Video"/>
    <s v="#HealthTech"/>
    <n v="15568"/>
    <n v="1166"/>
    <n v="546"/>
    <n v="826"/>
    <n v="21836"/>
    <n v="87055"/>
    <x v="0"/>
    <n v="0.19849520418126471"/>
  </r>
  <r>
    <s v="A300"/>
    <s v="LinkedIn"/>
    <d v="2025-09-26T00:00:00"/>
    <s v="Video"/>
    <s v="#iPhone16Launch"/>
    <n v="21216"/>
    <n v="226"/>
    <n v="187"/>
    <n v="1573"/>
    <n v="62688"/>
    <n v="111031"/>
    <x v="4"/>
    <n v="0.19480145184678152"/>
  </r>
  <r>
    <s v="A300"/>
    <s v="LinkedIn"/>
    <d v="2025-09-26T00:00:00"/>
    <s v="Video"/>
    <s v="#AppleEvent"/>
    <n v="21216"/>
    <n v="226"/>
    <n v="187"/>
    <n v="1573"/>
    <n v="62688"/>
    <n v="111031"/>
    <x v="4"/>
    <n v="0.19480145184678152"/>
  </r>
  <r>
    <s v="A68"/>
    <s v="Instagram"/>
    <d v="2024-12-08T00:00:00"/>
    <s v="Video"/>
    <s v="#MacBookAirM3"/>
    <n v="10427"/>
    <n v="1014"/>
    <n v="166"/>
    <n v="1649"/>
    <n v="15145"/>
    <n v="59816"/>
    <x v="3"/>
    <n v="0.19404507155276179"/>
  </r>
  <r>
    <s v="A68"/>
    <s v="Instagram"/>
    <d v="2024-12-08T00:00:00"/>
    <s v="Video"/>
    <s v="#AppleInnovation"/>
    <n v="10427"/>
    <n v="1014"/>
    <n v="166"/>
    <n v="1649"/>
    <n v="15145"/>
    <n v="59816"/>
    <x v="3"/>
    <n v="0.19404507155276179"/>
  </r>
  <r>
    <s v="A126"/>
    <s v="LinkedIn"/>
    <d v="2025-03-28T00:00:00"/>
    <s v="Image"/>
    <s v="#AppleWatch"/>
    <n v="13637"/>
    <n v="1135"/>
    <n v="540"/>
    <n v="1288"/>
    <n v="45183"/>
    <n v="79062"/>
    <x v="2"/>
    <n v="0.19367079001290127"/>
  </r>
  <r>
    <s v="A126"/>
    <s v="LinkedIn"/>
    <d v="2025-03-28T00:00:00"/>
    <s v="Image"/>
    <s v="#Health"/>
    <n v="13637"/>
    <n v="1135"/>
    <n v="540"/>
    <n v="1288"/>
    <n v="45183"/>
    <n v="79062"/>
    <x v="2"/>
    <n v="0.19367079001290127"/>
  </r>
  <r>
    <s v="A129"/>
    <s v="LinkedIn"/>
    <d v="2024-07-21T00:00:00"/>
    <s v="Image"/>
    <s v="#AppleEvent"/>
    <n v="11911"/>
    <n v="1360"/>
    <n v="778"/>
    <n v="1168"/>
    <n v="16483"/>
    <n v="72556"/>
    <x v="3"/>
    <n v="0.19362974805667346"/>
  </r>
  <r>
    <s v="A129"/>
    <s v="LinkedIn"/>
    <d v="2024-07-21T00:00:00"/>
    <s v="Image"/>
    <s v="#iPadPro"/>
    <n v="11911"/>
    <n v="1360"/>
    <n v="778"/>
    <n v="1168"/>
    <n v="16483"/>
    <n v="72556"/>
    <x v="3"/>
    <n v="0.19362974805667346"/>
  </r>
  <r>
    <s v="A97"/>
    <s v="Twitter"/>
    <d v="2024-08-13T00:00:00"/>
    <s v="Carousel"/>
    <s v="#Sustainability"/>
    <n v="6854"/>
    <n v="417"/>
    <n v="467"/>
    <n v="1003"/>
    <n v="61333"/>
    <n v="40281"/>
    <x v="0"/>
    <n v="0.19210049402944315"/>
  </r>
  <r>
    <s v="A97"/>
    <s v="Twitter"/>
    <d v="2024-08-13T00:00:00"/>
    <s v="Carousel"/>
    <s v="#AppleEarth"/>
    <n v="6854"/>
    <n v="417"/>
    <n v="467"/>
    <n v="1003"/>
    <n v="61333"/>
    <n v="40281"/>
    <x v="0"/>
    <n v="0.19210049402944315"/>
  </r>
  <r>
    <s v="A47"/>
    <s v="LinkedIn"/>
    <d v="2025-02-24T00:00:00"/>
    <s v="Tweet"/>
    <s v="#iPhone16Launch"/>
    <n v="24984"/>
    <n v="753"/>
    <n v="461"/>
    <n v="2710"/>
    <n v="20792"/>
    <n v="141520"/>
    <x v="3"/>
    <n v="0.18511871113623515"/>
  </r>
  <r>
    <s v="A47"/>
    <s v="LinkedIn"/>
    <d v="2025-02-24T00:00:00"/>
    <s v="Tweet"/>
    <s v="#AppleEvent"/>
    <n v="24984"/>
    <n v="753"/>
    <n v="461"/>
    <n v="2710"/>
    <n v="20792"/>
    <n v="141520"/>
    <x v="3"/>
    <n v="0.18511871113623515"/>
  </r>
  <r>
    <s v="A152"/>
    <s v="YouTube"/>
    <d v="2025-10-04T00:00:00"/>
    <s v="Video"/>
    <s v="#Sustainability"/>
    <n v="12488"/>
    <n v="1403"/>
    <n v="247"/>
    <n v="1350"/>
    <n v="28370"/>
    <n v="76487"/>
    <x v="4"/>
    <n v="0.18484186855282597"/>
  </r>
  <r>
    <s v="A152"/>
    <s v="YouTube"/>
    <d v="2025-10-04T00:00:00"/>
    <s v="Video"/>
    <s v="#AppleEarth"/>
    <n v="12488"/>
    <n v="1403"/>
    <n v="247"/>
    <n v="1350"/>
    <n v="28370"/>
    <n v="76487"/>
    <x v="4"/>
    <n v="0.18484186855282597"/>
  </r>
  <r>
    <s v="A230"/>
    <s v="Instagram"/>
    <d v="2024-07-15T00:00:00"/>
    <s v="Video"/>
    <s v="#ShotOniPhone"/>
    <n v="12554"/>
    <n v="381"/>
    <n v="211"/>
    <n v="2286"/>
    <n v="50567"/>
    <n v="72779"/>
    <x v="0"/>
    <n v="0.18062902760411656"/>
  </r>
  <r>
    <s v="A148"/>
    <s v="YouTube"/>
    <d v="2025-04-15T00:00:00"/>
    <s v="Video"/>
    <s v="#iPhone16Launch"/>
    <n v="20977"/>
    <n v="1402"/>
    <n v="301"/>
    <n v="1284"/>
    <n v="24620"/>
    <n v="128009"/>
    <x v="0"/>
    <n v="0.17717504237983267"/>
  </r>
  <r>
    <s v="A148"/>
    <s v="YouTube"/>
    <d v="2025-04-15T00:00:00"/>
    <s v="Video"/>
    <s v="#AppleEvent"/>
    <n v="20977"/>
    <n v="1402"/>
    <n v="301"/>
    <n v="1284"/>
    <n v="24620"/>
    <n v="128009"/>
    <x v="0"/>
    <n v="0.17717504237983267"/>
  </r>
  <r>
    <s v="A139"/>
    <s v="YouTube"/>
    <d v="2024-10-29T00:00:00"/>
    <s v="Tweet"/>
    <s v="#AppleEvent"/>
    <n v="23969"/>
    <n v="1433"/>
    <n v="372"/>
    <n v="1092"/>
    <n v="32147"/>
    <n v="145823"/>
    <x v="3"/>
    <n v="0.17674852389540743"/>
  </r>
  <r>
    <s v="A139"/>
    <s v="YouTube"/>
    <d v="2024-10-29T00:00:00"/>
    <s v="Tweet"/>
    <s v="#iPhone16"/>
    <n v="23969"/>
    <n v="1433"/>
    <n v="372"/>
    <n v="1092"/>
    <n v="32147"/>
    <n v="145823"/>
    <x v="3"/>
    <n v="0.17674852389540743"/>
  </r>
  <r>
    <s v="A23"/>
    <s v="Twitter"/>
    <d v="2024-11-06T00:00:00"/>
    <s v="Carousel"/>
    <s v="#AppleEvent"/>
    <n v="8938"/>
    <n v="800"/>
    <n v="842"/>
    <n v="2072"/>
    <n v="31736"/>
    <n v="59975"/>
    <x v="1"/>
    <n v="0.17640683618174238"/>
  </r>
  <r>
    <s v="A23"/>
    <s v="Twitter"/>
    <d v="2024-11-06T00:00:00"/>
    <s v="Carousel"/>
    <s v="#iPhone16"/>
    <n v="8938"/>
    <n v="800"/>
    <n v="842"/>
    <n v="2072"/>
    <n v="31736"/>
    <n v="59975"/>
    <x v="1"/>
    <n v="0.17640683618174238"/>
  </r>
  <r>
    <s v="A125"/>
    <s v="Instagram"/>
    <d v="2024-09-08T00:00:00"/>
    <s v="Carousel"/>
    <s v="#AppleWatchUltra2"/>
    <n v="8090"/>
    <n v="570"/>
    <n v="399"/>
    <n v="1862"/>
    <n v="34088"/>
    <n v="52115"/>
    <x v="0"/>
    <n v="0.17382711311522595"/>
  </r>
  <r>
    <s v="A125"/>
    <s v="Instagram"/>
    <d v="2024-09-08T00:00:00"/>
    <s v="Carousel"/>
    <s v="#HealthTech"/>
    <n v="8090"/>
    <n v="570"/>
    <n v="399"/>
    <n v="1862"/>
    <n v="34088"/>
    <n v="52115"/>
    <x v="0"/>
    <n v="0.17382711311522595"/>
  </r>
  <r>
    <s v="A91"/>
    <s v="LinkedIn"/>
    <d v="2025-09-24T00:00:00"/>
    <s v="Tweet"/>
    <s v="#AppleMusic"/>
    <n v="12209"/>
    <n v="222"/>
    <n v="479"/>
    <n v="2748"/>
    <n v="24615"/>
    <n v="74707"/>
    <x v="4"/>
    <n v="0.17280843829895459"/>
  </r>
  <r>
    <s v="A91"/>
    <s v="LinkedIn"/>
    <d v="2025-09-24T00:00:00"/>
    <s v="Tweet"/>
    <s v="#AppleLifestyle"/>
    <n v="12209"/>
    <n v="222"/>
    <n v="479"/>
    <n v="2748"/>
    <n v="24615"/>
    <n v="74707"/>
    <x v="4"/>
    <n v="0.17280843829895459"/>
  </r>
  <r>
    <s v="A44"/>
    <s v="LinkedIn"/>
    <d v="2025-03-02T00:00:00"/>
    <s v="Video"/>
    <s v="#iPhonePhotography"/>
    <n v="22562"/>
    <n v="778"/>
    <n v="907"/>
    <n v="1354"/>
    <n v="34475"/>
    <n v="141459"/>
    <x v="1"/>
    <n v="0.17140655596321194"/>
  </r>
  <r>
    <s v="A44"/>
    <s v="LinkedIn"/>
    <d v="2025-03-02T00:00:00"/>
    <s v="Video"/>
    <s v="#ShotOniPhone"/>
    <n v="22562"/>
    <n v="778"/>
    <n v="907"/>
    <n v="1354"/>
    <n v="34475"/>
    <n v="141459"/>
    <x v="1"/>
    <n v="0.17140655596321194"/>
  </r>
  <r>
    <s v="A276"/>
    <s v="LinkedIn"/>
    <d v="2024-06-07T00:00:00"/>
    <s v="Video"/>
    <s v="#AppleEvent"/>
    <n v="8233"/>
    <n v="436"/>
    <n v="269"/>
    <n v="2037"/>
    <n v="8875"/>
    <n v="52289"/>
    <x v="0"/>
    <n v="0.17093461339861157"/>
  </r>
  <r>
    <s v="A276"/>
    <s v="LinkedIn"/>
    <d v="2024-06-07T00:00:00"/>
    <s v="Video"/>
    <s v="#iPadPro"/>
    <n v="8233"/>
    <n v="436"/>
    <n v="269"/>
    <n v="2037"/>
    <n v="8875"/>
    <n v="52289"/>
    <x v="0"/>
    <n v="0.17093461339861157"/>
  </r>
  <r>
    <s v="A160"/>
    <s v="LinkedIn"/>
    <d v="2024-08-24T00:00:00"/>
    <s v="Tweet"/>
    <s v="#iPhonePhotography"/>
    <n v="22527"/>
    <n v="865"/>
    <n v="646"/>
    <n v="992"/>
    <n v="18654"/>
    <n v="141376"/>
    <x v="2"/>
    <n v="0.17002885921231325"/>
  </r>
  <r>
    <s v="A160"/>
    <s v="LinkedIn"/>
    <d v="2024-08-24T00:00:00"/>
    <s v="Tweet"/>
    <s v="#ShotOniPhone"/>
    <n v="22527"/>
    <n v="865"/>
    <n v="646"/>
    <n v="992"/>
    <n v="18654"/>
    <n v="141376"/>
    <x v="2"/>
    <n v="0.17002885921231325"/>
  </r>
  <r>
    <s v="A158"/>
    <s v="Twitter"/>
    <d v="2024-08-11T00:00:00"/>
    <s v="Carousel"/>
    <s v="#MacBookAirM3"/>
    <n v="14394"/>
    <n v="1202"/>
    <n v="188"/>
    <n v="1259"/>
    <n v="21925"/>
    <n v="94061"/>
    <x v="1"/>
    <n v="0.1678059982351878"/>
  </r>
  <r>
    <s v="A158"/>
    <s v="Twitter"/>
    <d v="2024-08-11T00:00:00"/>
    <s v="Carousel"/>
    <s v="#AppleInnovation"/>
    <n v="14394"/>
    <n v="1202"/>
    <n v="188"/>
    <n v="1259"/>
    <n v="21925"/>
    <n v="94061"/>
    <x v="1"/>
    <n v="0.1678059982351878"/>
  </r>
  <r>
    <s v="A202"/>
    <s v="LinkedIn"/>
    <d v="2025-09-21T00:00:00"/>
    <s v="Image"/>
    <s v="#Sustainability"/>
    <n v="19680"/>
    <n v="999"/>
    <n v="838"/>
    <n v="891"/>
    <n v="29576"/>
    <n v="129152"/>
    <x v="4"/>
    <n v="0.16660214321110009"/>
  </r>
  <r>
    <s v="A202"/>
    <s v="LinkedIn"/>
    <d v="2025-09-21T00:00:00"/>
    <s v="Image"/>
    <s v="#AppleEarth"/>
    <n v="19680"/>
    <n v="999"/>
    <n v="838"/>
    <n v="891"/>
    <n v="29576"/>
    <n v="129152"/>
    <x v="4"/>
    <n v="0.16660214321110009"/>
  </r>
  <r>
    <s v="A73"/>
    <s v="Instagram"/>
    <d v="2025-09-21T00:00:00"/>
    <s v="Video"/>
    <s v="#AppleWatchUltra2"/>
    <n v="23103"/>
    <n v="1380"/>
    <n v="191"/>
    <n v="1547"/>
    <n v="77798"/>
    <n v="148856"/>
    <x v="4"/>
    <n v="0.16575751061428495"/>
  </r>
  <r>
    <s v="A73"/>
    <s v="Instagram"/>
    <d v="2025-09-21T00:00:00"/>
    <s v="Video"/>
    <s v="#HealthTech"/>
    <n v="23103"/>
    <n v="1380"/>
    <n v="191"/>
    <n v="1547"/>
    <n v="77798"/>
    <n v="148856"/>
    <x v="4"/>
    <n v="0.16575751061428495"/>
  </r>
  <r>
    <s v="A221"/>
    <s v="YouTube"/>
    <d v="2025-03-23T00:00:00"/>
    <s v="Carousel"/>
    <s v="#AppleMusic"/>
    <n v="17728"/>
    <n v="1487"/>
    <n v="210"/>
    <n v="2469"/>
    <n v="30565"/>
    <n v="117576"/>
    <x v="0"/>
    <n v="0.16521228822208614"/>
  </r>
  <r>
    <s v="A221"/>
    <s v="YouTube"/>
    <d v="2025-03-23T00:00:00"/>
    <s v="Carousel"/>
    <s v="#AppleLifestyle"/>
    <n v="17728"/>
    <n v="1487"/>
    <n v="210"/>
    <n v="2469"/>
    <n v="30565"/>
    <n v="117576"/>
    <x v="0"/>
    <n v="0.16521228822208614"/>
  </r>
  <r>
    <s v="A285"/>
    <s v="Twitter"/>
    <d v="2024-07-18T00:00:00"/>
    <s v="Video"/>
    <s v="#AppleWatchUltra2"/>
    <n v="16594"/>
    <n v="809"/>
    <n v="784"/>
    <n v="1655"/>
    <n v="35505"/>
    <n v="112588"/>
    <x v="3"/>
    <n v="0.16153586527871533"/>
  </r>
  <r>
    <s v="A285"/>
    <s v="Twitter"/>
    <d v="2024-07-18T00:00:00"/>
    <s v="Video"/>
    <s v="#HealthTech"/>
    <n v="16594"/>
    <n v="809"/>
    <n v="784"/>
    <n v="1655"/>
    <n v="35505"/>
    <n v="112588"/>
    <x v="3"/>
    <n v="0.16153586527871533"/>
  </r>
  <r>
    <s v="A62"/>
    <s v="YouTube"/>
    <d v="2025-09-20T00:00:00"/>
    <s v="Image"/>
    <s v="#AppleEvent"/>
    <n v="18633"/>
    <n v="797"/>
    <n v="303"/>
    <n v="659"/>
    <n v="7"/>
    <n v="122189"/>
    <x v="4"/>
    <n v="0.16149571565361859"/>
  </r>
  <r>
    <s v="A62"/>
    <s v="YouTube"/>
    <d v="2025-09-20T00:00:00"/>
    <s v="Image"/>
    <s v="#iPhone16"/>
    <n v="18633"/>
    <n v="797"/>
    <n v="303"/>
    <n v="659"/>
    <n v="7"/>
    <n v="122189"/>
    <x v="4"/>
    <n v="0.16149571565361859"/>
  </r>
  <r>
    <s v="A75"/>
    <s v="Instagram"/>
    <d v="2024-08-01T00:00:00"/>
    <s v="Image"/>
    <s v="#AppleDesign"/>
    <n v="21758"/>
    <n v="1380"/>
    <n v="188"/>
    <n v="1735"/>
    <n v="20998"/>
    <n v="147803"/>
    <x v="2"/>
    <n v="0.15781817689762725"/>
  </r>
  <r>
    <s v="A75"/>
    <s v="Instagram"/>
    <d v="2024-08-01T00:00:00"/>
    <s v="Image"/>
    <s v="#Innovation"/>
    <n v="21758"/>
    <n v="1380"/>
    <n v="188"/>
    <n v="1735"/>
    <n v="20998"/>
    <n v="147803"/>
    <x v="2"/>
    <n v="0.15781817689762725"/>
  </r>
  <r>
    <s v="A189"/>
    <s v="YouTube"/>
    <d v="2025-03-24T00:00:00"/>
    <s v="Image"/>
    <s v="#ShotOniPhone"/>
    <n v="10172"/>
    <n v="1398"/>
    <n v="394"/>
    <n v="2358"/>
    <n v="59610"/>
    <n v="76321"/>
    <x v="1"/>
    <n v="0.15675895231980713"/>
  </r>
  <r>
    <s v="A50"/>
    <s v="Twitter"/>
    <d v="2024-07-03T00:00:00"/>
    <s v="Tweet"/>
    <s v="#AppleMusic"/>
    <n v="14338"/>
    <n v="1454"/>
    <n v="697"/>
    <n v="2703"/>
    <n v="21288"/>
    <n v="107649"/>
    <x v="1"/>
    <n v="0.1531737405828201"/>
  </r>
  <r>
    <s v="A50"/>
    <s v="Twitter"/>
    <d v="2024-07-03T00:00:00"/>
    <s v="Tweet"/>
    <s v="#AppleLifestyle"/>
    <n v="14338"/>
    <n v="1454"/>
    <n v="697"/>
    <n v="2703"/>
    <n v="21288"/>
    <n v="107649"/>
    <x v="1"/>
    <n v="0.1531737405828201"/>
  </r>
  <r>
    <s v="A132"/>
    <s v="Instagram"/>
    <d v="2025-03-04T00:00:00"/>
    <s v="Video"/>
    <s v="#MacBookAirM3"/>
    <n v="5266"/>
    <n v="316"/>
    <n v="837"/>
    <n v="2276"/>
    <n v="20967"/>
    <n v="41969"/>
    <x v="2"/>
    <n v="0.1529462222116324"/>
  </r>
  <r>
    <s v="A132"/>
    <s v="Instagram"/>
    <d v="2025-03-04T00:00:00"/>
    <s v="Video"/>
    <s v="#AppleInnovation"/>
    <n v="5266"/>
    <n v="316"/>
    <n v="837"/>
    <n v="2276"/>
    <n v="20967"/>
    <n v="41969"/>
    <x v="2"/>
    <n v="0.1529462222116324"/>
  </r>
  <r>
    <s v="A40"/>
    <s v="YouTube"/>
    <d v="2025-09-14T00:00:00"/>
    <s v="Carousel"/>
    <s v="#AppleWatch"/>
    <n v="19844"/>
    <n v="1020"/>
    <n v="247"/>
    <n v="2354"/>
    <n v="37792"/>
    <n v="138317"/>
    <x v="4"/>
    <n v="0.15262765965138053"/>
  </r>
  <r>
    <s v="A40"/>
    <s v="YouTube"/>
    <d v="2025-09-14T00:00:00"/>
    <s v="Carousel"/>
    <s v="#Health"/>
    <n v="19844"/>
    <n v="1020"/>
    <n v="247"/>
    <n v="2354"/>
    <n v="37792"/>
    <n v="138317"/>
    <x v="4"/>
    <n v="0.15262765965138053"/>
  </r>
  <r>
    <s v="A77"/>
    <s v="LinkedIn"/>
    <d v="2025-03-04T00:00:00"/>
    <s v="Carousel"/>
    <s v="#iPhone16Launch"/>
    <n v="13470"/>
    <n v="523"/>
    <n v="280"/>
    <n v="2682"/>
    <n v="8538"/>
    <n v="95204"/>
    <x v="0"/>
    <n v="0.14992017142136885"/>
  </r>
  <r>
    <s v="A77"/>
    <s v="LinkedIn"/>
    <d v="2025-03-04T00:00:00"/>
    <s v="Carousel"/>
    <s v="#AppleEvent"/>
    <n v="13470"/>
    <n v="523"/>
    <n v="280"/>
    <n v="2682"/>
    <n v="8538"/>
    <n v="95204"/>
    <x v="0"/>
    <n v="0.14992017142136885"/>
  </r>
  <r>
    <s v="A264"/>
    <s v="Instagram"/>
    <d v="2025-01-30T00:00:00"/>
    <s v="Tweet"/>
    <s v="#iPhonePhotography"/>
    <n v="12954"/>
    <n v="913"/>
    <n v="722"/>
    <n v="1049"/>
    <n v="475"/>
    <n v="97716"/>
    <x v="0"/>
    <n v="0.14930001228048631"/>
  </r>
  <r>
    <s v="A264"/>
    <s v="Instagram"/>
    <d v="2025-01-30T00:00:00"/>
    <s v="Tweet"/>
    <s v="#ShotOniPhone"/>
    <n v="12954"/>
    <n v="913"/>
    <n v="722"/>
    <n v="1049"/>
    <n v="475"/>
    <n v="97716"/>
    <x v="0"/>
    <n v="0.14930001228048631"/>
  </r>
  <r>
    <s v="A108"/>
    <s v="LinkedIn"/>
    <d v="2025-09-28T00:00:00"/>
    <s v="Carousel"/>
    <s v="#AppleWatch"/>
    <n v="21963"/>
    <n v="1356"/>
    <n v="349"/>
    <n v="1206"/>
    <n v="51755"/>
    <n v="159273"/>
    <x v="4"/>
    <n v="0.14860020216860359"/>
  </r>
  <r>
    <s v="A108"/>
    <s v="LinkedIn"/>
    <d v="2025-09-28T00:00:00"/>
    <s v="Carousel"/>
    <s v="#Health"/>
    <n v="21963"/>
    <n v="1356"/>
    <n v="349"/>
    <n v="1206"/>
    <n v="51755"/>
    <n v="159273"/>
    <x v="4"/>
    <n v="0.14860020216860359"/>
  </r>
  <r>
    <s v="A248"/>
    <s v="Instagram"/>
    <d v="2025-09-14T00:00:00"/>
    <s v="Carousel"/>
    <s v="#AppleEvent"/>
    <n v="12787"/>
    <n v="945"/>
    <n v="974"/>
    <n v="1407"/>
    <n v="4037"/>
    <n v="99182"/>
    <x v="4"/>
    <n v="0.14827287209372669"/>
  </r>
  <r>
    <s v="A248"/>
    <s v="Instagram"/>
    <d v="2025-09-14T00:00:00"/>
    <s v="Carousel"/>
    <s v="#iPhone16"/>
    <n v="12787"/>
    <n v="945"/>
    <n v="974"/>
    <n v="1407"/>
    <n v="4037"/>
    <n v="99182"/>
    <x v="4"/>
    <n v="0.14827287209372669"/>
  </r>
  <r>
    <s v="A104"/>
    <s v="LinkedIn"/>
    <d v="2025-03-23T00:00:00"/>
    <s v="Image"/>
    <s v="#AppleDesign"/>
    <n v="24711"/>
    <n v="882"/>
    <n v="876"/>
    <n v="2728"/>
    <n v="32015"/>
    <n v="180272"/>
    <x v="1"/>
    <n v="0.1468281263867933"/>
  </r>
  <r>
    <s v="A104"/>
    <s v="LinkedIn"/>
    <d v="2025-03-23T00:00:00"/>
    <s v="Image"/>
    <s v="#Innovation"/>
    <n v="24711"/>
    <n v="882"/>
    <n v="876"/>
    <n v="2728"/>
    <n v="32015"/>
    <n v="180272"/>
    <x v="1"/>
    <n v="0.1468281263867933"/>
  </r>
  <r>
    <s v="A242"/>
    <s v="YouTube"/>
    <d v="2025-09-12T00:00:00"/>
    <s v="Video"/>
    <s v="#AppleMusic"/>
    <n v="15918"/>
    <n v="1114"/>
    <n v="392"/>
    <n v="1641"/>
    <n v="28044"/>
    <n v="118714"/>
    <x v="4"/>
    <n v="0.14677291642097814"/>
  </r>
  <r>
    <s v="A242"/>
    <s v="YouTube"/>
    <d v="2025-09-12T00:00:00"/>
    <s v="Video"/>
    <s v="#AppleLifestyle"/>
    <n v="15918"/>
    <n v="1114"/>
    <n v="392"/>
    <n v="1641"/>
    <n v="28044"/>
    <n v="118714"/>
    <x v="4"/>
    <n v="0.14677291642097814"/>
  </r>
  <r>
    <s v="A155"/>
    <s v="Instagram"/>
    <d v="2024-12-21T00:00:00"/>
    <s v="Image"/>
    <s v="#AppleWatchUltra2"/>
    <n v="12453"/>
    <n v="376"/>
    <n v="320"/>
    <n v="2546"/>
    <n v="22617"/>
    <n v="90138"/>
    <x v="3"/>
    <n v="0.14587632297144379"/>
  </r>
  <r>
    <s v="A155"/>
    <s v="Instagram"/>
    <d v="2024-12-21T00:00:00"/>
    <s v="Image"/>
    <s v="#HealthTech"/>
    <n v="12453"/>
    <n v="376"/>
    <n v="320"/>
    <n v="2546"/>
    <n v="22617"/>
    <n v="90138"/>
    <x v="3"/>
    <n v="0.14587632297144379"/>
  </r>
  <r>
    <s v="A232"/>
    <s v="LinkedIn"/>
    <d v="2025-04-29T00:00:00"/>
    <s v="Carousel"/>
    <s v="#AppleWatch"/>
    <n v="16277"/>
    <n v="1109"/>
    <n v="375"/>
    <n v="2225"/>
    <n v="1044"/>
    <n v="121889"/>
    <x v="1"/>
    <n v="0.14571454356012437"/>
  </r>
  <r>
    <s v="A232"/>
    <s v="LinkedIn"/>
    <d v="2025-04-29T00:00:00"/>
    <s v="Carousel"/>
    <s v="#Health"/>
    <n v="16277"/>
    <n v="1109"/>
    <n v="375"/>
    <n v="2225"/>
    <n v="1044"/>
    <n v="121889"/>
    <x v="1"/>
    <n v="0.14571454356012437"/>
  </r>
  <r>
    <s v="A224"/>
    <s v="LinkedIn"/>
    <d v="2025-09-07T00:00:00"/>
    <s v="Tweet"/>
    <s v="#Sustainability"/>
    <n v="4472"/>
    <n v="1301"/>
    <n v="956"/>
    <n v="1186"/>
    <n v="3363"/>
    <n v="46471"/>
    <x v="4"/>
    <n v="0.14479998278496267"/>
  </r>
  <r>
    <s v="A224"/>
    <s v="LinkedIn"/>
    <d v="2025-09-07T00:00:00"/>
    <s v="Tweet"/>
    <s v="#AppleEarth"/>
    <n v="4472"/>
    <n v="1301"/>
    <n v="956"/>
    <n v="1186"/>
    <n v="3363"/>
    <n v="46471"/>
    <x v="4"/>
    <n v="0.14479998278496267"/>
  </r>
  <r>
    <s v="A67"/>
    <s v="LinkedIn"/>
    <d v="2025-03-29T00:00:00"/>
    <s v="Video"/>
    <s v="#AppleWatch"/>
    <n v="19461"/>
    <n v="1382"/>
    <n v="445"/>
    <n v="1307"/>
    <n v="84691"/>
    <n v="151453"/>
    <x v="1"/>
    <n v="0.14055845707909384"/>
  </r>
  <r>
    <s v="A67"/>
    <s v="LinkedIn"/>
    <d v="2025-03-29T00:00:00"/>
    <s v="Video"/>
    <s v="#Health"/>
    <n v="19461"/>
    <n v="1382"/>
    <n v="445"/>
    <n v="1307"/>
    <n v="84691"/>
    <n v="151453"/>
    <x v="1"/>
    <n v="0.14055845707909384"/>
  </r>
  <r>
    <s v="A203"/>
    <s v="YouTube"/>
    <d v="2024-11-21T00:00:00"/>
    <s v="Image"/>
    <s v="#AppleWatch"/>
    <n v="8229"/>
    <n v="977"/>
    <n v="152"/>
    <n v="1633"/>
    <n v="71447"/>
    <n v="67723"/>
    <x v="2"/>
    <n v="0.13818052950991538"/>
  </r>
  <r>
    <s v="A203"/>
    <s v="YouTube"/>
    <d v="2024-11-21T00:00:00"/>
    <s v="Image"/>
    <s v="#Health"/>
    <n v="8229"/>
    <n v="977"/>
    <n v="152"/>
    <n v="1633"/>
    <n v="71447"/>
    <n v="67723"/>
    <x v="2"/>
    <n v="0.13818052950991538"/>
  </r>
  <r>
    <s v="A184"/>
    <s v="YouTube"/>
    <d v="2025-10-13T00:00:00"/>
    <s v="Video"/>
    <s v="#AppleEvent"/>
    <n v="19302"/>
    <n v="1367"/>
    <n v="188"/>
    <n v="637"/>
    <n v="31404"/>
    <n v="154044"/>
    <x v="4"/>
    <n v="0.13539638025499209"/>
  </r>
  <r>
    <s v="A184"/>
    <s v="YouTube"/>
    <d v="2025-10-13T00:00:00"/>
    <s v="Video"/>
    <s v="#iPhone16"/>
    <n v="19302"/>
    <n v="1367"/>
    <n v="188"/>
    <n v="637"/>
    <n v="31404"/>
    <n v="154044"/>
    <x v="4"/>
    <n v="0.13539638025499209"/>
  </r>
  <r>
    <s v="A88"/>
    <s v="Instagram"/>
    <d v="2024-07-07T00:00:00"/>
    <s v="Tweet"/>
    <s v="#MacBookAirM3"/>
    <n v="24625"/>
    <n v="749"/>
    <n v="193"/>
    <n v="1340"/>
    <n v="4890"/>
    <n v="189381"/>
    <x v="0"/>
    <n v="0.13500298340382616"/>
  </r>
  <r>
    <s v="A88"/>
    <s v="Instagram"/>
    <d v="2024-07-07T00:00:00"/>
    <s v="Tweet"/>
    <s v="#AppleInnovation"/>
    <n v="24625"/>
    <n v="749"/>
    <n v="193"/>
    <n v="1340"/>
    <n v="4890"/>
    <n v="189381"/>
    <x v="0"/>
    <n v="0.13500298340382616"/>
  </r>
  <r>
    <s v="A39"/>
    <s v="Instagram"/>
    <d v="2025-09-13T00:00:00"/>
    <s v="Carousel"/>
    <s v="#AppleMusic"/>
    <n v="17106"/>
    <n v="702"/>
    <n v="459"/>
    <n v="999"/>
    <n v="59627"/>
    <n v="136059"/>
    <x v="4"/>
    <n v="0.13425793222058077"/>
  </r>
  <r>
    <s v="A39"/>
    <s v="Instagram"/>
    <d v="2025-09-13T00:00:00"/>
    <s v="Carousel"/>
    <s v="#AppleLifestyle"/>
    <n v="17106"/>
    <n v="702"/>
    <n v="459"/>
    <n v="999"/>
    <n v="59627"/>
    <n v="136059"/>
    <x v="4"/>
    <n v="0.13425793222058077"/>
  </r>
  <r>
    <s v="A168"/>
    <s v="YouTube"/>
    <d v="2024-11-12T00:00:00"/>
    <s v="Image"/>
    <s v="#MacBookAirM3"/>
    <n v="19022"/>
    <n v="541"/>
    <n v="575"/>
    <n v="2063"/>
    <n v="42743"/>
    <n v="150169"/>
    <x v="0"/>
    <n v="0.13410224480418728"/>
  </r>
  <r>
    <s v="A168"/>
    <s v="YouTube"/>
    <d v="2024-11-12T00:00:00"/>
    <s v="Image"/>
    <s v="#AppleInnovation"/>
    <n v="19022"/>
    <n v="541"/>
    <n v="575"/>
    <n v="2063"/>
    <n v="42743"/>
    <n v="150169"/>
    <x v="0"/>
    <n v="0.13410224480418728"/>
  </r>
  <r>
    <s v="A60"/>
    <s v="Instagram"/>
    <d v="2025-01-28T00:00:00"/>
    <s v="Tweet"/>
    <s v="#AppleWatch"/>
    <n v="9239"/>
    <n v="1477"/>
    <n v="631"/>
    <n v="1556"/>
    <n v="11580"/>
    <n v="84738"/>
    <x v="3"/>
    <n v="0.13390686586891359"/>
  </r>
  <r>
    <s v="A60"/>
    <s v="Instagram"/>
    <d v="2025-01-28T00:00:00"/>
    <s v="Tweet"/>
    <s v="#Health"/>
    <n v="9239"/>
    <n v="1477"/>
    <n v="631"/>
    <n v="1556"/>
    <n v="11580"/>
    <n v="84738"/>
    <x v="3"/>
    <n v="0.13390686586891359"/>
  </r>
  <r>
    <s v="A147"/>
    <s v="YouTube"/>
    <d v="2024-10-21T00:00:00"/>
    <s v="Tweet"/>
    <s v="#iPhone16Launch"/>
    <n v="20777"/>
    <n v="962"/>
    <n v="308"/>
    <n v="2777"/>
    <n v="25529"/>
    <n v="165354"/>
    <x v="0"/>
    <n v="0.13333212380710477"/>
  </r>
  <r>
    <s v="A147"/>
    <s v="YouTube"/>
    <d v="2024-10-21T00:00:00"/>
    <s v="Tweet"/>
    <s v="#AppleEvent"/>
    <n v="20777"/>
    <n v="962"/>
    <n v="308"/>
    <n v="2777"/>
    <n v="25529"/>
    <n v="165354"/>
    <x v="0"/>
    <n v="0.13333212380710477"/>
  </r>
  <r>
    <s v="A72"/>
    <s v="Twitter"/>
    <d v="2025-03-03T00:00:00"/>
    <s v="Carousel"/>
    <s v="#AppleEvent"/>
    <n v="24928"/>
    <n v="214"/>
    <n v="765"/>
    <n v="1556"/>
    <n v="5239"/>
    <n v="194571"/>
    <x v="2"/>
    <n v="0.13314933880177415"/>
  </r>
  <r>
    <s v="A72"/>
    <s v="Twitter"/>
    <d v="2025-03-03T00:00:00"/>
    <s v="Carousel"/>
    <s v="#iPhone16"/>
    <n v="24928"/>
    <n v="214"/>
    <n v="765"/>
    <n v="1556"/>
    <n v="5239"/>
    <n v="194571"/>
    <x v="2"/>
    <n v="0.13314933880177415"/>
  </r>
  <r>
    <s v="A265"/>
    <s v="YouTube"/>
    <d v="2025-02-20T00:00:00"/>
    <s v="Carousel"/>
    <s v="#iPhone16Launch"/>
    <n v="15703"/>
    <n v="1381"/>
    <n v="639"/>
    <n v="984"/>
    <n v="10967"/>
    <n v="133747"/>
    <x v="2"/>
    <n v="0.13251138343289942"/>
  </r>
  <r>
    <s v="A265"/>
    <s v="YouTube"/>
    <d v="2025-02-20T00:00:00"/>
    <s v="Carousel"/>
    <s v="#AppleEvent"/>
    <n v="15703"/>
    <n v="1381"/>
    <n v="639"/>
    <n v="984"/>
    <n v="10967"/>
    <n v="133747"/>
    <x v="2"/>
    <n v="0.13251138343289942"/>
  </r>
  <r>
    <s v="A7"/>
    <s v="Instagram"/>
    <d v="2024-06-24T00:00:00"/>
    <s v="Carousel"/>
    <s v="#AppleMusic"/>
    <n v="7713"/>
    <n v="575"/>
    <n v="417"/>
    <n v="336"/>
    <n v="61660"/>
    <n v="66017"/>
    <x v="1"/>
    <n v="0.13185997546086614"/>
  </r>
  <r>
    <s v="A7"/>
    <s v="Instagram"/>
    <d v="2024-06-24T00:00:00"/>
    <s v="Carousel"/>
    <s v="#AppleLifestyle"/>
    <n v="7713"/>
    <n v="575"/>
    <n v="417"/>
    <n v="336"/>
    <n v="61660"/>
    <n v="66017"/>
    <x v="1"/>
    <n v="0.13185997546086614"/>
  </r>
  <r>
    <s v="A100"/>
    <s v="Instagram"/>
    <d v="2025-09-25T00:00:00"/>
    <s v="Image"/>
    <s v="#ShotOniPhone"/>
    <n v="20564"/>
    <n v="1433"/>
    <n v="488"/>
    <n v="1015"/>
    <n v="24333"/>
    <n v="172130"/>
    <x v="4"/>
    <n v="0.13062801371056759"/>
  </r>
  <r>
    <s v="A294"/>
    <s v="Twitter"/>
    <d v="2024-06-19T00:00:00"/>
    <s v="Carousel"/>
    <s v="#iPhonePhotography"/>
    <n v="20444"/>
    <n v="233"/>
    <n v="189"/>
    <n v="2879"/>
    <n v="28185"/>
    <n v="159891"/>
    <x v="1"/>
    <n v="0.13050140408153055"/>
  </r>
  <r>
    <s v="A294"/>
    <s v="Twitter"/>
    <d v="2024-06-19T00:00:00"/>
    <s v="Carousel"/>
    <s v="#ShotOniPhone"/>
    <n v="20444"/>
    <n v="233"/>
    <n v="189"/>
    <n v="2879"/>
    <n v="28185"/>
    <n v="159891"/>
    <x v="1"/>
    <n v="0.13050140408153055"/>
  </r>
  <r>
    <s v="A1"/>
    <s v="YouTube"/>
    <d v="2024-12-23T00:00:00"/>
    <s v="Image"/>
    <s v="#AppleWatchUltra2"/>
    <n v="24516"/>
    <n v="976"/>
    <n v="974"/>
    <n v="2675"/>
    <n v="23275"/>
    <n v="202932"/>
    <x v="0"/>
    <n v="0.13041807107799658"/>
  </r>
  <r>
    <s v="A1"/>
    <s v="YouTube"/>
    <d v="2024-12-23T00:00:00"/>
    <s v="Image"/>
    <s v="#HealthTech"/>
    <n v="24516"/>
    <n v="976"/>
    <n v="974"/>
    <n v="2675"/>
    <n v="23275"/>
    <n v="202932"/>
    <x v="0"/>
    <n v="0.13041807107799658"/>
  </r>
  <r>
    <s v="A84"/>
    <s v="LinkedIn"/>
    <d v="2024-12-09T00:00:00"/>
    <s v="Image"/>
    <s v="#MacBookAirM3"/>
    <n v="15051"/>
    <n v="268"/>
    <n v="251"/>
    <n v="783"/>
    <n v="34154"/>
    <n v="119671"/>
    <x v="1"/>
    <n v="0.13010670922779954"/>
  </r>
  <r>
    <s v="A84"/>
    <s v="LinkedIn"/>
    <d v="2024-12-09T00:00:00"/>
    <s v="Image"/>
    <s v="#AppleInnovation"/>
    <n v="15051"/>
    <n v="268"/>
    <n v="251"/>
    <n v="783"/>
    <n v="34154"/>
    <n v="119671"/>
    <x v="1"/>
    <n v="0.13010670922779954"/>
  </r>
  <r>
    <s v="A53"/>
    <s v="YouTube"/>
    <d v="2025-02-24T00:00:00"/>
    <s v="Image"/>
    <s v="#AppleEvent"/>
    <n v="23949"/>
    <n v="356"/>
    <n v="616"/>
    <n v="1847"/>
    <n v="3144"/>
    <n v="192999"/>
    <x v="1"/>
    <n v="0.12912502137316773"/>
  </r>
  <r>
    <s v="A53"/>
    <s v="YouTube"/>
    <d v="2025-02-24T00:00:00"/>
    <s v="Image"/>
    <s v="#iPhone16"/>
    <n v="23949"/>
    <n v="356"/>
    <n v="616"/>
    <n v="1847"/>
    <n v="3144"/>
    <n v="192999"/>
    <x v="1"/>
    <n v="0.12912502137316773"/>
  </r>
  <r>
    <s v="A138"/>
    <s v="Instagram"/>
    <d v="2025-03-29T00:00:00"/>
    <s v="Carousel"/>
    <s v="#AppleDesign"/>
    <n v="23508"/>
    <n v="585"/>
    <n v="743"/>
    <n v="2155"/>
    <n v="3704"/>
    <n v="194268"/>
    <x v="1"/>
    <n v="0.1278440093067309"/>
  </r>
  <r>
    <s v="A138"/>
    <s v="Instagram"/>
    <d v="2025-03-29T00:00:00"/>
    <s v="Carousel"/>
    <s v="#Innovation"/>
    <n v="23508"/>
    <n v="585"/>
    <n v="743"/>
    <n v="2155"/>
    <n v="3704"/>
    <n v="194268"/>
    <x v="1"/>
    <n v="0.1278440093067309"/>
  </r>
  <r>
    <s v="A194"/>
    <s v="YouTube"/>
    <d v="2024-10-02T00:00:00"/>
    <s v="Video"/>
    <s v="#AppleMusic"/>
    <n v="5086"/>
    <n v="1336"/>
    <n v="897"/>
    <n v="1715"/>
    <n v="60592"/>
    <n v="57772"/>
    <x v="3"/>
    <n v="0.12668766876687668"/>
  </r>
  <r>
    <s v="A194"/>
    <s v="YouTube"/>
    <d v="2024-10-02T00:00:00"/>
    <s v="Video"/>
    <s v="#AppleLifestyle"/>
    <n v="5086"/>
    <n v="1336"/>
    <n v="897"/>
    <n v="1715"/>
    <n v="60592"/>
    <n v="57772"/>
    <x v="3"/>
    <n v="0.12668766876687668"/>
  </r>
  <r>
    <s v="A135"/>
    <s v="YouTube"/>
    <d v="2024-11-28T00:00:00"/>
    <s v="Carousel"/>
    <s v="#iPhone16Launch"/>
    <n v="19055"/>
    <n v="443"/>
    <n v="976"/>
    <n v="869"/>
    <n v="75437"/>
    <n v="161863"/>
    <x v="3"/>
    <n v="0.12648968572187591"/>
  </r>
  <r>
    <s v="A135"/>
    <s v="YouTube"/>
    <d v="2024-11-28T00:00:00"/>
    <s v="Carousel"/>
    <s v="#AppleEvent"/>
    <n v="19055"/>
    <n v="443"/>
    <n v="976"/>
    <n v="869"/>
    <n v="75437"/>
    <n v="161863"/>
    <x v="3"/>
    <n v="0.12648968572187591"/>
  </r>
  <r>
    <s v="A205"/>
    <s v="LinkedIn"/>
    <d v="2025-09-23T00:00:00"/>
    <s v="Tweet"/>
    <s v="#AppleEvent"/>
    <n v="17147"/>
    <n v="286"/>
    <n v="291"/>
    <n v="2439"/>
    <n v="45631"/>
    <n v="140494"/>
    <x v="4"/>
    <n v="0.12615485358805359"/>
  </r>
  <r>
    <s v="A205"/>
    <s v="LinkedIn"/>
    <d v="2025-09-23T00:00:00"/>
    <s v="Tweet"/>
    <s v="#iPhone16"/>
    <n v="17147"/>
    <n v="286"/>
    <n v="291"/>
    <n v="2439"/>
    <n v="45631"/>
    <n v="140494"/>
    <x v="4"/>
    <n v="0.12615485358805359"/>
  </r>
  <r>
    <s v="A24"/>
    <s v="LinkedIn"/>
    <d v="2025-01-23T00:00:00"/>
    <s v="Video"/>
    <s v="#iPhone16Launch"/>
    <n v="23168"/>
    <n v="1265"/>
    <n v="441"/>
    <n v="1612"/>
    <n v="66615"/>
    <n v="197795"/>
    <x v="1"/>
    <n v="0.12575646502692181"/>
  </r>
  <r>
    <s v="A24"/>
    <s v="LinkedIn"/>
    <d v="2025-01-23T00:00:00"/>
    <s v="Video"/>
    <s v="#AppleEvent"/>
    <n v="23168"/>
    <n v="1265"/>
    <n v="441"/>
    <n v="1612"/>
    <n v="66615"/>
    <n v="197795"/>
    <x v="1"/>
    <n v="0.12575646502692181"/>
  </r>
  <r>
    <s v="A271"/>
    <s v="Twitter"/>
    <d v="2024-10-17T00:00:00"/>
    <s v="Video"/>
    <s v="#AppleDesign"/>
    <n v="18608"/>
    <n v="1338"/>
    <n v="365"/>
    <n v="2289"/>
    <n v="20785"/>
    <n v="161999"/>
    <x v="0"/>
    <n v="0.12537731714393299"/>
  </r>
  <r>
    <s v="A271"/>
    <s v="Twitter"/>
    <d v="2024-10-17T00:00:00"/>
    <s v="Video"/>
    <s v="#Innovation"/>
    <n v="18608"/>
    <n v="1338"/>
    <n v="365"/>
    <n v="2289"/>
    <n v="20785"/>
    <n v="161999"/>
    <x v="0"/>
    <n v="0.12537731714393299"/>
  </r>
  <r>
    <s v="A131"/>
    <s v="LinkedIn"/>
    <d v="2024-10-21T00:00:00"/>
    <s v="Image"/>
    <s v="#iPhone16Launch"/>
    <n v="20271"/>
    <n v="512"/>
    <n v="286"/>
    <n v="1982"/>
    <n v="43225"/>
    <n v="168335"/>
    <x v="1"/>
    <n v="0.12516113701844536"/>
  </r>
  <r>
    <s v="A131"/>
    <s v="LinkedIn"/>
    <d v="2024-10-21T00:00:00"/>
    <s v="Image"/>
    <s v="#AppleEvent"/>
    <n v="20271"/>
    <n v="512"/>
    <n v="286"/>
    <n v="1982"/>
    <n v="43225"/>
    <n v="168335"/>
    <x v="1"/>
    <n v="0.12516113701844536"/>
  </r>
  <r>
    <s v="A36"/>
    <s v="Instagram"/>
    <d v="2025-04-19T00:00:00"/>
    <s v="Carousel"/>
    <s v="#MacBookProM3"/>
    <n v="20384"/>
    <n v="344"/>
    <n v="956"/>
    <n v="655"/>
    <n v="67621"/>
    <n v="175720"/>
    <x v="3"/>
    <n v="0.12340086501251991"/>
  </r>
  <r>
    <s v="A144"/>
    <s v="LinkedIn"/>
    <d v="2024-10-28T00:00:00"/>
    <s v="Carousel"/>
    <s v="#iPhonePhotography"/>
    <n v="8981"/>
    <n v="1138"/>
    <n v="764"/>
    <n v="2555"/>
    <n v="92810"/>
    <n v="88320"/>
    <x v="2"/>
    <n v="0.1232223731884058"/>
  </r>
  <r>
    <s v="A144"/>
    <s v="LinkedIn"/>
    <d v="2024-10-28T00:00:00"/>
    <s v="Carousel"/>
    <s v="#ShotOniPhone"/>
    <n v="8981"/>
    <n v="1138"/>
    <n v="764"/>
    <n v="2555"/>
    <n v="92810"/>
    <n v="88320"/>
    <x v="2"/>
    <n v="0.1232223731884058"/>
  </r>
  <r>
    <s v="A157"/>
    <s v="YouTube"/>
    <d v="2024-07-23T00:00:00"/>
    <s v="Video"/>
    <s v="#iPhonePhotography"/>
    <n v="24877"/>
    <n v="262"/>
    <n v="513"/>
    <n v="648"/>
    <n v="47544"/>
    <n v="208280"/>
    <x v="3"/>
    <n v="0.12316112924908777"/>
  </r>
  <r>
    <s v="A157"/>
    <s v="YouTube"/>
    <d v="2024-07-23T00:00:00"/>
    <s v="Video"/>
    <s v="#ShotOniPhone"/>
    <n v="24877"/>
    <n v="262"/>
    <n v="513"/>
    <n v="648"/>
    <n v="47544"/>
    <n v="208280"/>
    <x v="3"/>
    <n v="0.12316112924908777"/>
  </r>
  <r>
    <s v="A109"/>
    <s v="Twitter"/>
    <d v="2024-08-08T00:00:00"/>
    <s v="Carousel"/>
    <s v="#AppleWatch"/>
    <n v="24355"/>
    <n v="1087"/>
    <n v="686"/>
    <n v="2426"/>
    <n v="24963"/>
    <n v="212307"/>
    <x v="0"/>
    <n v="0.1230670679723231"/>
  </r>
  <r>
    <s v="A109"/>
    <s v="Twitter"/>
    <d v="2024-08-08T00:00:00"/>
    <s v="Carousel"/>
    <s v="#Health"/>
    <n v="24355"/>
    <n v="1087"/>
    <n v="686"/>
    <n v="2426"/>
    <n v="24963"/>
    <n v="212307"/>
    <x v="0"/>
    <n v="0.1230670679723231"/>
  </r>
  <r>
    <s v="A217"/>
    <s v="LinkedIn"/>
    <d v="2025-09-26T00:00:00"/>
    <s v="Carousel"/>
    <s v="#AppleWatchUltra2"/>
    <n v="16369"/>
    <n v="1452"/>
    <n v="493"/>
    <n v="1217"/>
    <n v="91440"/>
    <n v="149834"/>
    <x v="4"/>
    <n v="0.12222859965027964"/>
  </r>
  <r>
    <s v="A217"/>
    <s v="LinkedIn"/>
    <d v="2025-09-26T00:00:00"/>
    <s v="Carousel"/>
    <s v="#HealthTech"/>
    <n v="16369"/>
    <n v="1452"/>
    <n v="493"/>
    <n v="1217"/>
    <n v="91440"/>
    <n v="149834"/>
    <x v="4"/>
    <n v="0.12222859965027964"/>
  </r>
  <r>
    <s v="A66"/>
    <s v="Twitter"/>
    <d v="2024-07-26T00:00:00"/>
    <s v="Tweet"/>
    <s v="#AppleWatch"/>
    <n v="12176"/>
    <n v="1005"/>
    <n v="862"/>
    <n v="974"/>
    <n v="2285"/>
    <n v="116619"/>
    <x v="1"/>
    <n v="0.12041777068916729"/>
  </r>
  <r>
    <s v="A66"/>
    <s v="Twitter"/>
    <d v="2024-07-26T00:00:00"/>
    <s v="Tweet"/>
    <s v="#Health"/>
    <n v="12176"/>
    <n v="1005"/>
    <n v="862"/>
    <n v="974"/>
    <n v="2285"/>
    <n v="116619"/>
    <x v="1"/>
    <n v="0.12041777068916729"/>
  </r>
  <r>
    <s v="A228"/>
    <s v="Twitter"/>
    <d v="2024-07-01T00:00:00"/>
    <s v="Video"/>
    <s v="#AppleDesign"/>
    <n v="3761"/>
    <n v="651"/>
    <n v="493"/>
    <n v="2294"/>
    <n v="71696"/>
    <n v="41177"/>
    <x v="0"/>
    <n v="0.11911989702989532"/>
  </r>
  <r>
    <s v="A228"/>
    <s v="Twitter"/>
    <d v="2024-07-01T00:00:00"/>
    <s v="Video"/>
    <s v="#Innovation"/>
    <n v="3761"/>
    <n v="651"/>
    <n v="493"/>
    <n v="2294"/>
    <n v="71696"/>
    <n v="41177"/>
    <x v="0"/>
    <n v="0.11911989702989532"/>
  </r>
  <r>
    <s v="A234"/>
    <s v="LinkedIn"/>
    <d v="2024-06-01T00:00:00"/>
    <s v="Image"/>
    <s v="#AppleMusic"/>
    <n v="19844"/>
    <n v="1022"/>
    <n v="860"/>
    <n v="2570"/>
    <n v="23719"/>
    <n v="182628"/>
    <x v="3"/>
    <n v="0.11896313818253498"/>
  </r>
  <r>
    <s v="A234"/>
    <s v="LinkedIn"/>
    <d v="2024-06-01T00:00:00"/>
    <s v="Image"/>
    <s v="#AppleLifestyle"/>
    <n v="19844"/>
    <n v="1022"/>
    <n v="860"/>
    <n v="2570"/>
    <n v="23719"/>
    <n v="182628"/>
    <x v="3"/>
    <n v="0.11896313818253498"/>
  </r>
  <r>
    <s v="A107"/>
    <s v="Twitter"/>
    <d v="2024-06-21T00:00:00"/>
    <s v="Video"/>
    <s v="#AppleEvent"/>
    <n v="21216"/>
    <n v="1207"/>
    <n v="859"/>
    <n v="328"/>
    <n v="91296"/>
    <n v="196683"/>
    <x v="3"/>
    <n v="0.1183732198512327"/>
  </r>
  <r>
    <s v="A107"/>
    <s v="Twitter"/>
    <d v="2024-06-21T00:00:00"/>
    <s v="Video"/>
    <s v="#iPadPro"/>
    <n v="21216"/>
    <n v="1207"/>
    <n v="859"/>
    <n v="328"/>
    <n v="91296"/>
    <n v="196683"/>
    <x v="3"/>
    <n v="0.1183732198512327"/>
  </r>
  <r>
    <s v="A63"/>
    <s v="Instagram"/>
    <d v="2024-07-31T00:00:00"/>
    <s v="Image"/>
    <s v="#AppleWatchUltra2"/>
    <n v="12357"/>
    <n v="716"/>
    <n v="599"/>
    <n v="999"/>
    <n v="89591"/>
    <n v="116367"/>
    <x v="0"/>
    <n v="0.11749035379446063"/>
  </r>
  <r>
    <s v="A63"/>
    <s v="Instagram"/>
    <d v="2024-07-31T00:00:00"/>
    <s v="Image"/>
    <s v="#HealthTech"/>
    <n v="12357"/>
    <n v="716"/>
    <n v="599"/>
    <n v="999"/>
    <n v="89591"/>
    <n v="116367"/>
    <x v="0"/>
    <n v="0.11749035379446063"/>
  </r>
  <r>
    <s v="A204"/>
    <s v="Instagram"/>
    <d v="2025-09-22T00:00:00"/>
    <s v="Carousel"/>
    <s v="#ShotOniPhone"/>
    <n v="18509"/>
    <n v="361"/>
    <n v="578"/>
    <n v="1409"/>
    <n v="10569"/>
    <n v="166969"/>
    <x v="4"/>
    <n v="0.11647671124580011"/>
  </r>
  <r>
    <s v="A250"/>
    <s v="YouTube"/>
    <d v="2024-06-22T00:00:00"/>
    <s v="Tweet"/>
    <s v="#AppleWatch"/>
    <n v="7342"/>
    <n v="906"/>
    <n v="902"/>
    <n v="1199"/>
    <n v="68488"/>
    <n v="79310"/>
    <x v="0"/>
    <n v="0.1153700668263775"/>
  </r>
  <r>
    <s v="A250"/>
    <s v="YouTube"/>
    <d v="2024-06-22T00:00:00"/>
    <s v="Tweet"/>
    <s v="#Health"/>
    <n v="7342"/>
    <n v="906"/>
    <n v="902"/>
    <n v="1199"/>
    <n v="68488"/>
    <n v="79310"/>
    <x v="0"/>
    <n v="0.1153700668263775"/>
  </r>
  <r>
    <s v="A95"/>
    <s v="Twitter"/>
    <d v="2024-11-08T00:00:00"/>
    <s v="Tweet"/>
    <s v="#AppleEvent"/>
    <n v="23499"/>
    <n v="562"/>
    <n v="964"/>
    <n v="2557"/>
    <n v="56890"/>
    <n v="218686"/>
    <x v="1"/>
    <n v="0.11443347996671026"/>
  </r>
  <r>
    <s v="A95"/>
    <s v="Twitter"/>
    <d v="2024-11-08T00:00:00"/>
    <s v="Tweet"/>
    <s v="#iPadPro"/>
    <n v="23499"/>
    <n v="562"/>
    <n v="964"/>
    <n v="2557"/>
    <n v="56890"/>
    <n v="218686"/>
    <x v="1"/>
    <n v="0.11443347996671026"/>
  </r>
  <r>
    <s v="A143"/>
    <s v="LinkedIn"/>
    <d v="2024-10-02T00:00:00"/>
    <s v="Image"/>
    <s v="#AppleDesign"/>
    <n v="15716"/>
    <n v="839"/>
    <n v="639"/>
    <n v="2839"/>
    <n v="349"/>
    <n v="150677"/>
    <x v="3"/>
    <n v="0.11411164278556117"/>
  </r>
  <r>
    <s v="A143"/>
    <s v="LinkedIn"/>
    <d v="2024-10-02T00:00:00"/>
    <s v="Image"/>
    <s v="#Innovation"/>
    <n v="15716"/>
    <n v="839"/>
    <n v="639"/>
    <n v="2839"/>
    <n v="349"/>
    <n v="150677"/>
    <x v="3"/>
    <n v="0.11411164278556117"/>
  </r>
  <r>
    <s v="A98"/>
    <s v="LinkedIn"/>
    <d v="2024-06-10T00:00:00"/>
    <s v="Video"/>
    <s v="#AppleMusic"/>
    <n v="21561"/>
    <n v="340"/>
    <n v="741"/>
    <n v="986"/>
    <n v="24826"/>
    <n v="198492"/>
    <x v="0"/>
    <n v="0.11407008846704149"/>
  </r>
  <r>
    <s v="A98"/>
    <s v="LinkedIn"/>
    <d v="2024-06-10T00:00:00"/>
    <s v="Video"/>
    <s v="#AppleLifestyle"/>
    <n v="21561"/>
    <n v="340"/>
    <n v="741"/>
    <n v="986"/>
    <n v="24826"/>
    <n v="198492"/>
    <x v="0"/>
    <n v="0.11407008846704149"/>
  </r>
  <r>
    <s v="A161"/>
    <s v="YouTube"/>
    <d v="2025-10-06T00:00:00"/>
    <s v="Video"/>
    <s v="#AppleDesign"/>
    <n v="22028"/>
    <n v="355"/>
    <n v="665"/>
    <n v="1859"/>
    <n v="50565"/>
    <n v="202962"/>
    <x v="4"/>
    <n v="0.11355820301337197"/>
  </r>
  <r>
    <s v="A161"/>
    <s v="YouTube"/>
    <d v="2025-10-06T00:00:00"/>
    <s v="Video"/>
    <s v="#Innovation"/>
    <n v="22028"/>
    <n v="355"/>
    <n v="665"/>
    <n v="1859"/>
    <n v="50565"/>
    <n v="202962"/>
    <x v="4"/>
    <n v="0.11355820301337197"/>
  </r>
  <r>
    <s v="A27"/>
    <s v="Twitter"/>
    <d v="2024-09-17T00:00:00"/>
    <s v="Tweet"/>
    <s v="#iPhone16Launch"/>
    <n v="20017"/>
    <n v="495"/>
    <n v="178"/>
    <n v="2683"/>
    <n v="32244"/>
    <n v="182633"/>
    <x v="0"/>
    <n v="0.11328730295182141"/>
  </r>
  <r>
    <s v="A27"/>
    <s v="Twitter"/>
    <d v="2024-09-17T00:00:00"/>
    <s v="Tweet"/>
    <s v="#AppleEvent"/>
    <n v="20017"/>
    <n v="495"/>
    <n v="178"/>
    <n v="2683"/>
    <n v="32244"/>
    <n v="182633"/>
    <x v="0"/>
    <n v="0.11328730295182141"/>
  </r>
  <r>
    <s v="A128"/>
    <s v="Instagram"/>
    <d v="2025-01-10T00:00:00"/>
    <s v="Carousel"/>
    <s v="#iPhonePhotography"/>
    <n v="14647"/>
    <n v="1168"/>
    <n v="484"/>
    <n v="2650"/>
    <n v="27217"/>
    <n v="144061"/>
    <x v="1"/>
    <n v="0.11313957281984714"/>
  </r>
  <r>
    <s v="A128"/>
    <s v="Instagram"/>
    <d v="2025-01-10T00:00:00"/>
    <s v="Carousel"/>
    <s v="#ShotOniPhone"/>
    <n v="14647"/>
    <n v="1168"/>
    <n v="484"/>
    <n v="2650"/>
    <n v="27217"/>
    <n v="144061"/>
    <x v="1"/>
    <n v="0.11313957281984714"/>
  </r>
  <r>
    <s v="A159"/>
    <s v="Instagram"/>
    <d v="2025-10-05T00:00:00"/>
    <s v="Tweet"/>
    <s v="#AppleMusic"/>
    <n v="21262"/>
    <n v="861"/>
    <n v="676"/>
    <n v="2263"/>
    <n v="12085"/>
    <n v="201731"/>
    <x v="4"/>
    <n v="0.11301683925623726"/>
  </r>
  <r>
    <s v="A159"/>
    <s v="Instagram"/>
    <d v="2025-10-05T00:00:00"/>
    <s v="Tweet"/>
    <s v="#AppleLifestyle"/>
    <n v="21262"/>
    <n v="861"/>
    <n v="676"/>
    <n v="2263"/>
    <n v="12085"/>
    <n v="201731"/>
    <x v="4"/>
    <n v="0.11301683925623726"/>
  </r>
  <r>
    <s v="A195"/>
    <s v="YouTube"/>
    <d v="2024-08-15T00:00:00"/>
    <s v="Image"/>
    <s v="#iPhone16Launch"/>
    <n v="15503"/>
    <n v="313"/>
    <n v="388"/>
    <n v="1078"/>
    <n v="11500"/>
    <n v="143754"/>
    <x v="1"/>
    <n v="0.1127203416948398"/>
  </r>
  <r>
    <s v="A195"/>
    <s v="YouTube"/>
    <d v="2024-08-15T00:00:00"/>
    <s v="Image"/>
    <s v="#AppleEvent"/>
    <n v="15503"/>
    <n v="313"/>
    <n v="388"/>
    <n v="1078"/>
    <n v="11500"/>
    <n v="143754"/>
    <x v="1"/>
    <n v="0.1127203416948398"/>
  </r>
  <r>
    <s v="A71"/>
    <s v="Twitter"/>
    <d v="2024-09-02T00:00:00"/>
    <s v="Carousel"/>
    <s v="#AppleEvent"/>
    <n v="12040"/>
    <n v="1147"/>
    <n v="210"/>
    <n v="885"/>
    <n v="30360"/>
    <n v="119530"/>
    <x v="1"/>
    <n v="0.1120806492094035"/>
  </r>
  <r>
    <s v="A71"/>
    <s v="Twitter"/>
    <d v="2024-09-02T00:00:00"/>
    <s v="Carousel"/>
    <s v="#iPadPro"/>
    <n v="12040"/>
    <n v="1147"/>
    <n v="210"/>
    <n v="885"/>
    <n v="30360"/>
    <n v="119530"/>
    <x v="1"/>
    <n v="0.1120806492094035"/>
  </r>
  <r>
    <s v="A92"/>
    <s v="LinkedIn"/>
    <d v="2024-10-21T00:00:00"/>
    <s v="Tweet"/>
    <s v="#MacBookAirM3"/>
    <n v="19715"/>
    <n v="1014"/>
    <n v="718"/>
    <n v="1185"/>
    <n v="37625"/>
    <n v="191409"/>
    <x v="0"/>
    <n v="0.11204802282024356"/>
  </r>
  <r>
    <s v="A92"/>
    <s v="LinkedIn"/>
    <d v="2024-10-21T00:00:00"/>
    <s v="Tweet"/>
    <s v="#AppleInnovation"/>
    <n v="19715"/>
    <n v="1014"/>
    <n v="718"/>
    <n v="1185"/>
    <n v="37625"/>
    <n v="191409"/>
    <x v="0"/>
    <n v="0.11204802282024356"/>
  </r>
  <r>
    <s v="A225"/>
    <s v="Twitter"/>
    <d v="2024-06-20T00:00:00"/>
    <s v="Video"/>
    <s v="#AppleWatch"/>
    <n v="21123"/>
    <n v="1343"/>
    <n v="589"/>
    <n v="727"/>
    <n v="87833"/>
    <n v="206703"/>
    <x v="0"/>
    <n v="0.11153684271636116"/>
  </r>
  <r>
    <s v="A225"/>
    <s v="Twitter"/>
    <d v="2024-06-20T00:00:00"/>
    <s v="Video"/>
    <s v="#Health"/>
    <n v="21123"/>
    <n v="1343"/>
    <n v="589"/>
    <n v="727"/>
    <n v="87833"/>
    <n v="206703"/>
    <x v="0"/>
    <n v="0.11153684271636116"/>
  </r>
  <r>
    <s v="A19"/>
    <s v="LinkedIn"/>
    <d v="2024-06-23T00:00:00"/>
    <s v="Tweet"/>
    <s v="#AppleEvent"/>
    <n v="16512"/>
    <n v="1050"/>
    <n v="971"/>
    <n v="1891"/>
    <n v="15865"/>
    <n v="166503"/>
    <x v="1"/>
    <n v="0.1113073037723044"/>
  </r>
  <r>
    <s v="A19"/>
    <s v="LinkedIn"/>
    <d v="2024-06-23T00:00:00"/>
    <s v="Tweet"/>
    <s v="#iPhone16"/>
    <n v="16512"/>
    <n v="1050"/>
    <n v="971"/>
    <n v="1891"/>
    <n v="15865"/>
    <n v="166503"/>
    <x v="1"/>
    <n v="0.1113073037723044"/>
  </r>
  <r>
    <s v="A3"/>
    <s v="Instagram"/>
    <d v="2025-05-12T00:00:00"/>
    <s v="Tweet"/>
    <s v="#AppleDesign"/>
    <n v="19308"/>
    <n v="1318"/>
    <n v="795"/>
    <n v="1499"/>
    <n v="52307"/>
    <n v="193087"/>
    <x v="3"/>
    <n v="0.11093962825047776"/>
  </r>
  <r>
    <s v="A3"/>
    <s v="Instagram"/>
    <d v="2025-05-12T00:00:00"/>
    <s v="Tweet"/>
    <s v="#Innovation"/>
    <n v="19308"/>
    <n v="1318"/>
    <n v="795"/>
    <n v="1499"/>
    <n v="52307"/>
    <n v="193087"/>
    <x v="3"/>
    <n v="0.11093962825047776"/>
  </r>
  <r>
    <s v="A146"/>
    <s v="YouTube"/>
    <d v="2024-06-05T00:00:00"/>
    <s v="Tweet"/>
    <s v="#iPhonePhotography"/>
    <n v="18907"/>
    <n v="1075"/>
    <n v="675"/>
    <n v="1383"/>
    <n v="17875"/>
    <n v="186649"/>
    <x v="0"/>
    <n v="0.11067297440650634"/>
  </r>
  <r>
    <s v="A146"/>
    <s v="YouTube"/>
    <d v="2024-06-05T00:00:00"/>
    <s v="Tweet"/>
    <s v="#ShotOniPhone"/>
    <n v="18907"/>
    <n v="1075"/>
    <n v="675"/>
    <n v="1383"/>
    <n v="17875"/>
    <n v="186649"/>
    <x v="0"/>
    <n v="0.11067297440650634"/>
  </r>
  <r>
    <s v="A284"/>
    <s v="YouTube"/>
    <d v="2024-09-17T00:00:00"/>
    <s v="Video"/>
    <s v="#AppleMusic"/>
    <n v="20410"/>
    <n v="1332"/>
    <n v="472"/>
    <n v="1202"/>
    <n v="9418"/>
    <n v="200806"/>
    <x v="0"/>
    <n v="0.11062418453631864"/>
  </r>
  <r>
    <s v="A284"/>
    <s v="YouTube"/>
    <d v="2024-09-17T00:00:00"/>
    <s v="Video"/>
    <s v="#AppleLifestyle"/>
    <n v="20410"/>
    <n v="1332"/>
    <n v="472"/>
    <n v="1202"/>
    <n v="9418"/>
    <n v="200806"/>
    <x v="0"/>
    <n v="0.11062418453631864"/>
  </r>
  <r>
    <s v="A235"/>
    <s v="LinkedIn"/>
    <d v="2024-12-22T00:00:00"/>
    <s v="Tweet"/>
    <s v="#AppleEvent"/>
    <n v="20117"/>
    <n v="1143"/>
    <n v="713"/>
    <n v="1739"/>
    <n v="34444"/>
    <n v="198670"/>
    <x v="2"/>
    <n v="0.11060049328031409"/>
  </r>
  <r>
    <s v="A235"/>
    <s v="LinkedIn"/>
    <d v="2024-12-22T00:00:00"/>
    <s v="Tweet"/>
    <s v="#iPadPro"/>
    <n v="20117"/>
    <n v="1143"/>
    <n v="713"/>
    <n v="1739"/>
    <n v="34444"/>
    <n v="198670"/>
    <x v="2"/>
    <n v="0.11060049328031409"/>
  </r>
  <r>
    <s v="A282"/>
    <s v="LinkedIn"/>
    <d v="2024-10-03T00:00:00"/>
    <s v="Image"/>
    <s v="#AppleEvent"/>
    <n v="22618"/>
    <n v="641"/>
    <n v="416"/>
    <n v="1530"/>
    <n v="18395"/>
    <n v="215211"/>
    <x v="2"/>
    <n v="0.1100083174187193"/>
  </r>
  <r>
    <s v="A282"/>
    <s v="LinkedIn"/>
    <d v="2024-10-03T00:00:00"/>
    <s v="Image"/>
    <s v="#iPadPro"/>
    <n v="22618"/>
    <n v="641"/>
    <n v="416"/>
    <n v="1530"/>
    <n v="18395"/>
    <n v="215211"/>
    <x v="2"/>
    <n v="0.1100083174187193"/>
  </r>
  <r>
    <s v="A258"/>
    <s v="Twitter"/>
    <d v="2024-08-05T00:00:00"/>
    <s v="Video"/>
    <s v="#AppleWatchUltra2"/>
    <n v="20935"/>
    <n v="1104"/>
    <n v="876"/>
    <n v="1270"/>
    <n v="21454"/>
    <n v="208722"/>
    <x v="3"/>
    <n v="0.10978718103506099"/>
  </r>
  <r>
    <s v="A258"/>
    <s v="Twitter"/>
    <d v="2024-08-05T00:00:00"/>
    <s v="Video"/>
    <s v="#HealthTech"/>
    <n v="20935"/>
    <n v="1104"/>
    <n v="876"/>
    <n v="1270"/>
    <n v="21454"/>
    <n v="208722"/>
    <x v="3"/>
    <n v="0.10978718103506099"/>
  </r>
  <r>
    <s v="A153"/>
    <s v="Instagram"/>
    <d v="2025-01-01T00:00:00"/>
    <s v="Video"/>
    <s v="#MacBookAirM3"/>
    <n v="24574"/>
    <n v="909"/>
    <n v="280"/>
    <n v="2009"/>
    <n v="6221"/>
    <n v="236910"/>
    <x v="2"/>
    <n v="0.10874593727575872"/>
  </r>
  <r>
    <s v="A153"/>
    <s v="Instagram"/>
    <d v="2025-01-01T00:00:00"/>
    <s v="Video"/>
    <s v="#AppleInnovation"/>
    <n v="24574"/>
    <n v="909"/>
    <n v="280"/>
    <n v="2009"/>
    <n v="6221"/>
    <n v="236910"/>
    <x v="2"/>
    <n v="0.10874593727575872"/>
  </r>
  <r>
    <s v="A33"/>
    <s v="LinkedIn"/>
    <d v="2025-09-11T00:00:00"/>
    <s v="Carousel"/>
    <s v="#iPhone16Launch"/>
    <n v="10175"/>
    <n v="342"/>
    <n v="825"/>
    <n v="2904"/>
    <n v="15954"/>
    <n v="104324"/>
    <x v="4"/>
    <n v="0.10871899083624094"/>
  </r>
  <r>
    <s v="A33"/>
    <s v="LinkedIn"/>
    <d v="2025-09-11T00:00:00"/>
    <s v="Carousel"/>
    <s v="#AppleEvent"/>
    <n v="10175"/>
    <n v="342"/>
    <n v="825"/>
    <n v="2904"/>
    <n v="15954"/>
    <n v="104324"/>
    <x v="4"/>
    <n v="0.10871899083624094"/>
  </r>
  <r>
    <s v="A183"/>
    <s v="Twitter"/>
    <d v="2024-12-17T00:00:00"/>
    <s v="Image"/>
    <s v="#AppleWatch"/>
    <n v="20030"/>
    <n v="485"/>
    <n v="888"/>
    <n v="1643"/>
    <n v="4322"/>
    <n v="196995"/>
    <x v="3"/>
    <n v="0.10864742759968526"/>
  </r>
  <r>
    <s v="A183"/>
    <s v="Twitter"/>
    <d v="2024-12-17T00:00:00"/>
    <s v="Image"/>
    <s v="#Health"/>
    <n v="20030"/>
    <n v="485"/>
    <n v="888"/>
    <n v="1643"/>
    <n v="4322"/>
    <n v="196995"/>
    <x v="3"/>
    <n v="0.10864742759968526"/>
  </r>
  <r>
    <s v="A52"/>
    <s v="Twitter"/>
    <d v="2025-09-19T00:00:00"/>
    <s v="Image"/>
    <s v="#AppleWatch"/>
    <n v="19100"/>
    <n v="619"/>
    <n v="297"/>
    <n v="2312"/>
    <n v="9730"/>
    <n v="184832"/>
    <x v="4"/>
    <n v="0.10829293628808864"/>
  </r>
  <r>
    <s v="A52"/>
    <s v="Twitter"/>
    <d v="2025-09-19T00:00:00"/>
    <s v="Image"/>
    <s v="#Health"/>
    <n v="19100"/>
    <n v="619"/>
    <n v="297"/>
    <n v="2312"/>
    <n v="9730"/>
    <n v="184832"/>
    <x v="4"/>
    <n v="0.10829293628808864"/>
  </r>
  <r>
    <s v="A199"/>
    <s v="Instagram"/>
    <d v="2025-09-20T00:00:00"/>
    <s v="Image"/>
    <s v="#AppleWatch"/>
    <n v="12267"/>
    <n v="1487"/>
    <n v="489"/>
    <n v="2748"/>
    <n v="34685"/>
    <n v="131736"/>
    <x v="4"/>
    <n v="0.1081177506528208"/>
  </r>
  <r>
    <s v="A199"/>
    <s v="Instagram"/>
    <d v="2025-09-20T00:00:00"/>
    <s v="Image"/>
    <s v="#Health"/>
    <n v="12267"/>
    <n v="1487"/>
    <n v="489"/>
    <n v="2748"/>
    <n v="34685"/>
    <n v="131736"/>
    <x v="4"/>
    <n v="0.1081177506528208"/>
  </r>
  <r>
    <s v="A262"/>
    <s v="Twitter"/>
    <d v="2025-01-18T00:00:00"/>
    <s v="Tweet"/>
    <s v="#iPhonePhotography"/>
    <n v="22673"/>
    <n v="1053"/>
    <n v="169"/>
    <n v="1566"/>
    <n v="9417"/>
    <n v="221187"/>
    <x v="1"/>
    <n v="0.10803076130152314"/>
  </r>
  <r>
    <s v="A262"/>
    <s v="Twitter"/>
    <d v="2025-01-18T00:00:00"/>
    <s v="Tweet"/>
    <s v="#ShotOniPhone"/>
    <n v="22673"/>
    <n v="1053"/>
    <n v="169"/>
    <n v="1566"/>
    <n v="9417"/>
    <n v="221187"/>
    <x v="1"/>
    <n v="0.10803076130152314"/>
  </r>
  <r>
    <s v="A268"/>
    <s v="LinkedIn"/>
    <d v="2025-04-13T00:00:00"/>
    <s v="Carousel"/>
    <s v="#MacBookProM3"/>
    <n v="24700"/>
    <n v="327"/>
    <n v="999"/>
    <n v="994"/>
    <n v="59400"/>
    <n v="243502"/>
    <x v="3"/>
    <n v="0.10688207899729776"/>
  </r>
  <r>
    <s v="A180"/>
    <s v="YouTube"/>
    <d v="2025-10-11T00:00:00"/>
    <s v="Carousel"/>
    <s v="#AppleWatch"/>
    <n v="15623"/>
    <n v="869"/>
    <n v="423"/>
    <n v="371"/>
    <n v="47579"/>
    <n v="158516"/>
    <x v="4"/>
    <n v="0.10670847106916652"/>
  </r>
  <r>
    <s v="A180"/>
    <s v="YouTube"/>
    <d v="2025-10-11T00:00:00"/>
    <s v="Carousel"/>
    <s v="#Health"/>
    <n v="15623"/>
    <n v="869"/>
    <n v="423"/>
    <n v="371"/>
    <n v="47579"/>
    <n v="158516"/>
    <x v="4"/>
    <n v="0.10670847106916652"/>
  </r>
  <r>
    <s v="A214"/>
    <s v="YouTube"/>
    <d v="2024-12-23T00:00:00"/>
    <s v="Video"/>
    <s v="#AppleDesign"/>
    <n v="18616"/>
    <n v="1277"/>
    <n v="734"/>
    <n v="2249"/>
    <n v="3399"/>
    <n v="193515"/>
    <x v="1"/>
    <n v="0.10659122031883833"/>
  </r>
  <r>
    <s v="A214"/>
    <s v="YouTube"/>
    <d v="2024-12-23T00:00:00"/>
    <s v="Video"/>
    <s v="#Innovation"/>
    <n v="18616"/>
    <n v="1277"/>
    <n v="734"/>
    <n v="2249"/>
    <n v="3399"/>
    <n v="193515"/>
    <x v="1"/>
    <n v="0.10659122031883833"/>
  </r>
  <r>
    <s v="A272"/>
    <s v="LinkedIn"/>
    <d v="2025-03-27T00:00:00"/>
    <s v="Tweet"/>
    <s v="#iPhonePhotography"/>
    <n v="14819"/>
    <n v="1432"/>
    <n v="152"/>
    <n v="961"/>
    <n v="39154"/>
    <n v="154793"/>
    <x v="1"/>
    <n v="0.10596732410380315"/>
  </r>
  <r>
    <s v="A272"/>
    <s v="LinkedIn"/>
    <d v="2025-03-27T00:00:00"/>
    <s v="Tweet"/>
    <s v="#ShotOniPhone"/>
    <n v="14819"/>
    <n v="1432"/>
    <n v="152"/>
    <n v="961"/>
    <n v="39154"/>
    <n v="154793"/>
    <x v="1"/>
    <n v="0.10596732410380315"/>
  </r>
  <r>
    <s v="A198"/>
    <s v="LinkedIn"/>
    <d v="2025-09-19T00:00:00"/>
    <s v="Carousel"/>
    <s v="#AppleEvent"/>
    <n v="14772"/>
    <n v="1030"/>
    <n v="508"/>
    <n v="1876"/>
    <n v="8882"/>
    <n v="155142"/>
    <x v="4"/>
    <n v="0.10512949426976577"/>
  </r>
  <r>
    <s v="A198"/>
    <s v="LinkedIn"/>
    <d v="2025-09-19T00:00:00"/>
    <s v="Carousel"/>
    <s v="#iPadPro"/>
    <n v="14772"/>
    <n v="1030"/>
    <n v="508"/>
    <n v="1876"/>
    <n v="8882"/>
    <n v="155142"/>
    <x v="4"/>
    <n v="0.10512949426976577"/>
  </r>
  <r>
    <s v="A296"/>
    <s v="LinkedIn"/>
    <d v="2025-02-11T00:00:00"/>
    <s v="Carousel"/>
    <s v="#Sustainability"/>
    <n v="3619"/>
    <n v="1376"/>
    <n v="410"/>
    <n v="2499"/>
    <n v="58146"/>
    <n v="52149"/>
    <x v="0"/>
    <n v="0.10364532397553165"/>
  </r>
  <r>
    <s v="A296"/>
    <s v="LinkedIn"/>
    <d v="2025-02-11T00:00:00"/>
    <s v="Carousel"/>
    <s v="#AppleEarth"/>
    <n v="3619"/>
    <n v="1376"/>
    <n v="410"/>
    <n v="2499"/>
    <n v="58146"/>
    <n v="52149"/>
    <x v="0"/>
    <n v="0.10364532397553165"/>
  </r>
  <r>
    <s v="A240"/>
    <s v="LinkedIn"/>
    <d v="2025-09-11T00:00:00"/>
    <s v="Video"/>
    <s v="#AppleMusic"/>
    <n v="21901"/>
    <n v="1308"/>
    <n v="724"/>
    <n v="2183"/>
    <n v="15996"/>
    <n v="230961"/>
    <x v="4"/>
    <n v="0.10362355549205277"/>
  </r>
  <r>
    <s v="A240"/>
    <s v="LinkedIn"/>
    <d v="2025-09-11T00:00:00"/>
    <s v="Video"/>
    <s v="#AppleLifestyle"/>
    <n v="21901"/>
    <n v="1308"/>
    <n v="724"/>
    <n v="2183"/>
    <n v="15996"/>
    <n v="230961"/>
    <x v="4"/>
    <n v="0.10362355549205277"/>
  </r>
  <r>
    <s v="A243"/>
    <s v="LinkedIn"/>
    <d v="2025-03-06T00:00:00"/>
    <s v="Tweet"/>
    <s v="#iPhone16Launch"/>
    <n v="22119"/>
    <n v="899"/>
    <n v="642"/>
    <n v="410"/>
    <n v="49490"/>
    <n v="229420"/>
    <x v="1"/>
    <n v="0.10312963124400662"/>
  </r>
  <r>
    <s v="A243"/>
    <s v="LinkedIn"/>
    <d v="2025-03-06T00:00:00"/>
    <s v="Tweet"/>
    <s v="#AppleEvent"/>
    <n v="22119"/>
    <n v="899"/>
    <n v="642"/>
    <n v="410"/>
    <n v="49490"/>
    <n v="229420"/>
    <x v="1"/>
    <n v="0.10312963124400662"/>
  </r>
  <r>
    <s v="A290"/>
    <s v="LinkedIn"/>
    <d v="2025-09-20T00:00:00"/>
    <s v="Image"/>
    <s v="#ShotOniPhone"/>
    <n v="24422"/>
    <n v="327"/>
    <n v="481"/>
    <n v="2371"/>
    <n v="35340"/>
    <n v="245244"/>
    <x v="4"/>
    <n v="0.10287713460879777"/>
  </r>
  <r>
    <s v="A237"/>
    <s v="Twitter"/>
    <d v="2024-10-22T00:00:00"/>
    <s v="Carousel"/>
    <s v="#AppleDesign"/>
    <n v="7622"/>
    <n v="529"/>
    <n v="720"/>
    <n v="1015"/>
    <n v="71322"/>
    <n v="86819"/>
    <x v="2"/>
    <n v="0.10217809465669957"/>
  </r>
  <r>
    <s v="A237"/>
    <s v="Twitter"/>
    <d v="2024-10-22T00:00:00"/>
    <s v="Carousel"/>
    <s v="#Innovation"/>
    <n v="7622"/>
    <n v="529"/>
    <n v="720"/>
    <n v="1015"/>
    <n v="71322"/>
    <n v="86819"/>
    <x v="2"/>
    <n v="0.10217809465669957"/>
  </r>
  <r>
    <s v="A166"/>
    <s v="Instagram"/>
    <d v="2025-02-16T00:00:00"/>
    <s v="Tweet"/>
    <s v="#AppleEvent"/>
    <n v="24195"/>
    <n v="888"/>
    <n v="165"/>
    <n v="1559"/>
    <n v="11596"/>
    <n v="249988"/>
    <x v="3"/>
    <n v="0.10099684784869674"/>
  </r>
  <r>
    <s v="A166"/>
    <s v="Instagram"/>
    <d v="2025-02-16T00:00:00"/>
    <s v="Tweet"/>
    <s v="#iPhone16"/>
    <n v="24195"/>
    <n v="888"/>
    <n v="165"/>
    <n v="1559"/>
    <n v="11596"/>
    <n v="249988"/>
    <x v="3"/>
    <n v="0.10099684784869674"/>
  </r>
  <r>
    <s v="A122"/>
    <s v="Instagram"/>
    <d v="2024-10-02T00:00:00"/>
    <s v="Video"/>
    <s v="#iPhonePhotography"/>
    <n v="9350"/>
    <n v="1024"/>
    <n v="550"/>
    <n v="2123"/>
    <n v="53916"/>
    <n v="108785"/>
    <x v="3"/>
    <n v="0.10041825619340902"/>
  </r>
  <r>
    <s v="A122"/>
    <s v="Instagram"/>
    <d v="2024-10-02T00:00:00"/>
    <s v="Video"/>
    <s v="#ShotOniPhone"/>
    <n v="9350"/>
    <n v="1024"/>
    <n v="550"/>
    <n v="2123"/>
    <n v="53916"/>
    <n v="108785"/>
    <x v="3"/>
    <n v="0.10041825619340902"/>
  </r>
  <r>
    <s v="A249"/>
    <s v="Instagram"/>
    <d v="2024-07-18T00:00:00"/>
    <s v="Video"/>
    <s v="#MacBookProM3"/>
    <n v="11111"/>
    <n v="1222"/>
    <n v="367"/>
    <n v="507"/>
    <n v="14129"/>
    <n v="127163"/>
    <x v="2"/>
    <n v="9.9871818060284834E-2"/>
  </r>
  <r>
    <s v="A165"/>
    <s v="Twitter"/>
    <d v="2025-10-07T00:00:00"/>
    <s v="Carousel"/>
    <s v="#AppleWatch"/>
    <n v="19660"/>
    <n v="1307"/>
    <n v="310"/>
    <n v="2802"/>
    <n v="22171"/>
    <n v="213359"/>
    <x v="4"/>
    <n v="9.9723939463533293E-2"/>
  </r>
  <r>
    <s v="A165"/>
    <s v="Twitter"/>
    <d v="2025-10-07T00:00:00"/>
    <s v="Carousel"/>
    <s v="#Health"/>
    <n v="19660"/>
    <n v="1307"/>
    <n v="310"/>
    <n v="2802"/>
    <n v="22171"/>
    <n v="213359"/>
    <x v="4"/>
    <n v="9.9723939463533293E-2"/>
  </r>
  <r>
    <s v="A10"/>
    <s v="Twitter"/>
    <d v="2025-03-11T00:00:00"/>
    <s v="Video"/>
    <s v="#iPhone16Launch"/>
    <n v="20222"/>
    <n v="712"/>
    <n v="604"/>
    <n v="1272"/>
    <n v="71598"/>
    <n v="216422"/>
    <x v="3"/>
    <n v="9.9518533235992648E-2"/>
  </r>
  <r>
    <s v="A10"/>
    <s v="Twitter"/>
    <d v="2025-03-11T00:00:00"/>
    <s v="Video"/>
    <s v="#AppleEvent"/>
    <n v="20222"/>
    <n v="712"/>
    <n v="604"/>
    <n v="1272"/>
    <n v="71598"/>
    <n v="216422"/>
    <x v="3"/>
    <n v="9.9518533235992648E-2"/>
  </r>
  <r>
    <s v="A103"/>
    <s v="Twitter"/>
    <d v="2025-09-27T00:00:00"/>
    <s v="Tweet"/>
    <s v="#MacBookAirM3"/>
    <n v="18521"/>
    <n v="1027"/>
    <n v="230"/>
    <n v="1247"/>
    <n v="39588"/>
    <n v="200928"/>
    <x v="4"/>
    <n v="9.8433269628921807E-2"/>
  </r>
  <r>
    <s v="A103"/>
    <s v="Twitter"/>
    <d v="2025-09-27T00:00:00"/>
    <s v="Tweet"/>
    <s v="#AppleInnovation"/>
    <n v="18521"/>
    <n v="1027"/>
    <n v="230"/>
    <n v="1247"/>
    <n v="39588"/>
    <n v="200928"/>
    <x v="4"/>
    <n v="9.8433269628921807E-2"/>
  </r>
  <r>
    <s v="A118"/>
    <s v="Twitter"/>
    <d v="2024-11-04T00:00:00"/>
    <s v="Video"/>
    <s v="#ShotOniPhone"/>
    <n v="14234"/>
    <n v="1013"/>
    <n v="437"/>
    <n v="338"/>
    <n v="67754"/>
    <n v="160030"/>
    <x v="3"/>
    <n v="9.8006623758045364E-2"/>
  </r>
  <r>
    <s v="A253"/>
    <s v="LinkedIn"/>
    <d v="2025-09-16T00:00:00"/>
    <s v="Image"/>
    <s v="#MacBookProM3"/>
    <n v="16043"/>
    <n v="595"/>
    <n v="923"/>
    <n v="1194"/>
    <n v="52613"/>
    <n v="179978"/>
    <x v="4"/>
    <n v="9.757303670448611E-2"/>
  </r>
  <r>
    <s v="A114"/>
    <s v="Twitter"/>
    <d v="2024-11-14T00:00:00"/>
    <s v="Image"/>
    <s v="#AppleDesign"/>
    <n v="6300"/>
    <n v="1213"/>
    <n v="720"/>
    <n v="1037"/>
    <n v="39569"/>
    <n v="85272"/>
    <x v="1"/>
    <n v="9.6549863964724647E-2"/>
  </r>
  <r>
    <s v="A114"/>
    <s v="Twitter"/>
    <d v="2024-11-14T00:00:00"/>
    <s v="Image"/>
    <s v="#Innovation"/>
    <n v="6300"/>
    <n v="1213"/>
    <n v="720"/>
    <n v="1037"/>
    <n v="39569"/>
    <n v="85272"/>
    <x v="1"/>
    <n v="9.6549863964724647E-2"/>
  </r>
  <r>
    <s v="A208"/>
    <s v="LinkedIn"/>
    <d v="2024-06-24T00:00:00"/>
    <s v="Tweet"/>
    <s v="#MacBookAirM3"/>
    <n v="5596"/>
    <n v="1231"/>
    <n v="473"/>
    <n v="2251"/>
    <n v="43705"/>
    <n v="75643"/>
    <x v="0"/>
    <n v="9.6505955607260427E-2"/>
  </r>
  <r>
    <s v="A208"/>
    <s v="LinkedIn"/>
    <d v="2024-06-24T00:00:00"/>
    <s v="Tweet"/>
    <s v="#AppleInnovation"/>
    <n v="5596"/>
    <n v="1231"/>
    <n v="473"/>
    <n v="2251"/>
    <n v="43705"/>
    <n v="75643"/>
    <x v="0"/>
    <n v="9.6505955607260427E-2"/>
  </r>
  <r>
    <s v="A263"/>
    <s v="Instagram"/>
    <d v="2024-08-20T00:00:00"/>
    <s v="Tweet"/>
    <s v="#ShotOniPhone"/>
    <n v="2846"/>
    <n v="792"/>
    <n v="902"/>
    <n v="2469"/>
    <n v="12130"/>
    <n v="47151"/>
    <x v="0"/>
    <n v="9.6286399015927546E-2"/>
  </r>
  <r>
    <s v="A35"/>
    <s v="Twitter"/>
    <d v="2024-11-30T00:00:00"/>
    <s v="Video"/>
    <s v="#AppleEvent"/>
    <n v="14763"/>
    <n v="864"/>
    <n v="336"/>
    <n v="1493"/>
    <n v="33310"/>
    <n v="165932"/>
    <x v="1"/>
    <n v="9.6202058674637797E-2"/>
  </r>
  <r>
    <s v="A35"/>
    <s v="Twitter"/>
    <d v="2024-11-30T00:00:00"/>
    <s v="Video"/>
    <s v="#iPhone16"/>
    <n v="14763"/>
    <n v="864"/>
    <n v="336"/>
    <n v="1493"/>
    <n v="33310"/>
    <n v="165932"/>
    <x v="1"/>
    <n v="9.6202058674637797E-2"/>
  </r>
  <r>
    <s v="A26"/>
    <s v="Twitter"/>
    <d v="2025-04-05T00:00:00"/>
    <s v="Video"/>
    <s v="#AppleWatch"/>
    <n v="22384"/>
    <n v="601"/>
    <n v="943"/>
    <n v="515"/>
    <n v="41309"/>
    <n v="249373"/>
    <x v="0"/>
    <n v="9.5952649244304716E-2"/>
  </r>
  <r>
    <s v="A26"/>
    <s v="Twitter"/>
    <d v="2025-04-05T00:00:00"/>
    <s v="Video"/>
    <s v="#Health"/>
    <n v="22384"/>
    <n v="601"/>
    <n v="943"/>
    <n v="515"/>
    <n v="41309"/>
    <n v="249373"/>
    <x v="0"/>
    <n v="9.5952649244304716E-2"/>
  </r>
  <r>
    <s v="A238"/>
    <s v="Twitter"/>
    <d v="2024-07-16T00:00:00"/>
    <s v="Tweet"/>
    <s v="#iPhone16Launch"/>
    <n v="8767"/>
    <n v="974"/>
    <n v="733"/>
    <n v="1587"/>
    <n v="74927"/>
    <n v="113770"/>
    <x v="0"/>
    <n v="9.2062933989628198E-2"/>
  </r>
  <r>
    <s v="A238"/>
    <s v="Twitter"/>
    <d v="2024-07-16T00:00:00"/>
    <s v="Tweet"/>
    <s v="#AppleEvent"/>
    <n v="8767"/>
    <n v="974"/>
    <n v="733"/>
    <n v="1587"/>
    <n v="74927"/>
    <n v="113770"/>
    <x v="0"/>
    <n v="9.2062933989628198E-2"/>
  </r>
  <r>
    <s v="A56"/>
    <s v="LinkedIn"/>
    <d v="2024-12-18T00:00:00"/>
    <s v="Tweet"/>
    <s v="#iPhone16Launch"/>
    <n v="14775"/>
    <n v="1220"/>
    <n v="640"/>
    <n v="1547"/>
    <n v="28527"/>
    <n v="183660"/>
    <x v="2"/>
    <n v="9.0574975498203203E-2"/>
  </r>
  <r>
    <s v="A56"/>
    <s v="LinkedIn"/>
    <d v="2024-12-18T00:00:00"/>
    <s v="Tweet"/>
    <s v="#AppleEvent"/>
    <n v="14775"/>
    <n v="1220"/>
    <n v="640"/>
    <n v="1547"/>
    <n v="28527"/>
    <n v="183660"/>
    <x v="2"/>
    <n v="9.0574975498203203E-2"/>
  </r>
  <r>
    <s v="A266"/>
    <s v="Twitter"/>
    <d v="2024-11-25T00:00:00"/>
    <s v="Video"/>
    <s v="#iPhone16Launch"/>
    <n v="17385"/>
    <n v="831"/>
    <n v="568"/>
    <n v="2227"/>
    <n v="49351"/>
    <n v="207450"/>
    <x v="3"/>
    <n v="9.0547119787900698E-2"/>
  </r>
  <r>
    <s v="A266"/>
    <s v="Twitter"/>
    <d v="2024-11-25T00:00:00"/>
    <s v="Video"/>
    <s v="#AppleEvent"/>
    <n v="17385"/>
    <n v="831"/>
    <n v="568"/>
    <n v="2227"/>
    <n v="49351"/>
    <n v="207450"/>
    <x v="3"/>
    <n v="9.0547119787900698E-2"/>
  </r>
  <r>
    <s v="A179"/>
    <s v="Instagram"/>
    <d v="2024-07-15T00:00:00"/>
    <s v="Image"/>
    <s v="#AppleEvent"/>
    <n v="17034"/>
    <n v="231"/>
    <n v="290"/>
    <n v="1387"/>
    <n v="63550"/>
    <n v="198280"/>
    <x v="2"/>
    <n v="8.8536413153116805E-2"/>
  </r>
  <r>
    <s v="A179"/>
    <s v="Instagram"/>
    <d v="2024-07-15T00:00:00"/>
    <s v="Image"/>
    <s v="#iPhone16"/>
    <n v="17034"/>
    <n v="231"/>
    <n v="290"/>
    <n v="1387"/>
    <n v="63550"/>
    <n v="198280"/>
    <x v="2"/>
    <n v="8.8536413153116805E-2"/>
  </r>
  <r>
    <s v="A2"/>
    <s v="LinkedIn"/>
    <d v="2025-09-03T00:00:00"/>
    <s v="Image"/>
    <s v="#MacBookAirM3"/>
    <n v="4779"/>
    <n v="1110"/>
    <n v="436"/>
    <n v="1574"/>
    <n v="77167"/>
    <n v="71585"/>
    <x v="4"/>
    <n v="8.8356499266606131E-2"/>
  </r>
  <r>
    <s v="A2"/>
    <s v="LinkedIn"/>
    <d v="2025-09-03T00:00:00"/>
    <s v="Image"/>
    <s v="#AppleInnovation"/>
    <n v="4779"/>
    <n v="1110"/>
    <n v="436"/>
    <n v="1574"/>
    <n v="77167"/>
    <n v="71585"/>
    <x v="4"/>
    <n v="8.8356499266606131E-2"/>
  </r>
  <r>
    <s v="A86"/>
    <s v="YouTube"/>
    <d v="2025-01-27T00:00:00"/>
    <s v="Carousel"/>
    <s v="#iPhone16Launch"/>
    <n v="8949"/>
    <n v="1477"/>
    <n v="424"/>
    <n v="1030"/>
    <n v="58052"/>
    <n v="123310"/>
    <x v="0"/>
    <n v="8.7989619657773091E-2"/>
  </r>
  <r>
    <s v="A86"/>
    <s v="YouTube"/>
    <d v="2025-01-27T00:00:00"/>
    <s v="Carousel"/>
    <s v="#AppleEvent"/>
    <n v="8949"/>
    <n v="1477"/>
    <n v="424"/>
    <n v="1030"/>
    <n v="58052"/>
    <n v="123310"/>
    <x v="0"/>
    <n v="8.7989619657773091E-2"/>
  </r>
  <r>
    <s v="A57"/>
    <s v="LinkedIn"/>
    <d v="2024-10-21T00:00:00"/>
    <s v="Video"/>
    <s v="#AppleEvent"/>
    <n v="12015"/>
    <n v="1196"/>
    <n v="998"/>
    <n v="1848"/>
    <n v="44739"/>
    <n v="161750"/>
    <x v="2"/>
    <n v="8.7845440494590421E-2"/>
  </r>
  <r>
    <s v="A57"/>
    <s v="LinkedIn"/>
    <d v="2024-10-21T00:00:00"/>
    <s v="Video"/>
    <s v="#iPhone16"/>
    <n v="12015"/>
    <n v="1196"/>
    <n v="998"/>
    <n v="1848"/>
    <n v="44739"/>
    <n v="161750"/>
    <x v="2"/>
    <n v="8.7845440494590421E-2"/>
  </r>
  <r>
    <s v="A297"/>
    <s v="Twitter"/>
    <d v="2024-12-24T00:00:00"/>
    <s v="Image"/>
    <s v="#MacBookProM3"/>
    <n v="10512"/>
    <n v="1197"/>
    <n v="544"/>
    <n v="2012"/>
    <n v="10245"/>
    <n v="140102"/>
    <x v="0"/>
    <n v="8.745770938316369E-2"/>
  </r>
  <r>
    <s v="A137"/>
    <s v="Instagram"/>
    <d v="2024-07-31T00:00:00"/>
    <s v="Carousel"/>
    <s v="#AppleEvent"/>
    <n v="13314"/>
    <n v="274"/>
    <n v="626"/>
    <n v="2280"/>
    <n v="14639"/>
    <n v="163008"/>
    <x v="1"/>
    <n v="8.7198174322732622E-2"/>
  </r>
  <r>
    <s v="A137"/>
    <s v="Instagram"/>
    <d v="2024-07-31T00:00:00"/>
    <s v="Carousel"/>
    <s v="#iPadPro"/>
    <n v="13314"/>
    <n v="274"/>
    <n v="626"/>
    <n v="2280"/>
    <n v="14639"/>
    <n v="163008"/>
    <x v="1"/>
    <n v="8.7198174322732622E-2"/>
  </r>
  <r>
    <s v="A29"/>
    <s v="LinkedIn"/>
    <d v="2025-09-10T00:00:00"/>
    <s v="Carousel"/>
    <s v="#MacBookProM3"/>
    <n v="9266"/>
    <n v="999"/>
    <n v="928"/>
    <n v="2700"/>
    <n v="12264"/>
    <n v="128397"/>
    <x v="4"/>
    <n v="8.7174933993784898E-2"/>
  </r>
  <r>
    <s v="A34"/>
    <s v="Twitter"/>
    <d v="2025-09-12T00:00:00"/>
    <s v="Tweet"/>
    <s v="#AppleDesign"/>
    <n v="17158"/>
    <n v="1192"/>
    <n v="262"/>
    <n v="2016"/>
    <n v="28771"/>
    <n v="216037"/>
    <x v="4"/>
    <n v="8.6151909163708074E-2"/>
  </r>
  <r>
    <s v="A34"/>
    <s v="Twitter"/>
    <d v="2025-09-12T00:00:00"/>
    <s v="Tweet"/>
    <s v="#Innovation"/>
    <n v="17158"/>
    <n v="1192"/>
    <n v="262"/>
    <n v="2016"/>
    <n v="28771"/>
    <n v="216037"/>
    <x v="4"/>
    <n v="8.6151909163708074E-2"/>
  </r>
  <r>
    <s v="A64"/>
    <s v="Instagram"/>
    <d v="2024-08-17T00:00:00"/>
    <s v="Video"/>
    <s v="#ShotOniPhone"/>
    <n v="19154"/>
    <n v="1064"/>
    <n v="650"/>
    <n v="747"/>
    <n v="42667"/>
    <n v="242332"/>
    <x v="3"/>
    <n v="8.6113266097750191E-2"/>
  </r>
  <r>
    <s v="A55"/>
    <s v="YouTube"/>
    <d v="2024-06-17T00:00:00"/>
    <s v="Carousel"/>
    <s v="#AppleWatchUltra2"/>
    <n v="6976"/>
    <n v="1320"/>
    <n v="393"/>
    <n v="2285"/>
    <n v="14049"/>
    <n v="101367"/>
    <x v="2"/>
    <n v="8.5718231771681114E-2"/>
  </r>
  <r>
    <s v="A55"/>
    <s v="YouTube"/>
    <d v="2024-06-17T00:00:00"/>
    <s v="Carousel"/>
    <s v="#HealthTech"/>
    <n v="6976"/>
    <n v="1320"/>
    <n v="393"/>
    <n v="2285"/>
    <n v="14049"/>
    <n v="101367"/>
    <x v="2"/>
    <n v="8.5718231771681114E-2"/>
  </r>
  <r>
    <s v="A259"/>
    <s v="LinkedIn"/>
    <d v="2025-02-10T00:00:00"/>
    <s v="Carousel"/>
    <s v="#MacBookAirM3"/>
    <n v="16309"/>
    <n v="1449"/>
    <n v="838"/>
    <n v="2434"/>
    <n v="2940"/>
    <n v="217953"/>
    <x v="1"/>
    <n v="8.5321147219813445E-2"/>
  </r>
  <r>
    <s v="A259"/>
    <s v="LinkedIn"/>
    <d v="2025-02-10T00:00:00"/>
    <s v="Carousel"/>
    <s v="#AppleInnovation"/>
    <n v="16309"/>
    <n v="1449"/>
    <n v="838"/>
    <n v="2434"/>
    <n v="2940"/>
    <n v="217953"/>
    <x v="1"/>
    <n v="8.5321147219813445E-2"/>
  </r>
  <r>
    <s v="A25"/>
    <s v="LinkedIn"/>
    <d v="2025-09-09T00:00:00"/>
    <s v="Video"/>
    <s v="#AppleWatch"/>
    <n v="15772"/>
    <n v="288"/>
    <n v="520"/>
    <n v="1585"/>
    <n v="59182"/>
    <n v="194351"/>
    <x v="4"/>
    <n v="8.5309568769905988E-2"/>
  </r>
  <r>
    <s v="A25"/>
    <s v="LinkedIn"/>
    <d v="2025-09-09T00:00:00"/>
    <s v="Video"/>
    <s v="#Health"/>
    <n v="15772"/>
    <n v="288"/>
    <n v="520"/>
    <n v="1585"/>
    <n v="59182"/>
    <n v="194351"/>
    <x v="4"/>
    <n v="8.5309568769905988E-2"/>
  </r>
  <r>
    <s v="A213"/>
    <s v="Instagram"/>
    <d v="2025-05-01T00:00:00"/>
    <s v="Tweet"/>
    <s v="#iPhone16Launch"/>
    <n v="10258"/>
    <n v="527"/>
    <n v="854"/>
    <n v="2068"/>
    <n v="45632"/>
    <n v="136546"/>
    <x v="2"/>
    <n v="8.5238674146441498E-2"/>
  </r>
  <r>
    <s v="A213"/>
    <s v="Instagram"/>
    <d v="2025-05-01T00:00:00"/>
    <s v="Tweet"/>
    <s v="#AppleEvent"/>
    <n v="10258"/>
    <n v="527"/>
    <n v="854"/>
    <n v="2068"/>
    <n v="45632"/>
    <n v="136546"/>
    <x v="2"/>
    <n v="8.5238674146441498E-2"/>
  </r>
  <r>
    <s v="A255"/>
    <s v="Instagram"/>
    <d v="2025-04-03T00:00:00"/>
    <s v="Image"/>
    <s v="#Sustainability"/>
    <n v="10837"/>
    <n v="1004"/>
    <n v="922"/>
    <n v="1108"/>
    <n v="36807"/>
    <n v="150350"/>
    <x v="3"/>
    <n v="8.4888593282341204E-2"/>
  </r>
  <r>
    <s v="A255"/>
    <s v="Instagram"/>
    <d v="2025-04-03T00:00:00"/>
    <s v="Image"/>
    <s v="#AppleEarth"/>
    <n v="10837"/>
    <n v="1004"/>
    <n v="922"/>
    <n v="1108"/>
    <n v="36807"/>
    <n v="150350"/>
    <x v="3"/>
    <n v="8.4888593282341204E-2"/>
  </r>
  <r>
    <s v="A8"/>
    <s v="Instagram"/>
    <d v="2024-07-13T00:00:00"/>
    <s v="Video"/>
    <s v="#AppleWatch"/>
    <n v="18639"/>
    <n v="1360"/>
    <n v="898"/>
    <n v="2011"/>
    <n v="42841"/>
    <n v="247779"/>
    <x v="1"/>
    <n v="8.4337252148083575E-2"/>
  </r>
  <r>
    <s v="A8"/>
    <s v="Instagram"/>
    <d v="2024-07-13T00:00:00"/>
    <s v="Video"/>
    <s v="#Health"/>
    <n v="18639"/>
    <n v="1360"/>
    <n v="898"/>
    <n v="2011"/>
    <n v="42841"/>
    <n v="247779"/>
    <x v="1"/>
    <n v="8.4337252148083575E-2"/>
  </r>
  <r>
    <s v="A215"/>
    <s v="YouTube"/>
    <d v="2025-09-25T00:00:00"/>
    <s v="Video"/>
    <s v="#iPhonePhotography"/>
    <n v="8371"/>
    <n v="960"/>
    <n v="548"/>
    <n v="2936"/>
    <n v="82543"/>
    <n v="119973"/>
    <x v="4"/>
    <n v="8.2343527293641069E-2"/>
  </r>
  <r>
    <s v="A215"/>
    <s v="YouTube"/>
    <d v="2025-09-25T00:00:00"/>
    <s v="Video"/>
    <s v="#ShotOniPhone"/>
    <n v="8371"/>
    <n v="960"/>
    <n v="548"/>
    <n v="2936"/>
    <n v="82543"/>
    <n v="119973"/>
    <x v="4"/>
    <n v="8.2343527293641069E-2"/>
  </r>
  <r>
    <s v="A117"/>
    <s v="Instagram"/>
    <d v="2024-11-04T00:00:00"/>
    <s v="Image"/>
    <s v="#AppleEvent"/>
    <n v="14015"/>
    <n v="978"/>
    <n v="196"/>
    <n v="2744"/>
    <n v="20190"/>
    <n v="186470"/>
    <x v="3"/>
    <n v="8.1455462004611998E-2"/>
  </r>
  <r>
    <s v="A117"/>
    <s v="Instagram"/>
    <d v="2024-11-04T00:00:00"/>
    <s v="Image"/>
    <s v="#iPhone16"/>
    <n v="14015"/>
    <n v="978"/>
    <n v="196"/>
    <n v="2744"/>
    <n v="20190"/>
    <n v="186470"/>
    <x v="3"/>
    <n v="8.1455462004611998E-2"/>
  </r>
  <r>
    <s v="A176"/>
    <s v="Twitter"/>
    <d v="2025-10-09T00:00:00"/>
    <s v="Carousel"/>
    <s v="#AppleDesign"/>
    <n v="18748"/>
    <n v="634"/>
    <n v="400"/>
    <n v="1667"/>
    <n v="75813"/>
    <n v="244456"/>
    <x v="4"/>
    <n v="8.0922538207284747E-2"/>
  </r>
  <r>
    <s v="A176"/>
    <s v="Twitter"/>
    <d v="2025-10-09T00:00:00"/>
    <s v="Carousel"/>
    <s v="#Innovation"/>
    <n v="18748"/>
    <n v="634"/>
    <n v="400"/>
    <n v="1667"/>
    <n v="75813"/>
    <n v="244456"/>
    <x v="4"/>
    <n v="8.0922538207284747E-2"/>
  </r>
  <r>
    <s v="A175"/>
    <s v="LinkedIn"/>
    <d v="2025-10-08T00:00:00"/>
    <s v="Tweet"/>
    <s v="#AppleEvent"/>
    <n v="17745"/>
    <n v="414"/>
    <n v="563"/>
    <n v="2733"/>
    <n v="995"/>
    <n v="231648"/>
    <x v="4"/>
    <n v="8.0820900676889074E-2"/>
  </r>
  <r>
    <s v="A175"/>
    <s v="LinkedIn"/>
    <d v="2025-10-08T00:00:00"/>
    <s v="Tweet"/>
    <s v="#iPhone16"/>
    <n v="17745"/>
    <n v="414"/>
    <n v="563"/>
    <n v="2733"/>
    <n v="995"/>
    <n v="231648"/>
    <x v="4"/>
    <n v="8.0820900676889074E-2"/>
  </r>
  <r>
    <s v="A212"/>
    <s v="YouTube"/>
    <d v="2025-03-03T00:00:00"/>
    <s v="Video"/>
    <s v="#AppleWatchUltra2"/>
    <n v="9561"/>
    <n v="642"/>
    <n v="581"/>
    <n v="2572"/>
    <n v="38552"/>
    <n v="133680"/>
    <x v="0"/>
    <n v="8.0670257330939563E-2"/>
  </r>
  <r>
    <s v="A212"/>
    <s v="YouTube"/>
    <d v="2025-03-03T00:00:00"/>
    <s v="Video"/>
    <s v="#HealthTech"/>
    <n v="9561"/>
    <n v="642"/>
    <n v="581"/>
    <n v="2572"/>
    <n v="38552"/>
    <n v="133680"/>
    <x v="0"/>
    <n v="8.0670257330939563E-2"/>
  </r>
  <r>
    <s v="A172"/>
    <s v="Instagram"/>
    <d v="2024-08-14T00:00:00"/>
    <s v="Carousel"/>
    <s v="#Sustainability"/>
    <n v="10150"/>
    <n v="526"/>
    <n v="888"/>
    <n v="1313"/>
    <n v="51605"/>
    <n v="143409"/>
    <x v="0"/>
    <n v="8.0636501195880311E-2"/>
  </r>
  <r>
    <s v="A172"/>
    <s v="Instagram"/>
    <d v="2024-08-14T00:00:00"/>
    <s v="Carousel"/>
    <s v="#AppleEarth"/>
    <n v="10150"/>
    <n v="526"/>
    <n v="888"/>
    <n v="1313"/>
    <n v="51605"/>
    <n v="143409"/>
    <x v="0"/>
    <n v="8.0636501195880311E-2"/>
  </r>
  <r>
    <s v="A191"/>
    <s v="YouTube"/>
    <d v="2025-10-14T00:00:00"/>
    <s v="Carousel"/>
    <s v="#iPhonePhotography"/>
    <n v="9673"/>
    <n v="393"/>
    <n v="846"/>
    <n v="1028"/>
    <n v="55556"/>
    <n v="136652"/>
    <x v="4"/>
    <n v="7.9852471972601938E-2"/>
  </r>
  <r>
    <s v="A191"/>
    <s v="YouTube"/>
    <d v="2025-10-14T00:00:00"/>
    <s v="Carousel"/>
    <s v="#ShotOniPhone"/>
    <n v="9673"/>
    <n v="393"/>
    <n v="846"/>
    <n v="1028"/>
    <n v="55556"/>
    <n v="136652"/>
    <x v="4"/>
    <n v="7.9852471972601938E-2"/>
  </r>
  <r>
    <s v="A227"/>
    <s v="Instagram"/>
    <d v="2024-06-12T00:00:00"/>
    <s v="Tweet"/>
    <s v="#MacBookAirM3"/>
    <n v="17679"/>
    <n v="690"/>
    <n v="451"/>
    <n v="2195"/>
    <n v="4390"/>
    <n v="235804"/>
    <x v="2"/>
    <n v="7.9812047293514959E-2"/>
  </r>
  <r>
    <s v="A227"/>
    <s v="Instagram"/>
    <d v="2024-06-12T00:00:00"/>
    <s v="Tweet"/>
    <s v="#AppleInnovation"/>
    <n v="17679"/>
    <n v="690"/>
    <n v="451"/>
    <n v="2195"/>
    <n v="4390"/>
    <n v="235804"/>
    <x v="2"/>
    <n v="7.9812047293514959E-2"/>
  </r>
  <r>
    <s v="A267"/>
    <s v="LinkedIn"/>
    <d v="2024-10-04T00:00:00"/>
    <s v="Video"/>
    <s v="#AppleEvent"/>
    <n v="15746"/>
    <n v="258"/>
    <n v="839"/>
    <n v="2656"/>
    <n v="66614"/>
    <n v="213724"/>
    <x v="3"/>
    <n v="7.8807246729426739E-2"/>
  </r>
  <r>
    <s v="A267"/>
    <s v="LinkedIn"/>
    <d v="2024-10-04T00:00:00"/>
    <s v="Video"/>
    <s v="#iPhone16"/>
    <n v="15746"/>
    <n v="258"/>
    <n v="839"/>
    <n v="2656"/>
    <n v="66614"/>
    <n v="213724"/>
    <x v="3"/>
    <n v="7.8807246729426739E-2"/>
  </r>
  <r>
    <s v="A59"/>
    <s v="YouTube"/>
    <d v="2024-06-22T00:00:00"/>
    <s v="Image"/>
    <s v="#AppleWatch"/>
    <n v="16430"/>
    <n v="488"/>
    <n v="514"/>
    <n v="1436"/>
    <n v="30059"/>
    <n v="223305"/>
    <x v="1"/>
    <n v="7.8063634938760881E-2"/>
  </r>
  <r>
    <s v="A59"/>
    <s v="YouTube"/>
    <d v="2024-06-22T00:00:00"/>
    <s v="Image"/>
    <s v="#Health"/>
    <n v="16430"/>
    <n v="488"/>
    <n v="514"/>
    <n v="1436"/>
    <n v="30059"/>
    <n v="223305"/>
    <x v="1"/>
    <n v="7.8063634938760881E-2"/>
  </r>
  <r>
    <s v="A124"/>
    <s v="YouTube"/>
    <d v="2025-04-06T00:00:00"/>
    <s v="Tweet"/>
    <s v="#iPhonePhotography"/>
    <n v="8238"/>
    <n v="766"/>
    <n v="235"/>
    <n v="1273"/>
    <n v="4706"/>
    <n v="119141"/>
    <x v="1"/>
    <n v="7.7546772311798629E-2"/>
  </r>
  <r>
    <s v="A124"/>
    <s v="YouTube"/>
    <d v="2025-04-06T00:00:00"/>
    <s v="Tweet"/>
    <s v="#ShotOniPhone"/>
    <n v="8238"/>
    <n v="766"/>
    <n v="235"/>
    <n v="1273"/>
    <n v="4706"/>
    <n v="119141"/>
    <x v="1"/>
    <n v="7.7546772311798629E-2"/>
  </r>
  <r>
    <s v="A101"/>
    <s v="YouTube"/>
    <d v="2024-10-18T00:00:00"/>
    <s v="Carousel"/>
    <s v="#MacBookAirM3"/>
    <n v="6892"/>
    <n v="1184"/>
    <n v="925"/>
    <n v="1062"/>
    <n v="75008"/>
    <n v="116260"/>
    <x v="2"/>
    <n v="7.7421297092723204E-2"/>
  </r>
  <r>
    <s v="A101"/>
    <s v="YouTube"/>
    <d v="2024-10-18T00:00:00"/>
    <s v="Carousel"/>
    <s v="#AppleInnovation"/>
    <n v="6892"/>
    <n v="1184"/>
    <n v="925"/>
    <n v="1062"/>
    <n v="75008"/>
    <n v="116260"/>
    <x v="2"/>
    <n v="7.7421297092723204E-2"/>
  </r>
  <r>
    <s v="A278"/>
    <s v="Twitter"/>
    <d v="2024-11-26T00:00:00"/>
    <s v="Video"/>
    <s v="#AppleMusic"/>
    <n v="14607"/>
    <n v="1458"/>
    <n v="478"/>
    <n v="334"/>
    <n v="49257"/>
    <n v="214668"/>
    <x v="1"/>
    <n v="7.7063185942944451E-2"/>
  </r>
  <r>
    <s v="A278"/>
    <s v="Twitter"/>
    <d v="2024-11-26T00:00:00"/>
    <s v="Video"/>
    <s v="#AppleLifestyle"/>
    <n v="14607"/>
    <n v="1458"/>
    <n v="478"/>
    <n v="334"/>
    <n v="49257"/>
    <n v="214668"/>
    <x v="1"/>
    <n v="7.7063185942944451E-2"/>
  </r>
  <r>
    <s v="A11"/>
    <s v="YouTube"/>
    <d v="2025-02-02T00:00:00"/>
    <s v="Carousel"/>
    <s v="#AppleEvent"/>
    <n v="12136"/>
    <n v="1117"/>
    <n v="834"/>
    <n v="892"/>
    <n v="24675"/>
    <n v="183273"/>
    <x v="3"/>
    <n v="7.6863476889667326E-2"/>
  </r>
  <r>
    <s v="A11"/>
    <s v="YouTube"/>
    <d v="2025-02-02T00:00:00"/>
    <s v="Carousel"/>
    <s v="#iPadPro"/>
    <n v="12136"/>
    <n v="1117"/>
    <n v="834"/>
    <n v="892"/>
    <n v="24675"/>
    <n v="183273"/>
    <x v="3"/>
    <n v="7.6863476889667326E-2"/>
  </r>
  <r>
    <s v="A277"/>
    <s v="Instagram"/>
    <d v="2025-04-06T00:00:00"/>
    <s v="Image"/>
    <s v="#MacBookProM3"/>
    <n v="14941"/>
    <n v="1424"/>
    <n v="238"/>
    <n v="1054"/>
    <n v="20516"/>
    <n v="216048"/>
    <x v="2"/>
    <n v="7.6848663260016298E-2"/>
  </r>
  <r>
    <s v="A116"/>
    <s v="LinkedIn"/>
    <d v="2025-03-18T00:00:00"/>
    <s v="Image"/>
    <s v="#AppleWatch"/>
    <n v="5818"/>
    <n v="1252"/>
    <n v="687"/>
    <n v="2300"/>
    <n v="25081"/>
    <n v="101212"/>
    <x v="2"/>
    <n v="7.6641109749832043E-2"/>
  </r>
  <r>
    <s v="A116"/>
    <s v="LinkedIn"/>
    <d v="2025-03-18T00:00:00"/>
    <s v="Image"/>
    <s v="#Health"/>
    <n v="5818"/>
    <n v="1252"/>
    <n v="687"/>
    <n v="2300"/>
    <n v="25081"/>
    <n v="101212"/>
    <x v="2"/>
    <n v="7.6641109749832043E-2"/>
  </r>
  <r>
    <s v="A112"/>
    <s v="YouTube"/>
    <d v="2024-10-05T00:00:00"/>
    <s v="Carousel"/>
    <s v="#MacBookAirM3"/>
    <n v="16388"/>
    <n v="1208"/>
    <n v="417"/>
    <n v="2306"/>
    <n v="16865"/>
    <n v="236733"/>
    <x v="0"/>
    <n v="7.6089940988370866E-2"/>
  </r>
  <r>
    <s v="A112"/>
    <s v="YouTube"/>
    <d v="2024-10-05T00:00:00"/>
    <s v="Carousel"/>
    <s v="#AppleInnovation"/>
    <n v="16388"/>
    <n v="1208"/>
    <n v="417"/>
    <n v="2306"/>
    <n v="16865"/>
    <n v="236733"/>
    <x v="0"/>
    <n v="7.6089940988370866E-2"/>
  </r>
  <r>
    <s v="A211"/>
    <s v="YouTube"/>
    <d v="2025-09-24T00:00:00"/>
    <s v="Image"/>
    <s v="#MacBookProM3"/>
    <n v="11795"/>
    <n v="958"/>
    <n v="814"/>
    <n v="301"/>
    <n v="12564"/>
    <n v="179999"/>
    <x v="4"/>
    <n v="7.5372640959116444E-2"/>
  </r>
  <r>
    <s v="A233"/>
    <s v="LinkedIn"/>
    <d v="2025-03-08T00:00:00"/>
    <s v="Image"/>
    <s v="#AppleWatchUltra2"/>
    <n v="5812"/>
    <n v="934"/>
    <n v="302"/>
    <n v="2356"/>
    <n v="37437"/>
    <n v="93551"/>
    <x v="0"/>
    <n v="7.5338585370546551E-2"/>
  </r>
  <r>
    <s v="A233"/>
    <s v="LinkedIn"/>
    <d v="2025-03-08T00:00:00"/>
    <s v="Image"/>
    <s v="#HealthTech"/>
    <n v="5812"/>
    <n v="934"/>
    <n v="302"/>
    <n v="2356"/>
    <n v="37437"/>
    <n v="93551"/>
    <x v="0"/>
    <n v="7.5338585370546551E-2"/>
  </r>
  <r>
    <s v="A239"/>
    <s v="YouTube"/>
    <d v="2025-09-10T00:00:00"/>
    <s v="Image"/>
    <s v="#MacBookAirM3"/>
    <n v="13613"/>
    <n v="350"/>
    <n v="809"/>
    <n v="2013"/>
    <n v="20471"/>
    <n v="198038"/>
    <x v="4"/>
    <n v="7.4591745018632791E-2"/>
  </r>
  <r>
    <s v="A239"/>
    <s v="YouTube"/>
    <d v="2025-09-10T00:00:00"/>
    <s v="Image"/>
    <s v="#AppleInnovation"/>
    <n v="13613"/>
    <n v="350"/>
    <n v="809"/>
    <n v="2013"/>
    <n v="20471"/>
    <n v="198038"/>
    <x v="4"/>
    <n v="7.4591745018632791E-2"/>
  </r>
  <r>
    <s v="A17"/>
    <s v="LinkedIn"/>
    <d v="2025-05-05T00:00:00"/>
    <s v="Tweet"/>
    <s v="#AppleEvent"/>
    <n v="10415"/>
    <n v="1388"/>
    <n v="725"/>
    <n v="2462"/>
    <n v="53082"/>
    <n v="168267"/>
    <x v="2"/>
    <n v="7.4453101321114656E-2"/>
  </r>
  <r>
    <s v="A17"/>
    <s v="LinkedIn"/>
    <d v="2025-05-05T00:00:00"/>
    <s v="Tweet"/>
    <s v="#iPhone16"/>
    <n v="10415"/>
    <n v="1388"/>
    <n v="725"/>
    <n v="2462"/>
    <n v="53082"/>
    <n v="168267"/>
    <x v="2"/>
    <n v="7.4453101321114656E-2"/>
  </r>
  <r>
    <s v="A252"/>
    <s v="Instagram"/>
    <d v="2025-04-28T00:00:00"/>
    <s v="Carousel"/>
    <s v="#AppleEvent"/>
    <n v="10659"/>
    <n v="1342"/>
    <n v="408"/>
    <n v="709"/>
    <n v="16309"/>
    <n v="168803"/>
    <x v="3"/>
    <n v="7.3511726687321907E-2"/>
  </r>
  <r>
    <s v="A252"/>
    <s v="Instagram"/>
    <d v="2025-04-28T00:00:00"/>
    <s v="Carousel"/>
    <s v="#iPhone16"/>
    <n v="10659"/>
    <n v="1342"/>
    <n v="408"/>
    <n v="709"/>
    <n v="16309"/>
    <n v="168803"/>
    <x v="3"/>
    <n v="7.3511726687321907E-2"/>
  </r>
  <r>
    <s v="A209"/>
    <s v="Twitter"/>
    <d v="2025-03-19T00:00:00"/>
    <s v="Carousel"/>
    <s v="#AppleEvent"/>
    <n v="13475"/>
    <n v="1032"/>
    <n v="295"/>
    <n v="541"/>
    <n v="43666"/>
    <n v="202396"/>
    <x v="2"/>
    <n v="7.3133856400324118E-2"/>
  </r>
  <r>
    <s v="A209"/>
    <s v="Twitter"/>
    <d v="2025-03-19T00:00:00"/>
    <s v="Carousel"/>
    <s v="#iPadPro"/>
    <n v="13475"/>
    <n v="1032"/>
    <n v="295"/>
    <n v="541"/>
    <n v="43666"/>
    <n v="202396"/>
    <x v="2"/>
    <n v="7.3133856400324118E-2"/>
  </r>
  <r>
    <s v="A18"/>
    <s v="LinkedIn"/>
    <d v="2024-08-19T00:00:00"/>
    <s v="Image"/>
    <s v="#AppleWatch"/>
    <n v="15550"/>
    <n v="204"/>
    <n v="279"/>
    <n v="1646"/>
    <n v="35819"/>
    <n v="219436"/>
    <x v="0"/>
    <n v="7.306458375107093E-2"/>
  </r>
  <r>
    <s v="A18"/>
    <s v="LinkedIn"/>
    <d v="2024-08-19T00:00:00"/>
    <s v="Image"/>
    <s v="#Health"/>
    <n v="15550"/>
    <n v="204"/>
    <n v="279"/>
    <n v="1646"/>
    <n v="35819"/>
    <n v="219436"/>
    <x v="0"/>
    <n v="7.306458375107093E-2"/>
  </r>
  <r>
    <s v="A229"/>
    <s v="Instagram"/>
    <d v="2024-07-03T00:00:00"/>
    <s v="Video"/>
    <s v="#MacBookAirM3"/>
    <n v="12167"/>
    <n v="364"/>
    <n v="160"/>
    <n v="616"/>
    <n v="42228"/>
    <n v="175832"/>
    <x v="3"/>
    <n v="7.2176850630146963E-2"/>
  </r>
  <r>
    <s v="A229"/>
    <s v="Instagram"/>
    <d v="2024-07-03T00:00:00"/>
    <s v="Video"/>
    <s v="#AppleInnovation"/>
    <n v="12167"/>
    <n v="364"/>
    <n v="160"/>
    <n v="616"/>
    <n v="42228"/>
    <n v="175832"/>
    <x v="3"/>
    <n v="7.2176850630146963E-2"/>
  </r>
  <r>
    <s v="A89"/>
    <s v="LinkedIn"/>
    <d v="2025-09-23T00:00:00"/>
    <s v="Image"/>
    <s v="#Sustainability"/>
    <n v="10017"/>
    <n v="1357"/>
    <n v="966"/>
    <n v="2871"/>
    <n v="14800"/>
    <n v="171691"/>
    <x v="4"/>
    <n v="7.1873307278774071E-2"/>
  </r>
  <r>
    <s v="A89"/>
    <s v="LinkedIn"/>
    <d v="2025-09-23T00:00:00"/>
    <s v="Image"/>
    <s v="#AppleEarth"/>
    <n v="10017"/>
    <n v="1357"/>
    <n v="966"/>
    <n v="2871"/>
    <n v="14800"/>
    <n v="171691"/>
    <x v="4"/>
    <n v="7.1873307278774071E-2"/>
  </r>
  <r>
    <s v="A177"/>
    <s v="YouTube"/>
    <d v="2024-07-10T00:00:00"/>
    <s v="Image"/>
    <s v="#iPhonePhotography"/>
    <n v="8809"/>
    <n v="1151"/>
    <n v="908"/>
    <n v="883"/>
    <n v="42921"/>
    <n v="151279"/>
    <x v="2"/>
    <n v="7.1840771025720687E-2"/>
  </r>
  <r>
    <s v="A177"/>
    <s v="YouTube"/>
    <d v="2024-07-10T00:00:00"/>
    <s v="Image"/>
    <s v="#ShotOniPhone"/>
    <n v="8809"/>
    <n v="1151"/>
    <n v="908"/>
    <n v="883"/>
    <n v="42921"/>
    <n v="151279"/>
    <x v="2"/>
    <n v="7.1840771025720687E-2"/>
  </r>
  <r>
    <s v="A192"/>
    <s v="YouTube"/>
    <d v="2025-10-15T00:00:00"/>
    <s v="Image"/>
    <s v="#AppleWatch"/>
    <n v="8882"/>
    <n v="701"/>
    <n v="421"/>
    <n v="2343"/>
    <n v="13588"/>
    <n v="139304"/>
    <x v="4"/>
    <n v="7.1814161833113191E-2"/>
  </r>
  <r>
    <s v="A192"/>
    <s v="YouTube"/>
    <d v="2025-10-15T00:00:00"/>
    <s v="Image"/>
    <s v="#Health"/>
    <n v="8882"/>
    <n v="701"/>
    <n v="421"/>
    <n v="2343"/>
    <n v="13588"/>
    <n v="139304"/>
    <x v="4"/>
    <n v="7.1814161833113191E-2"/>
  </r>
  <r>
    <s v="A115"/>
    <s v="YouTube"/>
    <d v="2025-09-30T00:00:00"/>
    <s v="Tweet"/>
    <s v="#AppleWatchUltra2"/>
    <n v="8269"/>
    <n v="250"/>
    <n v="638"/>
    <n v="815"/>
    <n v="41991"/>
    <n v="129393"/>
    <x v="4"/>
    <n v="7.0768897853825175E-2"/>
  </r>
  <r>
    <s v="A115"/>
    <s v="YouTube"/>
    <d v="2025-09-30T00:00:00"/>
    <s v="Tweet"/>
    <s v="#HealthTech"/>
    <n v="8269"/>
    <n v="250"/>
    <n v="638"/>
    <n v="815"/>
    <n v="41991"/>
    <n v="129393"/>
    <x v="4"/>
    <n v="7.0768897853825175E-2"/>
  </r>
  <r>
    <s v="A257"/>
    <s v="YouTube"/>
    <d v="2025-04-06T00:00:00"/>
    <s v="Carousel"/>
    <s v="#AppleEvent"/>
    <n v="15917"/>
    <n v="1479"/>
    <n v="196"/>
    <n v="313"/>
    <n v="48524"/>
    <n v="249684"/>
    <x v="1"/>
    <n v="7.0457057720959296E-2"/>
  </r>
  <r>
    <s v="A257"/>
    <s v="YouTube"/>
    <d v="2025-04-06T00:00:00"/>
    <s v="Carousel"/>
    <s v="#iPhone16"/>
    <n v="15917"/>
    <n v="1479"/>
    <n v="196"/>
    <n v="313"/>
    <n v="48524"/>
    <n v="249684"/>
    <x v="1"/>
    <n v="7.0457057720959296E-2"/>
  </r>
  <r>
    <s v="A291"/>
    <s v="Instagram"/>
    <d v="2024-11-06T00:00:00"/>
    <s v="Image"/>
    <s v="#AppleMusic"/>
    <n v="11865"/>
    <n v="241"/>
    <n v="319"/>
    <n v="703"/>
    <n v="69596"/>
    <n v="177513"/>
    <x v="1"/>
    <n v="6.999487361489018E-2"/>
  </r>
  <r>
    <s v="A291"/>
    <s v="Instagram"/>
    <d v="2024-11-06T00:00:00"/>
    <s v="Image"/>
    <s v="#AppleLifestyle"/>
    <n v="11865"/>
    <n v="241"/>
    <n v="319"/>
    <n v="703"/>
    <n v="69596"/>
    <n v="177513"/>
    <x v="1"/>
    <n v="6.999487361489018E-2"/>
  </r>
  <r>
    <s v="A299"/>
    <s v="Instagram"/>
    <d v="2025-09-25T00:00:00"/>
    <s v="Carousel"/>
    <s v="#iPhonePhotography"/>
    <n v="12568"/>
    <n v="541"/>
    <n v="273"/>
    <n v="2767"/>
    <n v="22331"/>
    <n v="192747"/>
    <x v="4"/>
    <n v="6.9427799135654514E-2"/>
  </r>
  <r>
    <s v="A299"/>
    <s v="Instagram"/>
    <d v="2025-09-25T00:00:00"/>
    <s v="Carousel"/>
    <s v="#ShotOniPhone"/>
    <n v="12568"/>
    <n v="541"/>
    <n v="273"/>
    <n v="2767"/>
    <n v="22331"/>
    <n v="192747"/>
    <x v="4"/>
    <n v="6.9427799135654514E-2"/>
  </r>
  <r>
    <s v="A45"/>
    <s v="LinkedIn"/>
    <d v="2025-09-17T00:00:00"/>
    <s v="Tweet"/>
    <s v="#AppleMusic"/>
    <n v="15456"/>
    <n v="590"/>
    <n v="555"/>
    <n v="2882"/>
    <n v="49816"/>
    <n v="240422"/>
    <x v="4"/>
    <n v="6.9049421433978589E-2"/>
  </r>
  <r>
    <s v="A45"/>
    <s v="LinkedIn"/>
    <d v="2025-09-17T00:00:00"/>
    <s v="Tweet"/>
    <s v="#AppleLifestyle"/>
    <n v="15456"/>
    <n v="590"/>
    <n v="555"/>
    <n v="2882"/>
    <n v="49816"/>
    <n v="240422"/>
    <x v="4"/>
    <n v="6.9049421433978589E-2"/>
  </r>
  <r>
    <s v="A37"/>
    <s v="LinkedIn"/>
    <d v="2025-01-06T00:00:00"/>
    <s v="Image"/>
    <s v="#AppleDesign"/>
    <n v="11860"/>
    <n v="1448"/>
    <n v="893"/>
    <n v="490"/>
    <n v="23518"/>
    <n v="206205"/>
    <x v="0"/>
    <n v="6.8868359157149436E-2"/>
  </r>
  <r>
    <s v="A37"/>
    <s v="LinkedIn"/>
    <d v="2025-01-06T00:00:00"/>
    <s v="Image"/>
    <s v="#Innovation"/>
    <n v="11860"/>
    <n v="1448"/>
    <n v="893"/>
    <n v="490"/>
    <n v="23518"/>
    <n v="206205"/>
    <x v="0"/>
    <n v="6.8868359157149436E-2"/>
  </r>
  <r>
    <s v="A162"/>
    <s v="Instagram"/>
    <d v="2025-04-01T00:00:00"/>
    <s v="Image"/>
    <s v="#AppleMusic"/>
    <n v="6432"/>
    <n v="1272"/>
    <n v="498"/>
    <n v="677"/>
    <n v="47305"/>
    <n v="119134"/>
    <x v="0"/>
    <n v="6.8846844729464299E-2"/>
  </r>
  <r>
    <s v="A162"/>
    <s v="Instagram"/>
    <d v="2025-04-01T00:00:00"/>
    <s v="Image"/>
    <s v="#AppleLifestyle"/>
    <n v="6432"/>
    <n v="1272"/>
    <n v="498"/>
    <n v="677"/>
    <n v="47305"/>
    <n v="119134"/>
    <x v="0"/>
    <n v="6.8846844729464299E-2"/>
  </r>
  <r>
    <s v="A279"/>
    <s v="Instagram"/>
    <d v="2024-09-02T00:00:00"/>
    <s v="Video"/>
    <s v="#AppleEvent"/>
    <n v="11765"/>
    <n v="693"/>
    <n v="729"/>
    <n v="744"/>
    <n v="97772"/>
    <n v="194243"/>
    <x v="0"/>
    <n v="6.7889190344053579E-2"/>
  </r>
  <r>
    <s v="A279"/>
    <s v="Instagram"/>
    <d v="2024-09-02T00:00:00"/>
    <s v="Video"/>
    <s v="#iPadPro"/>
    <n v="11765"/>
    <n v="693"/>
    <n v="729"/>
    <n v="744"/>
    <n v="97772"/>
    <n v="194243"/>
    <x v="0"/>
    <n v="6.7889190344053579E-2"/>
  </r>
  <r>
    <s v="A241"/>
    <s v="Twitter"/>
    <d v="2025-01-18T00:00:00"/>
    <s v="Tweet"/>
    <s v="#iPhonePhotography"/>
    <n v="12589"/>
    <n v="346"/>
    <n v="459"/>
    <n v="1407"/>
    <n v="29254"/>
    <n v="198059"/>
    <x v="3"/>
    <n v="6.7626313371268162E-2"/>
  </r>
  <r>
    <s v="A241"/>
    <s v="Twitter"/>
    <d v="2025-01-18T00:00:00"/>
    <s v="Tweet"/>
    <s v="#ShotOniPhone"/>
    <n v="12589"/>
    <n v="346"/>
    <n v="459"/>
    <n v="1407"/>
    <n v="29254"/>
    <n v="198059"/>
    <x v="3"/>
    <n v="6.7626313371268162E-2"/>
  </r>
  <r>
    <s v="A111"/>
    <s v="LinkedIn"/>
    <d v="2024-11-23T00:00:00"/>
    <s v="Tweet"/>
    <s v="#ShotOniPhone"/>
    <n v="9941"/>
    <n v="1329"/>
    <n v="238"/>
    <n v="869"/>
    <n v="40281"/>
    <n v="172311"/>
    <x v="3"/>
    <n v="6.6786217943137702E-2"/>
  </r>
  <r>
    <s v="A99"/>
    <s v="Twitter"/>
    <d v="2024-07-02T00:00:00"/>
    <s v="Carousel"/>
    <s v="#AppleMusic"/>
    <n v="12320"/>
    <n v="1157"/>
    <n v="365"/>
    <n v="584"/>
    <n v="66634"/>
    <n v="210102"/>
    <x v="1"/>
    <n v="6.5882285746922925E-2"/>
  </r>
  <r>
    <s v="A99"/>
    <s v="Twitter"/>
    <d v="2024-07-02T00:00:00"/>
    <s v="Carousel"/>
    <s v="#AppleLifestyle"/>
    <n v="12320"/>
    <n v="1157"/>
    <n v="365"/>
    <n v="584"/>
    <n v="66634"/>
    <n v="210102"/>
    <x v="1"/>
    <n v="6.5882285746922925E-2"/>
  </r>
  <r>
    <s v="A222"/>
    <s v="YouTube"/>
    <d v="2024-10-08T00:00:00"/>
    <s v="Tweet"/>
    <s v="#MacBookProM3"/>
    <n v="8738"/>
    <n v="295"/>
    <n v="529"/>
    <n v="442"/>
    <n v="25286"/>
    <n v="147522"/>
    <x v="1"/>
    <n v="6.4817450956467515E-2"/>
  </r>
  <r>
    <s v="A54"/>
    <s v="LinkedIn"/>
    <d v="2025-03-13T00:00:00"/>
    <s v="Carousel"/>
    <s v="#AppleDesign"/>
    <n v="6544"/>
    <n v="749"/>
    <n v="888"/>
    <n v="594"/>
    <n v="18171"/>
    <n v="126475"/>
    <x v="3"/>
    <n v="6.4684720300454635E-2"/>
  </r>
  <r>
    <s v="A54"/>
    <s v="LinkedIn"/>
    <d v="2025-03-13T00:00:00"/>
    <s v="Carousel"/>
    <s v="#Innovation"/>
    <n v="6544"/>
    <n v="749"/>
    <n v="888"/>
    <n v="594"/>
    <n v="18171"/>
    <n v="126475"/>
    <x v="3"/>
    <n v="6.4684720300454635E-2"/>
  </r>
  <r>
    <s v="A218"/>
    <s v="Instagram"/>
    <d v="2024-06-11T00:00:00"/>
    <s v="Video"/>
    <s v="#MacBookProM3"/>
    <n v="14910"/>
    <n v="778"/>
    <n v="289"/>
    <n v="2541"/>
    <n v="14309"/>
    <n v="247815"/>
    <x v="3"/>
    <n v="6.4471480741682297E-2"/>
  </r>
  <r>
    <s v="A154"/>
    <s v="YouTube"/>
    <d v="2024-10-09T00:00:00"/>
    <s v="Video"/>
    <s v="#iPhone16Launch"/>
    <n v="7240"/>
    <n v="1384"/>
    <n v="954"/>
    <n v="2335"/>
    <n v="6757"/>
    <n v="150448"/>
    <x v="3"/>
    <n v="6.3663192598106988E-2"/>
  </r>
  <r>
    <s v="A154"/>
    <s v="YouTube"/>
    <d v="2024-10-09T00:00:00"/>
    <s v="Video"/>
    <s v="#AppleEvent"/>
    <n v="7240"/>
    <n v="1384"/>
    <n v="954"/>
    <n v="2335"/>
    <n v="6757"/>
    <n v="150448"/>
    <x v="3"/>
    <n v="6.3663192598106988E-2"/>
  </r>
  <r>
    <s v="A210"/>
    <s v="Instagram"/>
    <d v="2025-02-19T00:00:00"/>
    <s v="Video"/>
    <s v="#iPhone16Launch"/>
    <n v="8168"/>
    <n v="512"/>
    <n v="442"/>
    <n v="2343"/>
    <n v="2753"/>
    <n v="143896"/>
    <x v="2"/>
    <n v="6.3393006059932172E-2"/>
  </r>
  <r>
    <s v="A210"/>
    <s v="Instagram"/>
    <d v="2025-02-19T00:00:00"/>
    <s v="Video"/>
    <s v="#AppleEvent"/>
    <n v="8168"/>
    <n v="512"/>
    <n v="442"/>
    <n v="2343"/>
    <n v="2753"/>
    <n v="143896"/>
    <x v="2"/>
    <n v="6.3393006059932172E-2"/>
  </r>
  <r>
    <s v="A149"/>
    <s v="Instagram"/>
    <d v="2024-06-16T00:00:00"/>
    <s v="Tweet"/>
    <s v="#AppleWatchUltra2"/>
    <n v="12160"/>
    <n v="1405"/>
    <n v="769"/>
    <n v="1980"/>
    <n v="33174"/>
    <n v="226481"/>
    <x v="0"/>
    <n v="6.329007731332871E-2"/>
  </r>
  <r>
    <s v="A149"/>
    <s v="Instagram"/>
    <d v="2024-06-16T00:00:00"/>
    <s v="Tweet"/>
    <s v="#HealthTech"/>
    <n v="12160"/>
    <n v="1405"/>
    <n v="769"/>
    <n v="1980"/>
    <n v="33174"/>
    <n v="226481"/>
    <x v="0"/>
    <n v="6.329007731332871E-2"/>
  </r>
  <r>
    <s v="A295"/>
    <s v="Twitter"/>
    <d v="2025-05-06T00:00:00"/>
    <s v="Carousel"/>
    <s v="#AppleWatchUltra2"/>
    <n v="7287"/>
    <n v="1240"/>
    <n v="686"/>
    <n v="1255"/>
    <n v="15403"/>
    <n v="147971"/>
    <x v="0"/>
    <n v="6.2262200025680704E-2"/>
  </r>
  <r>
    <s v="A295"/>
    <s v="Twitter"/>
    <d v="2025-05-06T00:00:00"/>
    <s v="Carousel"/>
    <s v="#HealthTech"/>
    <n v="7287"/>
    <n v="1240"/>
    <n v="686"/>
    <n v="1255"/>
    <n v="15403"/>
    <n v="147971"/>
    <x v="0"/>
    <n v="6.2262200025680704E-2"/>
  </r>
  <r>
    <s v="A85"/>
    <s v="YouTube"/>
    <d v="2025-04-19T00:00:00"/>
    <s v="Image"/>
    <s v="#AppleMusic"/>
    <n v="8881"/>
    <n v="210"/>
    <n v="673"/>
    <n v="1565"/>
    <n v="24847"/>
    <n v="156891"/>
    <x v="3"/>
    <n v="6.223429004850501E-2"/>
  </r>
  <r>
    <s v="A85"/>
    <s v="YouTube"/>
    <d v="2025-04-19T00:00:00"/>
    <s v="Image"/>
    <s v="#AppleLifestyle"/>
    <n v="8881"/>
    <n v="210"/>
    <n v="673"/>
    <n v="1565"/>
    <n v="24847"/>
    <n v="156891"/>
    <x v="3"/>
    <n v="6.223429004850501E-2"/>
  </r>
  <r>
    <s v="A156"/>
    <s v="Twitter"/>
    <d v="2024-10-22T00:00:00"/>
    <s v="Tweet"/>
    <s v="#AppleMusic"/>
    <n v="12478"/>
    <n v="484"/>
    <n v="332"/>
    <n v="2734"/>
    <n v="43338"/>
    <n v="213895"/>
    <x v="1"/>
    <n v="6.2151990462610156E-2"/>
  </r>
  <r>
    <s v="A156"/>
    <s v="Twitter"/>
    <d v="2024-10-22T00:00:00"/>
    <s v="Tweet"/>
    <s v="#AppleLifestyle"/>
    <n v="12478"/>
    <n v="484"/>
    <n v="332"/>
    <n v="2734"/>
    <n v="43338"/>
    <n v="213895"/>
    <x v="1"/>
    <n v="6.2151990462610156E-2"/>
  </r>
  <r>
    <s v="A270"/>
    <s v="YouTube"/>
    <d v="2025-01-15T00:00:00"/>
    <s v="Tweet"/>
    <s v="#MacBookAirM3"/>
    <n v="11333"/>
    <n v="920"/>
    <n v="294"/>
    <n v="606"/>
    <n v="59490"/>
    <n v="202082"/>
    <x v="3"/>
    <n v="6.2088657079799291E-2"/>
  </r>
  <r>
    <s v="A270"/>
    <s v="YouTube"/>
    <d v="2025-01-15T00:00:00"/>
    <s v="Tweet"/>
    <s v="#AppleInnovation"/>
    <n v="11333"/>
    <n v="920"/>
    <n v="294"/>
    <n v="606"/>
    <n v="59490"/>
    <n v="202082"/>
    <x v="3"/>
    <n v="6.2088657079799291E-2"/>
  </r>
  <r>
    <s v="A169"/>
    <s v="YouTube"/>
    <d v="2024-12-03T00:00:00"/>
    <s v="Image"/>
    <s v="#AppleMusic"/>
    <n v="2055"/>
    <n v="675"/>
    <n v="257"/>
    <n v="820"/>
    <n v="33534"/>
    <n v="48125"/>
    <x v="0"/>
    <n v="6.2067532467532466E-2"/>
  </r>
  <r>
    <s v="A169"/>
    <s v="YouTube"/>
    <d v="2024-12-03T00:00:00"/>
    <s v="Image"/>
    <s v="#AppleLifestyle"/>
    <n v="2055"/>
    <n v="675"/>
    <n v="257"/>
    <n v="820"/>
    <n v="33534"/>
    <n v="48125"/>
    <x v="0"/>
    <n v="6.2067532467532466E-2"/>
  </r>
  <r>
    <s v="A81"/>
    <s v="YouTube"/>
    <d v="2024-10-19T00:00:00"/>
    <s v="Carousel"/>
    <s v="#AppleEvent"/>
    <n v="6673"/>
    <n v="826"/>
    <n v="321"/>
    <n v="577"/>
    <n v="19262"/>
    <n v="132324"/>
    <x v="2"/>
    <n v="5.9097367068710133E-2"/>
  </r>
  <r>
    <s v="A81"/>
    <s v="YouTube"/>
    <d v="2024-10-19T00:00:00"/>
    <s v="Carousel"/>
    <s v="#iPadPro"/>
    <n v="6673"/>
    <n v="826"/>
    <n v="321"/>
    <n v="577"/>
    <n v="19262"/>
    <n v="132324"/>
    <x v="2"/>
    <n v="5.9097367068710133E-2"/>
  </r>
  <r>
    <s v="A48"/>
    <s v="YouTube"/>
    <d v="2025-03-11T00:00:00"/>
    <s v="Carousel"/>
    <s v="#AppleWatchUltra2"/>
    <n v="7997"/>
    <n v="1238"/>
    <n v="438"/>
    <n v="1874"/>
    <n v="36272"/>
    <n v="165818"/>
    <x v="2"/>
    <n v="5.8335042034037318E-2"/>
  </r>
  <r>
    <s v="A48"/>
    <s v="YouTube"/>
    <d v="2025-03-11T00:00:00"/>
    <s v="Carousel"/>
    <s v="#HealthTech"/>
    <n v="7997"/>
    <n v="1238"/>
    <n v="438"/>
    <n v="1874"/>
    <n v="36272"/>
    <n v="165818"/>
    <x v="2"/>
    <n v="5.8335042034037318E-2"/>
  </r>
  <r>
    <s v="A15"/>
    <s v="LinkedIn"/>
    <d v="2025-09-07T00:00:00"/>
    <s v="Tweet"/>
    <s v="#AppleDesign"/>
    <n v="3015"/>
    <n v="997"/>
    <n v="783"/>
    <n v="617"/>
    <n v="77167"/>
    <n v="82229"/>
    <x v="4"/>
    <n v="5.8312760704860814E-2"/>
  </r>
  <r>
    <s v="A15"/>
    <s v="LinkedIn"/>
    <d v="2025-09-07T00:00:00"/>
    <s v="Tweet"/>
    <s v="#Innovation"/>
    <n v="3015"/>
    <n v="997"/>
    <n v="783"/>
    <n v="617"/>
    <n v="77167"/>
    <n v="82229"/>
    <x v="4"/>
    <n v="5.8312760704860814E-2"/>
  </r>
  <r>
    <s v="A288"/>
    <s v="Instagram"/>
    <d v="2025-04-17T00:00:00"/>
    <s v="Tweet"/>
    <s v="#AppleWatch"/>
    <n v="2009"/>
    <n v="1037"/>
    <n v="344"/>
    <n v="2277"/>
    <n v="85743"/>
    <n v="58743"/>
    <x v="1"/>
    <n v="5.7709003625963942E-2"/>
  </r>
  <r>
    <s v="A288"/>
    <s v="Instagram"/>
    <d v="2025-04-17T00:00:00"/>
    <s v="Tweet"/>
    <s v="#Health"/>
    <n v="2009"/>
    <n v="1037"/>
    <n v="344"/>
    <n v="2277"/>
    <n v="85743"/>
    <n v="58743"/>
    <x v="1"/>
    <n v="5.7709003625963942E-2"/>
  </r>
  <r>
    <s v="A32"/>
    <s v="Instagram"/>
    <d v="2024-07-31T00:00:00"/>
    <s v="Image"/>
    <s v="#AppleEvent"/>
    <n v="2404"/>
    <n v="774"/>
    <n v="661"/>
    <n v="662"/>
    <n v="12676"/>
    <n v="66916"/>
    <x v="0"/>
    <n v="5.7370434574690654E-2"/>
  </r>
  <r>
    <s v="A32"/>
    <s v="Instagram"/>
    <d v="2024-07-31T00:00:00"/>
    <s v="Image"/>
    <s v="#iPhone16"/>
    <n v="2404"/>
    <n v="774"/>
    <n v="661"/>
    <n v="662"/>
    <n v="12676"/>
    <n v="66916"/>
    <x v="0"/>
    <n v="5.7370434574690654E-2"/>
  </r>
  <r>
    <s v="A133"/>
    <s v="Instagram"/>
    <d v="2025-02-06T00:00:00"/>
    <s v="Image"/>
    <s v="#AppleWatchUltra2"/>
    <n v="2666"/>
    <n v="1136"/>
    <n v="989"/>
    <n v="1710"/>
    <n v="36467"/>
    <n v="83753"/>
    <x v="3"/>
    <n v="5.7203921053574198E-2"/>
  </r>
  <r>
    <s v="A133"/>
    <s v="Instagram"/>
    <d v="2025-02-06T00:00:00"/>
    <s v="Image"/>
    <s v="#HealthTech"/>
    <n v="2666"/>
    <n v="1136"/>
    <n v="989"/>
    <n v="1710"/>
    <n v="36467"/>
    <n v="83753"/>
    <x v="3"/>
    <n v="5.7203921053574198E-2"/>
  </r>
  <r>
    <s v="A28"/>
    <s v="Twitter"/>
    <d v="2025-03-04T00:00:00"/>
    <s v="Tweet"/>
    <s v="#ShotOniPhone"/>
    <n v="12344"/>
    <n v="815"/>
    <n v="298"/>
    <n v="2439"/>
    <n v="6259"/>
    <n v="237133"/>
    <x v="1"/>
    <n v="5.6748744375519224E-2"/>
  </r>
  <r>
    <s v="A96"/>
    <s v="Twitter"/>
    <d v="2024-09-10T00:00:00"/>
    <s v="Carousel"/>
    <s v="#AppleWatch"/>
    <n v="6637"/>
    <n v="595"/>
    <n v="161"/>
    <n v="2653"/>
    <n v="19334"/>
    <n v="131155"/>
    <x v="3"/>
    <n v="5.6368419046166747E-2"/>
  </r>
  <r>
    <s v="A96"/>
    <s v="Twitter"/>
    <d v="2024-09-10T00:00:00"/>
    <s v="Carousel"/>
    <s v="#Health"/>
    <n v="6637"/>
    <n v="595"/>
    <n v="161"/>
    <n v="2653"/>
    <n v="19334"/>
    <n v="131155"/>
    <x v="3"/>
    <n v="5.6368419046166747E-2"/>
  </r>
  <r>
    <s v="A87"/>
    <s v="Twitter"/>
    <d v="2024-06-06T00:00:00"/>
    <s v="Tweet"/>
    <s v="#iPhone16Launch"/>
    <n v="11521"/>
    <n v="1071"/>
    <n v="762"/>
    <n v="2539"/>
    <n v="12701"/>
    <n v="238350"/>
    <x v="3"/>
    <n v="5.6026851269142017E-2"/>
  </r>
  <r>
    <s v="A87"/>
    <s v="Twitter"/>
    <d v="2024-06-06T00:00:00"/>
    <s v="Tweet"/>
    <s v="#AppleEvent"/>
    <n v="11521"/>
    <n v="1071"/>
    <n v="762"/>
    <n v="2539"/>
    <n v="12701"/>
    <n v="238350"/>
    <x v="3"/>
    <n v="5.6026851269142017E-2"/>
  </r>
  <r>
    <s v="A49"/>
    <s v="Twitter"/>
    <d v="2025-09-18T00:00:00"/>
    <s v="Carousel"/>
    <s v="#AppleEvent"/>
    <n v="4048"/>
    <n v="677"/>
    <n v="911"/>
    <n v="2429"/>
    <n v="27361"/>
    <n v="101272"/>
    <x v="4"/>
    <n v="5.5652105221581483E-2"/>
  </r>
  <r>
    <s v="A49"/>
    <s v="Twitter"/>
    <d v="2025-09-18T00:00:00"/>
    <s v="Carousel"/>
    <s v="#iPhone16"/>
    <n v="4048"/>
    <n v="677"/>
    <n v="911"/>
    <n v="2429"/>
    <n v="27361"/>
    <n v="101272"/>
    <x v="4"/>
    <n v="5.5652105221581483E-2"/>
  </r>
  <r>
    <s v="A20"/>
    <s v="YouTube"/>
    <d v="2024-09-09T00:00:00"/>
    <s v="Video"/>
    <s v="#AppleDesign"/>
    <n v="6158"/>
    <n v="277"/>
    <n v="512"/>
    <n v="2189"/>
    <n v="76881"/>
    <n v="124878"/>
    <x v="1"/>
    <n v="5.563029516808405E-2"/>
  </r>
  <r>
    <s v="A20"/>
    <s v="YouTube"/>
    <d v="2024-09-09T00:00:00"/>
    <s v="Video"/>
    <s v="#Innovation"/>
    <n v="6158"/>
    <n v="277"/>
    <n v="512"/>
    <n v="2189"/>
    <n v="76881"/>
    <n v="124878"/>
    <x v="1"/>
    <n v="5.563029516808405E-2"/>
  </r>
  <r>
    <s v="A102"/>
    <s v="Twitter"/>
    <d v="2025-09-26T00:00:00"/>
    <s v="Carousel"/>
    <s v="#ShotOniPhone"/>
    <n v="9043"/>
    <n v="1192"/>
    <n v="810"/>
    <n v="1550"/>
    <n v="5221"/>
    <n v="199476"/>
    <x v="4"/>
    <n v="5.5370069582305642E-2"/>
  </r>
  <r>
    <s v="A69"/>
    <s v="LinkedIn"/>
    <d v="2025-03-08T00:00:00"/>
    <s v="Tweet"/>
    <s v="#AppleWatch"/>
    <n v="10580"/>
    <n v="427"/>
    <n v="790"/>
    <n v="2814"/>
    <n v="24916"/>
    <n v="213312"/>
    <x v="2"/>
    <n v="5.530396789678968E-2"/>
  </r>
  <r>
    <s v="A69"/>
    <s v="LinkedIn"/>
    <d v="2025-03-08T00:00:00"/>
    <s v="Tweet"/>
    <s v="#Health"/>
    <n v="10580"/>
    <n v="427"/>
    <n v="790"/>
    <n v="2814"/>
    <n v="24916"/>
    <n v="213312"/>
    <x v="2"/>
    <n v="5.530396789678968E-2"/>
  </r>
  <r>
    <s v="A120"/>
    <s v="Instagram"/>
    <d v="2024-10-21T00:00:00"/>
    <s v="Video"/>
    <s v="#AppleEvent"/>
    <n v="8254"/>
    <n v="1405"/>
    <n v="165"/>
    <n v="2504"/>
    <n v="8081"/>
    <n v="177710"/>
    <x v="0"/>
    <n v="5.5281075910190762E-2"/>
  </r>
  <r>
    <s v="A120"/>
    <s v="Instagram"/>
    <d v="2024-10-21T00:00:00"/>
    <s v="Video"/>
    <s v="#iPadPro"/>
    <n v="8254"/>
    <n v="1405"/>
    <n v="165"/>
    <n v="2504"/>
    <n v="8081"/>
    <n v="177710"/>
    <x v="0"/>
    <n v="5.5281075910190762E-2"/>
  </r>
  <r>
    <s v="A293"/>
    <s v="Instagram"/>
    <d v="2025-05-14T00:00:00"/>
    <s v="Image"/>
    <s v="#AppleEvent"/>
    <n v="9041"/>
    <n v="1133"/>
    <n v="612"/>
    <n v="1687"/>
    <n v="28102"/>
    <n v="195683"/>
    <x v="1"/>
    <n v="5.5119760020032396E-2"/>
  </r>
  <r>
    <s v="A293"/>
    <s v="Instagram"/>
    <d v="2025-05-14T00:00:00"/>
    <s v="Image"/>
    <s v="#iPhone16"/>
    <n v="9041"/>
    <n v="1133"/>
    <n v="612"/>
    <n v="1687"/>
    <n v="28102"/>
    <n v="195683"/>
    <x v="1"/>
    <n v="5.5119760020032396E-2"/>
  </r>
  <r>
    <s v="A113"/>
    <s v="LinkedIn"/>
    <d v="2025-09-29T00:00:00"/>
    <s v="Video"/>
    <s v="#iPhonePhotography"/>
    <n v="7569"/>
    <n v="803"/>
    <n v="804"/>
    <n v="1753"/>
    <n v="43582"/>
    <n v="166945"/>
    <x v="4"/>
    <n v="5.4964209769684629E-2"/>
  </r>
  <r>
    <s v="A113"/>
    <s v="LinkedIn"/>
    <d v="2025-09-29T00:00:00"/>
    <s v="Video"/>
    <s v="#ShotOniPhone"/>
    <n v="7569"/>
    <n v="803"/>
    <n v="804"/>
    <n v="1753"/>
    <n v="43582"/>
    <n v="166945"/>
    <x v="4"/>
    <n v="5.4964209769684629E-2"/>
  </r>
  <r>
    <s v="A197"/>
    <s v="Twitter"/>
    <d v="2024-10-22T00:00:00"/>
    <s v="Tweet"/>
    <s v="#AppleDesign"/>
    <n v="7750"/>
    <n v="1146"/>
    <n v="415"/>
    <n v="1411"/>
    <n v="85339"/>
    <n v="172439"/>
    <x v="3"/>
    <n v="5.3995905798572247E-2"/>
  </r>
  <r>
    <s v="A197"/>
    <s v="Twitter"/>
    <d v="2024-10-22T00:00:00"/>
    <s v="Tweet"/>
    <s v="#Innovation"/>
    <n v="7750"/>
    <n v="1146"/>
    <n v="415"/>
    <n v="1411"/>
    <n v="85339"/>
    <n v="172439"/>
    <x v="3"/>
    <n v="5.3995905798572247E-2"/>
  </r>
  <r>
    <s v="A94"/>
    <s v="Twitter"/>
    <d v="2024-11-07T00:00:00"/>
    <s v="Carousel"/>
    <s v="#iPhone16Launch"/>
    <n v="11550"/>
    <n v="501"/>
    <n v="646"/>
    <n v="773"/>
    <n v="17841"/>
    <n v="237576"/>
    <x v="1"/>
    <n v="5.3443950567397383E-2"/>
  </r>
  <r>
    <s v="A94"/>
    <s v="Twitter"/>
    <d v="2024-11-07T00:00:00"/>
    <s v="Carousel"/>
    <s v="#AppleEvent"/>
    <n v="11550"/>
    <n v="501"/>
    <n v="646"/>
    <n v="773"/>
    <n v="17841"/>
    <n v="237576"/>
    <x v="1"/>
    <n v="5.3443950567397383E-2"/>
  </r>
  <r>
    <s v="A30"/>
    <s v="LinkedIn"/>
    <d v="2025-02-25T00:00:00"/>
    <s v="Carousel"/>
    <s v="#iPhonePhotography"/>
    <n v="10702"/>
    <n v="621"/>
    <n v="445"/>
    <n v="2918"/>
    <n v="54808"/>
    <n v="220225"/>
    <x v="0"/>
    <n v="5.3436258372119426E-2"/>
  </r>
  <r>
    <s v="A30"/>
    <s v="LinkedIn"/>
    <d v="2025-02-25T00:00:00"/>
    <s v="Carousel"/>
    <s v="#ShotOniPhone"/>
    <n v="10702"/>
    <n v="621"/>
    <n v="445"/>
    <n v="2918"/>
    <n v="54808"/>
    <n v="220225"/>
    <x v="0"/>
    <n v="5.3436258372119426E-2"/>
  </r>
  <r>
    <s v="A12"/>
    <s v="YouTube"/>
    <d v="2024-07-21T00:00:00"/>
    <s v="Tweet"/>
    <s v="#MacBookAirM3"/>
    <n v="2009"/>
    <n v="1072"/>
    <n v="550"/>
    <n v="1437"/>
    <n v="22982"/>
    <n v="69426"/>
    <x v="1"/>
    <n v="5.2300290957278256E-2"/>
  </r>
  <r>
    <s v="A12"/>
    <s v="YouTube"/>
    <d v="2024-07-21T00:00:00"/>
    <s v="Tweet"/>
    <s v="#AppleInnovation"/>
    <n v="2009"/>
    <n v="1072"/>
    <n v="550"/>
    <n v="1437"/>
    <n v="22982"/>
    <n v="69426"/>
    <x v="1"/>
    <n v="5.2300290957278256E-2"/>
  </r>
  <r>
    <s v="A269"/>
    <s v="YouTube"/>
    <d v="2024-11-05T00:00:00"/>
    <s v="Tweet"/>
    <s v="#MacBookProM3"/>
    <n v="8469"/>
    <n v="935"/>
    <n v="211"/>
    <n v="2635"/>
    <n v="21890"/>
    <n v="184539"/>
    <x v="2"/>
    <n v="5.2102807536618279E-2"/>
  </r>
  <r>
    <s v="A9"/>
    <s v="YouTube"/>
    <d v="2024-08-30T00:00:00"/>
    <s v="Carousel"/>
    <s v="#MacBookAirM3"/>
    <n v="6804"/>
    <n v="787"/>
    <n v="970"/>
    <n v="1095"/>
    <n v="56343"/>
    <n v="164677"/>
    <x v="0"/>
    <n v="5.1986616224487935E-2"/>
  </r>
  <r>
    <s v="A9"/>
    <s v="YouTube"/>
    <d v="2024-08-30T00:00:00"/>
    <s v="Carousel"/>
    <s v="#AppleInnovation"/>
    <n v="6804"/>
    <n v="787"/>
    <n v="970"/>
    <n v="1095"/>
    <n v="56343"/>
    <n v="164677"/>
    <x v="0"/>
    <n v="5.1986616224487935E-2"/>
  </r>
  <r>
    <s v="A31"/>
    <s v="Instagram"/>
    <d v="2024-12-16T00:00:00"/>
    <s v="Image"/>
    <s v="#AppleEvent"/>
    <n v="2384"/>
    <n v="1246"/>
    <n v="160"/>
    <n v="2004"/>
    <n v="2701"/>
    <n v="73142"/>
    <x v="0"/>
    <n v="5.1817013480626728E-2"/>
  </r>
  <r>
    <s v="A31"/>
    <s v="Instagram"/>
    <d v="2024-12-16T00:00:00"/>
    <s v="Image"/>
    <s v="#iPadPro"/>
    <n v="2384"/>
    <n v="1246"/>
    <n v="160"/>
    <n v="2004"/>
    <n v="2701"/>
    <n v="73142"/>
    <x v="0"/>
    <n v="5.1817013480626728E-2"/>
  </r>
  <r>
    <s v="A22"/>
    <s v="Instagram"/>
    <d v="2025-02-27T00:00:00"/>
    <s v="Image"/>
    <s v="#AppleMusic"/>
    <n v="8970"/>
    <n v="331"/>
    <n v="968"/>
    <n v="2296"/>
    <n v="24613"/>
    <n v="198562"/>
    <x v="1"/>
    <n v="5.1716844109144754E-2"/>
  </r>
  <r>
    <s v="A22"/>
    <s v="Instagram"/>
    <d v="2025-02-27T00:00:00"/>
    <s v="Image"/>
    <s v="#AppleLifestyle"/>
    <n v="8970"/>
    <n v="331"/>
    <n v="968"/>
    <n v="2296"/>
    <n v="24613"/>
    <n v="198562"/>
    <x v="1"/>
    <n v="5.1716844109144754E-2"/>
  </r>
  <r>
    <s v="A200"/>
    <s v="YouTube"/>
    <d v="2025-04-07T00:00:00"/>
    <s v="Carousel"/>
    <s v="#iPhonePhotography"/>
    <n v="3062"/>
    <n v="1124"/>
    <n v="538"/>
    <n v="2935"/>
    <n v="69749"/>
    <n v="91924"/>
    <x v="1"/>
    <n v="5.1390278926069365E-2"/>
  </r>
  <r>
    <s v="A200"/>
    <s v="YouTube"/>
    <d v="2025-04-07T00:00:00"/>
    <s v="Carousel"/>
    <s v="#ShotOniPhone"/>
    <n v="3062"/>
    <n v="1124"/>
    <n v="538"/>
    <n v="2935"/>
    <n v="69749"/>
    <n v="91924"/>
    <x v="1"/>
    <n v="5.1390278926069365E-2"/>
  </r>
  <r>
    <s v="A261"/>
    <s v="Instagram"/>
    <d v="2024-10-27T00:00:00"/>
    <s v="Carousel"/>
    <s v="#AppleWatchUltra2"/>
    <n v="7560"/>
    <n v="1139"/>
    <n v="248"/>
    <n v="1624"/>
    <n v="72237"/>
    <n v="177084"/>
    <x v="3"/>
    <n v="5.0524045085947912E-2"/>
  </r>
  <r>
    <s v="A261"/>
    <s v="Instagram"/>
    <d v="2024-10-27T00:00:00"/>
    <s v="Carousel"/>
    <s v="#HealthTech"/>
    <n v="7560"/>
    <n v="1139"/>
    <n v="248"/>
    <n v="1624"/>
    <n v="72237"/>
    <n v="177084"/>
    <x v="3"/>
    <n v="5.0524045085947912E-2"/>
  </r>
  <r>
    <s v="A219"/>
    <s v="LinkedIn"/>
    <d v="2025-01-28T00:00:00"/>
    <s v="Carousel"/>
    <s v="#AppleMusic"/>
    <n v="9943"/>
    <n v="1274"/>
    <n v="336"/>
    <n v="389"/>
    <n v="6145"/>
    <n v="231305"/>
    <x v="0"/>
    <n v="4.9947039623008581E-2"/>
  </r>
  <r>
    <s v="A219"/>
    <s v="LinkedIn"/>
    <d v="2025-01-28T00:00:00"/>
    <s v="Carousel"/>
    <s v="#AppleLifestyle"/>
    <n v="9943"/>
    <n v="1274"/>
    <n v="336"/>
    <n v="389"/>
    <n v="6145"/>
    <n v="231305"/>
    <x v="0"/>
    <n v="4.9947039623008581E-2"/>
  </r>
  <r>
    <s v="A171"/>
    <s v="LinkedIn"/>
    <d v="2024-12-31T00:00:00"/>
    <s v="Image"/>
    <s v="#AppleWatchUltra2"/>
    <n v="10717"/>
    <n v="760"/>
    <n v="460"/>
    <n v="1316"/>
    <n v="18164"/>
    <n v="240641"/>
    <x v="2"/>
    <n v="4.9605013277039242E-2"/>
  </r>
  <r>
    <s v="A171"/>
    <s v="LinkedIn"/>
    <d v="2024-12-31T00:00:00"/>
    <s v="Image"/>
    <s v="#HealthTech"/>
    <n v="10717"/>
    <n v="760"/>
    <n v="460"/>
    <n v="1316"/>
    <n v="18164"/>
    <n v="240641"/>
    <x v="2"/>
    <n v="4.9605013277039242E-2"/>
  </r>
  <r>
    <s v="A65"/>
    <s v="YouTube"/>
    <d v="2025-03-28T00:00:00"/>
    <s v="Tweet"/>
    <s v="#AppleWatchUltra2"/>
    <n v="6363"/>
    <n v="1341"/>
    <n v="222"/>
    <n v="2712"/>
    <n v="19987"/>
    <n v="160585"/>
    <x v="3"/>
    <n v="4.9357038328611019E-2"/>
  </r>
  <r>
    <s v="A65"/>
    <s v="YouTube"/>
    <d v="2025-03-28T00:00:00"/>
    <s v="Tweet"/>
    <s v="#HealthTech"/>
    <n v="6363"/>
    <n v="1341"/>
    <n v="222"/>
    <n v="2712"/>
    <n v="19987"/>
    <n v="160585"/>
    <x v="3"/>
    <n v="4.9357038328611019E-2"/>
  </r>
  <r>
    <s v="A130"/>
    <s v="LinkedIn"/>
    <d v="2024-09-29T00:00:00"/>
    <s v="Carousel"/>
    <s v="#MacBookAirM3"/>
    <n v="10472"/>
    <n v="401"/>
    <n v="668"/>
    <n v="383"/>
    <n v="37571"/>
    <n v="249203"/>
    <x v="3"/>
    <n v="4.6311641513143903E-2"/>
  </r>
  <r>
    <s v="A130"/>
    <s v="LinkedIn"/>
    <d v="2024-09-29T00:00:00"/>
    <s v="Carousel"/>
    <s v="#AppleInnovation"/>
    <n v="10472"/>
    <n v="401"/>
    <n v="668"/>
    <n v="383"/>
    <n v="37571"/>
    <n v="249203"/>
    <x v="3"/>
    <n v="4.6311641513143903E-2"/>
  </r>
  <r>
    <s v="A16"/>
    <s v="Instagram"/>
    <d v="2024-08-26T00:00:00"/>
    <s v="Carousel"/>
    <s v="#AppleWatch"/>
    <n v="4193"/>
    <n v="924"/>
    <n v="707"/>
    <n v="2696"/>
    <n v="55075"/>
    <n v="126652"/>
    <x v="1"/>
    <n v="4.5984271863057827E-2"/>
  </r>
  <r>
    <s v="A16"/>
    <s v="Instagram"/>
    <d v="2024-08-26T00:00:00"/>
    <s v="Carousel"/>
    <s v="#Health"/>
    <n v="4193"/>
    <n v="924"/>
    <n v="707"/>
    <n v="2696"/>
    <n v="55075"/>
    <n v="126652"/>
    <x v="1"/>
    <n v="4.5984271863057827E-2"/>
  </r>
  <r>
    <s v="A58"/>
    <s v="Instagram"/>
    <d v="2025-04-15T00:00:00"/>
    <s v="Carousel"/>
    <s v="#AppleDesign"/>
    <n v="5419"/>
    <n v="1150"/>
    <n v="656"/>
    <n v="1990"/>
    <n v="410"/>
    <n v="158154"/>
    <x v="3"/>
    <n v="4.5683321319726342E-2"/>
  </r>
  <r>
    <s v="A58"/>
    <s v="Instagram"/>
    <d v="2025-04-15T00:00:00"/>
    <s v="Carousel"/>
    <s v="#Innovation"/>
    <n v="5419"/>
    <n v="1150"/>
    <n v="656"/>
    <n v="1990"/>
    <n v="410"/>
    <n v="158154"/>
    <x v="3"/>
    <n v="4.5683321319726342E-2"/>
  </r>
  <r>
    <s v="A145"/>
    <s v="LinkedIn"/>
    <d v="2024-08-12T00:00:00"/>
    <s v="Carousel"/>
    <s v="#MacBookAirM3"/>
    <n v="8376"/>
    <n v="1154"/>
    <n v="422"/>
    <n v="1907"/>
    <n v="36874"/>
    <n v="218486"/>
    <x v="3"/>
    <n v="4.5549829279679245E-2"/>
  </r>
  <r>
    <s v="A145"/>
    <s v="LinkedIn"/>
    <d v="2024-08-12T00:00:00"/>
    <s v="Carousel"/>
    <s v="#AppleInnovation"/>
    <n v="8376"/>
    <n v="1154"/>
    <n v="422"/>
    <n v="1907"/>
    <n v="36874"/>
    <n v="218486"/>
    <x v="3"/>
    <n v="4.5549829279679245E-2"/>
  </r>
  <r>
    <s v="A283"/>
    <s v="Twitter"/>
    <d v="2025-05-09T00:00:00"/>
    <s v="Carousel"/>
    <s v="#AppleWatch"/>
    <n v="8988"/>
    <n v="228"/>
    <n v="766"/>
    <n v="652"/>
    <n v="63789"/>
    <n v="219785"/>
    <x v="3"/>
    <n v="4.541711217781013E-2"/>
  </r>
  <r>
    <s v="A283"/>
    <s v="Twitter"/>
    <d v="2025-05-09T00:00:00"/>
    <s v="Carousel"/>
    <s v="#Health"/>
    <n v="8988"/>
    <n v="228"/>
    <n v="766"/>
    <n v="652"/>
    <n v="63789"/>
    <n v="219785"/>
    <x v="3"/>
    <n v="4.541711217781013E-2"/>
  </r>
  <r>
    <s v="A298"/>
    <s v="YouTube"/>
    <d v="2025-09-24T00:00:00"/>
    <s v="Tweet"/>
    <s v="#iPhone16Launch"/>
    <n v="3342"/>
    <n v="787"/>
    <n v="375"/>
    <n v="907"/>
    <n v="85823"/>
    <n v="99189"/>
    <x v="4"/>
    <n v="4.5408260996683103E-2"/>
  </r>
  <r>
    <s v="A298"/>
    <s v="YouTube"/>
    <d v="2025-09-24T00:00:00"/>
    <s v="Tweet"/>
    <s v="#AppleEvent"/>
    <n v="3342"/>
    <n v="787"/>
    <n v="375"/>
    <n v="907"/>
    <n v="85823"/>
    <n v="99189"/>
    <x v="4"/>
    <n v="4.5408260996683103E-2"/>
  </r>
  <r>
    <s v="A90"/>
    <s v="Twitter"/>
    <d v="2024-06-03T00:00:00"/>
    <s v="Image"/>
    <s v="#AppleEvent"/>
    <n v="8941"/>
    <n v="911"/>
    <n v="166"/>
    <n v="1217"/>
    <n v="68817"/>
    <n v="221180"/>
    <x v="2"/>
    <n v="4.5293426168731353E-2"/>
  </r>
  <r>
    <s v="A90"/>
    <s v="Twitter"/>
    <d v="2024-06-03T00:00:00"/>
    <s v="Image"/>
    <s v="#iPhone16"/>
    <n v="8941"/>
    <n v="911"/>
    <n v="166"/>
    <n v="1217"/>
    <n v="68817"/>
    <n v="221180"/>
    <x v="2"/>
    <n v="4.5293426168731353E-2"/>
  </r>
  <r>
    <s v="A134"/>
    <s v="Instagram"/>
    <d v="2025-10-01T00:00:00"/>
    <s v="Carousel"/>
    <s v="#ShotOniPhone"/>
    <n v="6188"/>
    <n v="774"/>
    <n v="647"/>
    <n v="1830"/>
    <n v="55436"/>
    <n v="175542"/>
    <x v="4"/>
    <n v="4.3345752013763089E-2"/>
  </r>
  <r>
    <s v="A38"/>
    <s v="Instagram"/>
    <d v="2025-02-17T00:00:00"/>
    <s v="Tweet"/>
    <s v="#MacBookAirM3"/>
    <n v="7989"/>
    <n v="1206"/>
    <n v="376"/>
    <n v="2769"/>
    <n v="27550"/>
    <n v="221749"/>
    <x v="3"/>
    <n v="4.3161412227338117E-2"/>
  </r>
  <r>
    <s v="A38"/>
    <s v="Instagram"/>
    <d v="2025-02-17T00:00:00"/>
    <s v="Tweet"/>
    <s v="#AppleInnovation"/>
    <n v="7989"/>
    <n v="1206"/>
    <n v="376"/>
    <n v="2769"/>
    <n v="27550"/>
    <n v="221749"/>
    <x v="3"/>
    <n v="4.3161412227338117E-2"/>
  </r>
  <r>
    <s v="A70"/>
    <s v="Twitter"/>
    <d v="2025-04-02T00:00:00"/>
    <s v="Tweet"/>
    <s v="#iPhone16Launch"/>
    <n v="6858"/>
    <n v="415"/>
    <n v="366"/>
    <n v="2761"/>
    <n v="2988"/>
    <n v="177348"/>
    <x v="0"/>
    <n v="4.3073505198818141E-2"/>
  </r>
  <r>
    <s v="A70"/>
    <s v="Twitter"/>
    <d v="2025-04-02T00:00:00"/>
    <s v="Tweet"/>
    <s v="#AppleEvent"/>
    <n v="6858"/>
    <n v="415"/>
    <n v="366"/>
    <n v="2761"/>
    <n v="2988"/>
    <n v="177348"/>
    <x v="0"/>
    <n v="4.3073505198818141E-2"/>
  </r>
  <r>
    <s v="A142"/>
    <s v="Instagram"/>
    <d v="2025-03-25T00:00:00"/>
    <s v="Carousel"/>
    <s v="#AppleDesign"/>
    <n v="5900"/>
    <n v="546"/>
    <n v="592"/>
    <n v="1594"/>
    <n v="38627"/>
    <n v="164398"/>
    <x v="2"/>
    <n v="4.2810739790021778E-2"/>
  </r>
  <r>
    <s v="A142"/>
    <s v="Instagram"/>
    <d v="2025-03-25T00:00:00"/>
    <s v="Carousel"/>
    <s v="#Innovation"/>
    <n v="5900"/>
    <n v="546"/>
    <n v="592"/>
    <n v="1594"/>
    <n v="38627"/>
    <n v="164398"/>
    <x v="2"/>
    <n v="4.2810739790021778E-2"/>
  </r>
  <r>
    <s v="A207"/>
    <s v="LinkedIn"/>
    <d v="2024-12-29T00:00:00"/>
    <s v="Carousel"/>
    <s v="#MacBookProM3"/>
    <n v="8288"/>
    <n v="1401"/>
    <n v="819"/>
    <n v="1235"/>
    <n v="33446"/>
    <n v="248786"/>
    <x v="0"/>
    <n v="4.2237103373984064E-2"/>
  </r>
  <r>
    <s v="A274"/>
    <s v="LinkedIn"/>
    <d v="2025-01-01T00:00:00"/>
    <s v="Video"/>
    <s v="#AppleMusic"/>
    <n v="8283"/>
    <n v="720"/>
    <n v="888"/>
    <n v="611"/>
    <n v="52791"/>
    <n v="235229"/>
    <x v="0"/>
    <n v="4.2048386891072105E-2"/>
  </r>
  <r>
    <s v="A274"/>
    <s v="LinkedIn"/>
    <d v="2025-01-01T00:00:00"/>
    <s v="Video"/>
    <s v="#AppleLifestyle"/>
    <n v="8283"/>
    <n v="720"/>
    <n v="888"/>
    <n v="611"/>
    <n v="52791"/>
    <n v="235229"/>
    <x v="0"/>
    <n v="4.2048386891072105E-2"/>
  </r>
  <r>
    <s v="A206"/>
    <s v="Instagram"/>
    <d v="2024-06-24T00:00:00"/>
    <s v="Image"/>
    <s v="#AppleEvent"/>
    <n v="6632"/>
    <n v="254"/>
    <n v="525"/>
    <n v="1013"/>
    <n v="13838"/>
    <n v="180180"/>
    <x v="0"/>
    <n v="4.1131091131091133E-2"/>
  </r>
  <r>
    <s v="A206"/>
    <s v="Instagram"/>
    <d v="2024-06-24T00:00:00"/>
    <s v="Image"/>
    <s v="#iPhone16"/>
    <n v="6632"/>
    <n v="254"/>
    <n v="525"/>
    <n v="1013"/>
    <n v="13838"/>
    <n v="180180"/>
    <x v="0"/>
    <n v="4.1131091131091133E-2"/>
  </r>
  <r>
    <s v="A256"/>
    <s v="YouTube"/>
    <d v="2025-09-17T00:00:00"/>
    <s v="Carousel"/>
    <s v="#AppleMusic"/>
    <n v="2117"/>
    <n v="1133"/>
    <n v="203"/>
    <n v="1173"/>
    <n v="40125"/>
    <n v="85379"/>
    <x v="4"/>
    <n v="4.0443200318579509E-2"/>
  </r>
  <r>
    <s v="A256"/>
    <s v="YouTube"/>
    <d v="2025-09-17T00:00:00"/>
    <s v="Carousel"/>
    <s v="#AppleLifestyle"/>
    <n v="2117"/>
    <n v="1133"/>
    <n v="203"/>
    <n v="1173"/>
    <n v="40125"/>
    <n v="85379"/>
    <x v="4"/>
    <n v="4.0443200318579509E-2"/>
  </r>
  <r>
    <s v="A182"/>
    <s v="YouTube"/>
    <d v="2024-07-31T00:00:00"/>
    <s v="Video"/>
    <s v="#AppleDesign"/>
    <n v="7122"/>
    <n v="628"/>
    <n v="757"/>
    <n v="2313"/>
    <n v="50924"/>
    <n v="210954"/>
    <x v="2"/>
    <n v="4.0326327066564277E-2"/>
  </r>
  <r>
    <s v="A182"/>
    <s v="YouTube"/>
    <d v="2024-07-31T00:00:00"/>
    <s v="Video"/>
    <s v="#Innovation"/>
    <n v="7122"/>
    <n v="628"/>
    <n v="757"/>
    <n v="2313"/>
    <n v="50924"/>
    <n v="210954"/>
    <x v="2"/>
    <n v="4.0326327066564277E-2"/>
  </r>
  <r>
    <s v="A79"/>
    <s v="YouTube"/>
    <d v="2025-09-22T00:00:00"/>
    <s v="Video"/>
    <s v="#Sustainability"/>
    <n v="8996"/>
    <n v="329"/>
    <n v="378"/>
    <n v="2384"/>
    <n v="39404"/>
    <n v="242724"/>
    <x v="4"/>
    <n v="3.9975445361810122E-2"/>
  </r>
  <r>
    <s v="A79"/>
    <s v="YouTube"/>
    <d v="2025-09-22T00:00:00"/>
    <s v="Video"/>
    <s v="#AppleEarth"/>
    <n v="8996"/>
    <n v="329"/>
    <n v="378"/>
    <n v="2384"/>
    <n v="39404"/>
    <n v="242724"/>
    <x v="4"/>
    <n v="3.9975445361810122E-2"/>
  </r>
  <r>
    <s v="A14"/>
    <s v="YouTube"/>
    <d v="2025-09-06T00:00:00"/>
    <s v="Tweet"/>
    <s v="#AppleWatch"/>
    <n v="7124"/>
    <n v="469"/>
    <n v="851"/>
    <n v="2571"/>
    <n v="33802"/>
    <n v="216313"/>
    <x v="4"/>
    <n v="3.9036026498638549E-2"/>
  </r>
  <r>
    <s v="A14"/>
    <s v="YouTube"/>
    <d v="2025-09-06T00:00:00"/>
    <s v="Tweet"/>
    <s v="#Health"/>
    <n v="7124"/>
    <n v="469"/>
    <n v="851"/>
    <n v="2571"/>
    <n v="33802"/>
    <n v="216313"/>
    <x v="4"/>
    <n v="3.9036026498638549E-2"/>
  </r>
  <r>
    <s v="A275"/>
    <s v="Instagram"/>
    <d v="2024-08-05T00:00:00"/>
    <s v="Tweet"/>
    <s v="#AppleWatch"/>
    <n v="4048"/>
    <n v="751"/>
    <n v="930"/>
    <n v="1382"/>
    <n v="16844"/>
    <n v="148177"/>
    <x v="1"/>
    <n v="3.8663220337839206E-2"/>
  </r>
  <r>
    <s v="A275"/>
    <s v="Instagram"/>
    <d v="2024-08-05T00:00:00"/>
    <s v="Tweet"/>
    <s v="#Health"/>
    <n v="4048"/>
    <n v="751"/>
    <n v="930"/>
    <n v="1382"/>
    <n v="16844"/>
    <n v="148177"/>
    <x v="1"/>
    <n v="3.8663220337839206E-2"/>
  </r>
  <r>
    <s v="A141"/>
    <s v="LinkedIn"/>
    <d v="2025-10-03T00:00:00"/>
    <s v="Image"/>
    <s v="#iPhone16Launch"/>
    <n v="6777"/>
    <n v="617"/>
    <n v="551"/>
    <n v="2109"/>
    <n v="18559"/>
    <n v="208452"/>
    <x v="4"/>
    <n v="3.8114290100358834E-2"/>
  </r>
  <r>
    <s v="A141"/>
    <s v="LinkedIn"/>
    <d v="2025-10-03T00:00:00"/>
    <s v="Image"/>
    <s v="#AppleEvent"/>
    <n v="6777"/>
    <n v="617"/>
    <n v="551"/>
    <n v="2109"/>
    <n v="18559"/>
    <n v="208452"/>
    <x v="4"/>
    <n v="3.8114290100358834E-2"/>
  </r>
  <r>
    <s v="A43"/>
    <s v="Twitter"/>
    <d v="2025-09-16T00:00:00"/>
    <s v="Tweet"/>
    <s v="#MacBookProM3"/>
    <n v="6809"/>
    <n v="397"/>
    <n v="813"/>
    <n v="1125"/>
    <n v="12206"/>
    <n v="218136"/>
    <x v="4"/>
    <n v="3.6761469908680823E-2"/>
  </r>
  <r>
    <s v="A281"/>
    <s v="LinkedIn"/>
    <d v="2025-03-22T00:00:00"/>
    <s v="Video"/>
    <s v="#AppleEvent"/>
    <n v="3917"/>
    <n v="865"/>
    <n v="759"/>
    <n v="2282"/>
    <n v="56125"/>
    <n v="154014"/>
    <x v="0"/>
    <n v="3.5977248821535704E-2"/>
  </r>
  <r>
    <s v="A281"/>
    <s v="LinkedIn"/>
    <d v="2025-03-22T00:00:00"/>
    <s v="Video"/>
    <s v="#iPhone16"/>
    <n v="3917"/>
    <n v="865"/>
    <n v="759"/>
    <n v="2282"/>
    <n v="56125"/>
    <n v="154014"/>
    <x v="0"/>
    <n v="3.5977248821535704E-2"/>
  </r>
  <r>
    <s v="A280"/>
    <s v="Twitter"/>
    <d v="2025-09-18T00:00:00"/>
    <s v="Video"/>
    <s v="#AppleMusic"/>
    <n v="3828"/>
    <n v="203"/>
    <n v="506"/>
    <n v="2440"/>
    <n v="63650"/>
    <n v="126365"/>
    <x v="4"/>
    <n v="3.5903929094290347E-2"/>
  </r>
  <r>
    <s v="A280"/>
    <s v="Twitter"/>
    <d v="2025-09-18T00:00:00"/>
    <s v="Video"/>
    <s v="#AppleLifestyle"/>
    <n v="3828"/>
    <n v="203"/>
    <n v="506"/>
    <n v="2440"/>
    <n v="63650"/>
    <n v="126365"/>
    <x v="4"/>
    <n v="3.5903929094290347E-2"/>
  </r>
  <r>
    <s v="A178"/>
    <s v="YouTube"/>
    <d v="2025-10-10T00:00:00"/>
    <s v="Carousel"/>
    <s v="#AppleDesign"/>
    <n v="6621"/>
    <n v="922"/>
    <n v="930"/>
    <n v="694"/>
    <n v="839"/>
    <n v="243532"/>
    <x v="4"/>
    <n v="3.479214230573395E-2"/>
  </r>
  <r>
    <s v="A178"/>
    <s v="YouTube"/>
    <d v="2025-10-10T00:00:00"/>
    <s v="Carousel"/>
    <s v="#Innovation"/>
    <n v="6621"/>
    <n v="922"/>
    <n v="930"/>
    <n v="694"/>
    <n v="839"/>
    <n v="243532"/>
    <x v="4"/>
    <n v="3.479214230573395E-2"/>
  </r>
  <r>
    <s v="A181"/>
    <s v="Instagram"/>
    <d v="2025-10-12T00:00:00"/>
    <s v="Carousel"/>
    <s v="#AppleWatch"/>
    <n v="7126"/>
    <n v="484"/>
    <n v="565"/>
    <n v="573"/>
    <n v="7389"/>
    <n v="237096"/>
    <x v="4"/>
    <n v="3.4479704423524646E-2"/>
  </r>
  <r>
    <s v="A181"/>
    <s v="Instagram"/>
    <d v="2025-10-12T00:00:00"/>
    <s v="Carousel"/>
    <s v="#Health"/>
    <n v="7126"/>
    <n v="484"/>
    <n v="565"/>
    <n v="573"/>
    <n v="7389"/>
    <n v="237096"/>
    <x v="4"/>
    <n v="3.4479704423524646E-2"/>
  </r>
  <r>
    <s v="A110"/>
    <s v="YouTube"/>
    <d v="2024-07-29T00:00:00"/>
    <s v="Video"/>
    <s v="#AppleWatch"/>
    <n v="6164"/>
    <n v="326"/>
    <n v="615"/>
    <n v="2806"/>
    <n v="38579"/>
    <n v="206129"/>
    <x v="2"/>
    <n v="3.4468706489625425E-2"/>
  </r>
  <r>
    <s v="A110"/>
    <s v="YouTube"/>
    <d v="2024-07-29T00:00:00"/>
    <s v="Video"/>
    <s v="#Health"/>
    <n v="6164"/>
    <n v="326"/>
    <n v="615"/>
    <n v="2806"/>
    <n v="38579"/>
    <n v="206129"/>
    <x v="2"/>
    <n v="3.4468706489625425E-2"/>
  </r>
  <r>
    <s v="A292"/>
    <s v="YouTube"/>
    <d v="2024-11-17T00:00:00"/>
    <s v="Carousel"/>
    <s v="#AppleMusic"/>
    <n v="4219"/>
    <n v="240"/>
    <n v="670"/>
    <n v="815"/>
    <n v="11978"/>
    <n v="159735"/>
    <x v="1"/>
    <n v="3.2109431245500357E-2"/>
  </r>
  <r>
    <s v="A292"/>
    <s v="YouTube"/>
    <d v="2024-11-17T00:00:00"/>
    <s v="Carousel"/>
    <s v="#AppleLifestyle"/>
    <n v="4219"/>
    <n v="240"/>
    <n v="670"/>
    <n v="815"/>
    <n v="11978"/>
    <n v="159735"/>
    <x v="1"/>
    <n v="3.2109431245500357E-2"/>
  </r>
  <r>
    <s v="A273"/>
    <s v="LinkedIn"/>
    <d v="2024-10-12T00:00:00"/>
    <s v="Image"/>
    <s v="#Sustainability"/>
    <n v="6208"/>
    <n v="725"/>
    <n v="309"/>
    <n v="848"/>
    <n v="39319"/>
    <n v="225763"/>
    <x v="0"/>
    <n v="3.207788698768177E-2"/>
  </r>
  <r>
    <s v="A273"/>
    <s v="LinkedIn"/>
    <d v="2024-10-12T00:00:00"/>
    <s v="Image"/>
    <s v="#AppleEarth"/>
    <n v="6208"/>
    <n v="725"/>
    <n v="309"/>
    <n v="848"/>
    <n v="39319"/>
    <n v="225763"/>
    <x v="0"/>
    <n v="3.207788698768177E-2"/>
  </r>
  <r>
    <s v="A247"/>
    <s v="Instagram"/>
    <d v="2024-08-27T00:00:00"/>
    <s v="Image"/>
    <s v="#MacBookProM3"/>
    <n v="6324"/>
    <n v="908"/>
    <n v="375"/>
    <n v="758"/>
    <n v="34850"/>
    <n v="241039"/>
    <x v="0"/>
    <n v="3.1559208260903839E-2"/>
  </r>
  <r>
    <s v="A173"/>
    <s v="YouTube"/>
    <d v="2024-12-05T00:00:00"/>
    <s v="Tweet"/>
    <s v="#AppleEvent"/>
    <n v="4125"/>
    <n v="1364"/>
    <n v="319"/>
    <n v="2848"/>
    <n v="15379"/>
    <n v="188159"/>
    <x v="2"/>
    <n v="3.0867510988047343E-2"/>
  </r>
  <r>
    <s v="A173"/>
    <s v="YouTube"/>
    <d v="2024-12-05T00:00:00"/>
    <s v="Tweet"/>
    <s v="#iPhone16"/>
    <n v="4125"/>
    <n v="1364"/>
    <n v="319"/>
    <n v="2848"/>
    <n v="15379"/>
    <n v="188159"/>
    <x v="2"/>
    <n v="3.0867510988047343E-2"/>
  </r>
  <r>
    <s v="A193"/>
    <s v="Instagram"/>
    <d v="2024-09-11T00:00:00"/>
    <s v="Image"/>
    <s v="#AppleWatch"/>
    <n v="3906"/>
    <n v="1187"/>
    <n v="589"/>
    <n v="401"/>
    <n v="52687"/>
    <n v="196498"/>
    <x v="0"/>
    <n v="2.8916324848090057E-2"/>
  </r>
  <r>
    <s v="A193"/>
    <s v="Instagram"/>
    <d v="2024-09-11T00:00:00"/>
    <s v="Image"/>
    <s v="#Health"/>
    <n v="3906"/>
    <n v="1187"/>
    <n v="589"/>
    <n v="401"/>
    <n v="52687"/>
    <n v="196498"/>
    <x v="0"/>
    <n v="2.8916324848090057E-2"/>
  </r>
  <r>
    <s v="A245"/>
    <s v="YouTube"/>
    <d v="2025-01-12T00:00:00"/>
    <s v="Image"/>
    <s v="#AppleEvent"/>
    <n v="4590"/>
    <n v="713"/>
    <n v="479"/>
    <n v="2730"/>
    <n v="41050"/>
    <n v="204246"/>
    <x v="3"/>
    <n v="2.8308999931455206E-2"/>
  </r>
  <r>
    <s v="A245"/>
    <s v="YouTube"/>
    <d v="2025-01-12T00:00:00"/>
    <s v="Image"/>
    <s v="#iPadPro"/>
    <n v="4590"/>
    <n v="713"/>
    <n v="479"/>
    <n v="2730"/>
    <n v="41050"/>
    <n v="204246"/>
    <x v="3"/>
    <n v="2.8308999931455206E-2"/>
  </r>
  <r>
    <s v="A236"/>
    <s v="LinkedIn"/>
    <d v="2024-08-19T00:00:00"/>
    <s v="Video"/>
    <s v="#iPhonePhotography"/>
    <n v="3605"/>
    <n v="206"/>
    <n v="921"/>
    <n v="852"/>
    <n v="11660"/>
    <n v="182635"/>
    <x v="1"/>
    <n v="2.590960111698196E-2"/>
  </r>
  <r>
    <s v="A236"/>
    <s v="LinkedIn"/>
    <d v="2024-08-19T00:00:00"/>
    <s v="Video"/>
    <s v="#ShotOniPhone"/>
    <n v="3605"/>
    <n v="206"/>
    <n v="921"/>
    <n v="852"/>
    <n v="11660"/>
    <n v="182635"/>
    <x v="1"/>
    <n v="2.590960111698196E-2"/>
  </r>
  <r>
    <s v="A41"/>
    <s v="YouTube"/>
    <d v="2025-09-15T00:00:00"/>
    <s v="Tweet"/>
    <s v="#MacBookAirM3"/>
    <n v="5636"/>
    <n v="303"/>
    <n v="204"/>
    <n v="2480"/>
    <n v="7377"/>
    <n v="241207"/>
    <x v="4"/>
    <n v="2.5467751765081443E-2"/>
  </r>
  <r>
    <s v="A41"/>
    <s v="YouTube"/>
    <d v="2025-09-15T00:00:00"/>
    <s v="Tweet"/>
    <s v="#AppleInnovation"/>
    <n v="5636"/>
    <n v="303"/>
    <n v="204"/>
    <n v="2480"/>
    <n v="7377"/>
    <n v="241207"/>
    <x v="4"/>
    <n v="2.5467751765081443E-2"/>
  </r>
  <r>
    <s v="A78"/>
    <s v="LinkedIn"/>
    <d v="2024-06-17T00:00:00"/>
    <s v="Image"/>
    <s v="#AppleMusic"/>
    <n v="3252"/>
    <n v="1043"/>
    <n v="647"/>
    <n v="1545"/>
    <n v="18859"/>
    <n v="222958"/>
    <x v="0"/>
    <n v="2.2165609666394567E-2"/>
  </r>
  <r>
    <s v="A78"/>
    <s v="LinkedIn"/>
    <d v="2024-06-17T00:00:00"/>
    <s v="Image"/>
    <s v="#AppleLifestyle"/>
    <n v="3252"/>
    <n v="1043"/>
    <n v="647"/>
    <n v="1545"/>
    <n v="18859"/>
    <n v="222958"/>
    <x v="0"/>
    <n v="2.2165609666394567E-2"/>
  </r>
  <r>
    <s v="A188"/>
    <s v="YouTube"/>
    <d v="2024-06-06T00:00:00"/>
    <s v="Carousel"/>
    <s v="#Sustainability"/>
    <n v="3531"/>
    <n v="789"/>
    <n v="467"/>
    <n v="1867"/>
    <n v="40816"/>
    <n v="236037"/>
    <x v="3"/>
    <n v="2.0280718700881641E-2"/>
  </r>
  <r>
    <s v="A188"/>
    <s v="YouTube"/>
    <d v="2024-06-06T00:00:00"/>
    <s v="Carousel"/>
    <s v="#AppleEarth"/>
    <n v="3531"/>
    <n v="789"/>
    <n v="467"/>
    <n v="1867"/>
    <n v="40816"/>
    <n v="236037"/>
    <x v="3"/>
    <n v="2.0280718700881641E-2"/>
  </r>
  <r>
    <s v="A4"/>
    <s v="YouTube"/>
    <d v="2024-08-12T00:00:00"/>
    <s v="Video"/>
    <s v="#AppleEvent"/>
    <n v="3581"/>
    <n v="517"/>
    <n v="880"/>
    <n v="1925"/>
    <n v="18636"/>
    <n v="248611"/>
    <x v="1"/>
    <n v="2.0023249172401864E-2"/>
  </r>
  <r>
    <s v="A4"/>
    <s v="YouTube"/>
    <d v="2024-08-12T00:00:00"/>
    <s v="Video"/>
    <s v="#iPadPro"/>
    <n v="3581"/>
    <n v="517"/>
    <n v="880"/>
    <n v="1925"/>
    <n v="18636"/>
    <n v="248611"/>
    <x v="1"/>
    <n v="2.0023249172401864E-2"/>
  </r>
  <r>
    <s v="A167"/>
    <s v="LinkedIn"/>
    <d v="2024-11-28T00:00:00"/>
    <s v="Carousel"/>
    <s v="#AppleEvent"/>
    <n v="2302"/>
    <n v="347"/>
    <n v="642"/>
    <n v="2175"/>
    <n v="56378"/>
    <n v="198056"/>
    <x v="2"/>
    <n v="1.6616512501514722E-2"/>
  </r>
  <r>
    <s v="A167"/>
    <s v="LinkedIn"/>
    <d v="2024-11-28T00:00:00"/>
    <s v="Carousel"/>
    <s v="#iPhone16"/>
    <n v="2302"/>
    <n v="347"/>
    <n v="642"/>
    <n v="2175"/>
    <n v="56378"/>
    <n v="198056"/>
    <x v="2"/>
    <n v="1.6616512501514722E-2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d v="2024-06-03T00:00:00"/>
    <x v="0"/>
    <x v="0"/>
    <n v="4138"/>
    <n v="361"/>
    <n v="103777"/>
    <n v="56.637790647253247"/>
    <n v="23944"/>
    <s v="Health &amp; Fitness Awareness"/>
    <n v="3777"/>
  </r>
  <r>
    <d v="2024-06-03T00:00:00"/>
    <x v="0"/>
    <x v="1"/>
    <n v="8693"/>
    <n v="1261"/>
    <n v="111209"/>
    <n v="69.475492091467416"/>
    <n v="29873"/>
    <s v="Health &amp; Fitness Awareness"/>
    <n v="7432"/>
  </r>
  <r>
    <d v="2024-06-03T00:00:00"/>
    <x v="0"/>
    <x v="2"/>
    <n v="9264"/>
    <n v="1141"/>
    <n v="119332"/>
    <n v="92.312204605638044"/>
    <n v="50372"/>
    <s v="Sustainability Branding"/>
    <n v="8123"/>
  </r>
  <r>
    <d v="2024-06-03T00:00:00"/>
    <x v="0"/>
    <x v="2"/>
    <n v="8842"/>
    <n v="971"/>
    <n v="127203"/>
    <n v="16.351815601833291"/>
    <n v="33928"/>
    <s v="Sustainability Branding"/>
    <n v="7871"/>
  </r>
  <r>
    <d v="2024-06-10T00:00:00"/>
    <x v="1"/>
    <x v="0"/>
    <n v="7721"/>
    <n v="506"/>
    <n v="134418"/>
    <n v="35.577824398518047"/>
    <n v="25379"/>
    <s v="Health &amp; Fitness Awareness"/>
    <n v="7215"/>
  </r>
  <r>
    <d v="2024-06-10T00:00:00"/>
    <x v="1"/>
    <x v="2"/>
    <n v="8002"/>
    <n v="524"/>
    <n v="141896"/>
    <n v="52.064892597395271"/>
    <n v="46751"/>
    <s v="Health &amp; Fitness Awareness"/>
    <n v="7478"/>
  </r>
  <r>
    <d v="2024-06-10T00:00:00"/>
    <x v="1"/>
    <x v="1"/>
    <n v="5225"/>
    <n v="291"/>
    <n v="146830"/>
    <n v="19.551862698358651"/>
    <n v="44546"/>
    <s v="Product Launch"/>
    <n v="4934"/>
  </r>
  <r>
    <d v="2024-06-10T00:00:00"/>
    <x v="1"/>
    <x v="1"/>
    <n v="3978"/>
    <n v="543"/>
    <n v="150265"/>
    <n v="49.159817655475329"/>
    <n v="34286"/>
    <s v="Health &amp; Fitness Awareness"/>
    <n v="3435"/>
  </r>
  <r>
    <d v="2024-06-17T00:00:00"/>
    <x v="2"/>
    <x v="0"/>
    <n v="8373"/>
    <n v="921"/>
    <n v="157717"/>
    <n v="12.2263294381709"/>
    <n v="15110"/>
    <s v="Health &amp; Fitness Awareness"/>
    <n v="7452"/>
  </r>
  <r>
    <d v="2024-06-17T00:00:00"/>
    <x v="2"/>
    <x v="1"/>
    <n v="6907"/>
    <n v="834"/>
    <n v="163790"/>
    <n v="54.158984064961238"/>
    <n v="22087"/>
    <s v="Product Launch"/>
    <n v="6073"/>
  </r>
  <r>
    <d v="2024-06-17T00:00:00"/>
    <x v="2"/>
    <x v="3"/>
    <n v="7097"/>
    <n v="369"/>
    <n v="170518"/>
    <n v="9.2506362964613711"/>
    <n v="33762"/>
    <s v="Brand Engagement"/>
    <n v="6728"/>
  </r>
  <r>
    <d v="2024-06-17T00:00:00"/>
    <x v="2"/>
    <x v="0"/>
    <n v="6656"/>
    <n v="978"/>
    <n v="176196"/>
    <n v="60.425889350496043"/>
    <n v="27081"/>
    <s v="Brand Engagement"/>
    <n v="5678"/>
  </r>
  <r>
    <d v="2024-06-24T00:00:00"/>
    <x v="3"/>
    <x v="1"/>
    <n v="9984"/>
    <n v="1330"/>
    <n v="184850"/>
    <n v="57.524479307546663"/>
    <n v="44947"/>
    <s v="Brand Engagement"/>
    <n v="8654"/>
  </r>
  <r>
    <d v="2024-06-24T00:00:00"/>
    <x v="3"/>
    <x v="0"/>
    <n v="5259"/>
    <n v="374"/>
    <n v="189735"/>
    <n v="14.827522597306769"/>
    <n v="19596"/>
    <s v="Brand Engagement"/>
    <n v="4885"/>
  </r>
  <r>
    <d v="2024-06-24T00:00:00"/>
    <x v="3"/>
    <x v="2"/>
    <n v="9286"/>
    <n v="633"/>
    <n v="198388"/>
    <n v="5.4343004617214756"/>
    <n v="48019"/>
    <s v="Brand Engagement"/>
    <n v="8653"/>
  </r>
  <r>
    <d v="2024-06-24T00:00:00"/>
    <x v="3"/>
    <x v="1"/>
    <n v="6901"/>
    <n v="471"/>
    <n v="204818"/>
    <n v="60.827661631301943"/>
    <n v="52003"/>
    <s v="Product Promotion"/>
    <n v="6430"/>
  </r>
  <r>
    <d v="2024-07-01T00:00:00"/>
    <x v="4"/>
    <x v="3"/>
    <n v="5917"/>
    <n v="475"/>
    <n v="210260"/>
    <n v="17.894035955483702"/>
    <n v="28313"/>
    <s v="Product Promotion"/>
    <n v="5442"/>
  </r>
  <r>
    <d v="2024-07-01T00:00:00"/>
    <x v="4"/>
    <x v="1"/>
    <n v="9429"/>
    <n v="966"/>
    <n v="218723"/>
    <n v="7.6914636320825887"/>
    <n v="57639"/>
    <s v="Product Launch"/>
    <n v="8463"/>
  </r>
  <r>
    <d v="2024-07-01T00:00:00"/>
    <x v="4"/>
    <x v="0"/>
    <n v="3530"/>
    <n v="328"/>
    <n v="221925"/>
    <n v="12.8372197814577"/>
    <n v="11013"/>
    <s v="Product Launch"/>
    <n v="3202"/>
  </r>
  <r>
    <d v="2024-07-01T00:00:00"/>
    <x v="4"/>
    <x v="0"/>
    <n v="2960"/>
    <n v="234"/>
    <n v="224651"/>
    <n v="17.41278694508371"/>
    <n v="59378"/>
    <s v="Sustainability Branding"/>
    <n v="2726"/>
  </r>
  <r>
    <d v="2024-07-08T00:00:00"/>
    <x v="5"/>
    <x v="1"/>
    <n v="8045"/>
    <n v="894"/>
    <n v="231802"/>
    <n v="47.634187798207087"/>
    <n v="33705"/>
    <s v="Sustainability Branding"/>
    <n v="7151"/>
  </r>
  <r>
    <d v="2024-07-08T00:00:00"/>
    <x v="5"/>
    <x v="3"/>
    <n v="2048"/>
    <n v="130"/>
    <n v="233720"/>
    <n v="39.284614068115687"/>
    <n v="11828"/>
    <s v="Brand Engagement"/>
    <n v="1918"/>
  </r>
  <r>
    <d v="2024-07-08T00:00:00"/>
    <x v="5"/>
    <x v="3"/>
    <n v="6772"/>
    <n v="536"/>
    <n v="239956"/>
    <n v="9.8205504342462788"/>
    <n v="17909"/>
    <s v="Brand Engagement"/>
    <n v="6236"/>
  </r>
  <r>
    <d v="2024-07-08T00:00:00"/>
    <x v="5"/>
    <x v="3"/>
    <n v="3529"/>
    <n v="305"/>
    <n v="243180"/>
    <n v="41.606628834608109"/>
    <n v="48356"/>
    <s v="Brand Engagement"/>
    <n v="3224"/>
  </r>
  <r>
    <d v="2024-07-15T00:00:00"/>
    <x v="6"/>
    <x v="0"/>
    <n v="3964"/>
    <n v="378"/>
    <n v="246766"/>
    <n v="13.6355899921383"/>
    <n v="23109"/>
    <s v="Brand Engagement"/>
    <n v="3586"/>
  </r>
  <r>
    <d v="2024-07-15T00:00:00"/>
    <x v="6"/>
    <x v="1"/>
    <n v="8137"/>
    <n v="1045"/>
    <n v="253858"/>
    <n v="20.47246886054408"/>
    <n v="12023"/>
    <s v="Product Promotion"/>
    <n v="7092"/>
  </r>
  <r>
    <d v="2024-07-15T00:00:00"/>
    <x v="6"/>
    <x v="2"/>
    <n v="1963"/>
    <n v="137"/>
    <n v="255684"/>
    <n v="11.2083665774941"/>
    <n v="24537"/>
    <s v="Sustainability Branding"/>
    <n v="1826"/>
  </r>
  <r>
    <d v="2024-07-15T00:00:00"/>
    <x v="6"/>
    <x v="0"/>
    <n v="1536"/>
    <n v="155"/>
    <n v="257065"/>
    <n v="12.15762550327738"/>
    <n v="36661"/>
    <s v="Sustainability Branding"/>
    <n v="1381"/>
  </r>
  <r>
    <d v="2024-07-22T00:00:00"/>
    <x v="7"/>
    <x v="3"/>
    <n v="8340"/>
    <n v="911"/>
    <n v="264494"/>
    <n v="37.302925586213682"/>
    <n v="48659"/>
    <s v="Health &amp; Fitness Awareness"/>
    <n v="7429"/>
  </r>
  <r>
    <d v="2024-07-22T00:00:00"/>
    <x v="7"/>
    <x v="1"/>
    <n v="8179"/>
    <n v="446"/>
    <n v="272227"/>
    <n v="41.82171496581897"/>
    <n v="43848"/>
    <s v="Health &amp; Fitness Awareness"/>
    <n v="7733"/>
  </r>
  <r>
    <d v="2024-07-22T00:00:00"/>
    <x v="7"/>
    <x v="3"/>
    <n v="8967"/>
    <n v="993"/>
    <n v="280201"/>
    <n v="52.792102811910027"/>
    <n v="47804"/>
    <s v="Brand Engagement"/>
    <n v="7974"/>
  </r>
  <r>
    <d v="2024-07-22T00:00:00"/>
    <x v="7"/>
    <x v="2"/>
    <n v="9734"/>
    <n v="652"/>
    <n v="289283"/>
    <n v="49.647922622483861"/>
    <n v="25379"/>
    <s v="Sustainability Branding"/>
    <n v="9082"/>
  </r>
  <r>
    <d v="2024-07-29T00:00:00"/>
    <x v="8"/>
    <x v="3"/>
    <n v="1845"/>
    <n v="104"/>
    <n v="291024"/>
    <n v="28.158158777282971"/>
    <n v="37766"/>
    <s v="Sustainability Branding"/>
    <n v="1741"/>
  </r>
  <r>
    <d v="2024-07-29T00:00:00"/>
    <x v="8"/>
    <x v="3"/>
    <n v="6777"/>
    <n v="981"/>
    <n v="296820"/>
    <n v="23.920557913887201"/>
    <n v="53590"/>
    <s v="Sustainability Branding"/>
    <n v="5796"/>
  </r>
  <r>
    <d v="2024-07-29T00:00:00"/>
    <x v="8"/>
    <x v="2"/>
    <n v="4036"/>
    <n v="591"/>
    <n v="300265"/>
    <n v="44.219272975538267"/>
    <n v="12563"/>
    <s v="Sustainability Branding"/>
    <n v="3445"/>
  </r>
  <r>
    <d v="2024-07-29T00:00:00"/>
    <x v="8"/>
    <x v="1"/>
    <n v="6947"/>
    <n v="908"/>
    <n v="306304"/>
    <n v="14.117673944839121"/>
    <n v="46060"/>
    <s v="Product Promotion"/>
    <n v="6039"/>
  </r>
  <r>
    <d v="2024-08-05T00:00:00"/>
    <x v="9"/>
    <x v="0"/>
    <n v="3494"/>
    <n v="281"/>
    <n v="309517"/>
    <n v="27.765518533715429"/>
    <n v="39197"/>
    <s v="Brand Engagement"/>
    <n v="3213"/>
  </r>
  <r>
    <d v="2024-08-05T00:00:00"/>
    <x v="9"/>
    <x v="1"/>
    <n v="3719"/>
    <n v="222"/>
    <n v="313014"/>
    <n v="21.669318305251519"/>
    <n v="13586"/>
    <s v="Brand Engagement"/>
    <n v="3497"/>
  </r>
  <r>
    <d v="2024-08-05T00:00:00"/>
    <x v="9"/>
    <x v="2"/>
    <n v="2884"/>
    <n v="341"/>
    <n v="315557"/>
    <n v="46.999749649033298"/>
    <n v="26087"/>
    <s v="Product Launch"/>
    <n v="2543"/>
  </r>
  <r>
    <d v="2024-08-05T00:00:00"/>
    <x v="9"/>
    <x v="3"/>
    <n v="5349"/>
    <n v="502"/>
    <n v="320404"/>
    <n v="5.2152906954969351"/>
    <n v="58868"/>
    <s v="Product Launch"/>
    <n v="4847"/>
  </r>
  <r>
    <d v="2024-08-12T00:00:00"/>
    <x v="10"/>
    <x v="1"/>
    <n v="6179"/>
    <n v="384"/>
    <n v="326199"/>
    <n v="14.71218489327067"/>
    <n v="33225"/>
    <s v="Product Promotion"/>
    <n v="5795"/>
  </r>
  <r>
    <d v="2024-08-12T00:00:00"/>
    <x v="10"/>
    <x v="0"/>
    <n v="7610"/>
    <n v="757"/>
    <n v="333052"/>
    <n v="44.450416151231643"/>
    <n v="39750"/>
    <s v="Product Promotion"/>
    <n v="6853"/>
  </r>
  <r>
    <d v="2024-08-12T00:00:00"/>
    <x v="10"/>
    <x v="2"/>
    <n v="7430"/>
    <n v="397"/>
    <n v="340085"/>
    <n v="28.065042562888689"/>
    <n v="16643"/>
    <s v="Health &amp; Fitness Awareness"/>
    <n v="7033"/>
  </r>
  <r>
    <d v="2024-08-12T00:00:00"/>
    <x v="10"/>
    <x v="1"/>
    <n v="8154"/>
    <n v="1149"/>
    <n v="347090"/>
    <n v="26.003918292085629"/>
    <n v="37523"/>
    <s v="Health &amp; Fitness Awareness"/>
    <n v="7005"/>
  </r>
  <r>
    <d v="2024-08-19T00:00:00"/>
    <x v="11"/>
    <x v="0"/>
    <n v="7488"/>
    <n v="568"/>
    <n v="354010"/>
    <n v="13.47730290104799"/>
    <n v="46727"/>
    <s v="Product Promotion"/>
    <n v="6920"/>
  </r>
  <r>
    <d v="2024-08-19T00:00:00"/>
    <x v="11"/>
    <x v="2"/>
    <n v="5737"/>
    <n v="666"/>
    <n v="359081"/>
    <n v="4.6034181702735593"/>
    <n v="21005"/>
    <s v="Product Promotion"/>
    <n v="5071"/>
  </r>
  <r>
    <d v="2024-08-19T00:00:00"/>
    <x v="11"/>
    <x v="0"/>
    <n v="7525"/>
    <n v="610"/>
    <n v="365996"/>
    <n v="5.7694619613329108"/>
    <n v="53543"/>
    <s v="Product Promotion"/>
    <n v="6915"/>
  </r>
  <r>
    <d v="2024-08-19T00:00:00"/>
    <x v="11"/>
    <x v="2"/>
    <n v="4850"/>
    <n v="494"/>
    <n v="370352"/>
    <n v="20.46539508359615"/>
    <n v="10161"/>
    <s v="Product Promotion"/>
    <n v="4356"/>
  </r>
  <r>
    <d v="2024-08-26T00:00:00"/>
    <x v="12"/>
    <x v="3"/>
    <n v="1689"/>
    <n v="176"/>
    <n v="371865"/>
    <n v="38.012181840183942"/>
    <n v="26029"/>
    <s v="Product Launch"/>
    <n v="1513"/>
  </r>
  <r>
    <d v="2024-08-26T00:00:00"/>
    <x v="12"/>
    <x v="1"/>
    <n v="6175"/>
    <n v="422"/>
    <n v="377618"/>
    <n v="37.86101298137271"/>
    <n v="59745"/>
    <s v="Product Launch"/>
    <n v="5753"/>
  </r>
  <r>
    <d v="2024-08-26T00:00:00"/>
    <x v="12"/>
    <x v="0"/>
    <n v="9648"/>
    <n v="1417"/>
    <n v="385849"/>
    <n v="3.6633501706626168"/>
    <n v="24226"/>
    <s v="Brand Engagement"/>
    <n v="8231"/>
  </r>
  <r>
    <d v="2024-08-26T00:00:00"/>
    <x v="12"/>
    <x v="2"/>
    <n v="6078"/>
    <n v="775"/>
    <n v="391152"/>
    <n v="37.760512537325639"/>
    <n v="38731"/>
    <s v="Brand Engagement"/>
    <n v="5303"/>
  </r>
  <r>
    <d v="2024-09-02T00:00:00"/>
    <x v="13"/>
    <x v="0"/>
    <n v="6448"/>
    <n v="928"/>
    <n v="396672"/>
    <n v="30.118586640851881"/>
    <n v="53922"/>
    <s v="Product Launch"/>
    <n v="5520"/>
  </r>
  <r>
    <d v="2024-09-02T00:00:00"/>
    <x v="13"/>
    <x v="0"/>
    <n v="2179"/>
    <n v="303"/>
    <n v="398548"/>
    <n v="33.909842729106657"/>
    <n v="54848"/>
    <s v="Product Launch"/>
    <n v="1876"/>
  </r>
  <r>
    <d v="2024-09-02T00:00:00"/>
    <x v="13"/>
    <x v="1"/>
    <n v="7406"/>
    <n v="813"/>
    <n v="405141"/>
    <n v="24.457411123534769"/>
    <n v="13390"/>
    <s v="Sustainability Branding"/>
    <n v="6593"/>
  </r>
  <r>
    <d v="2024-09-02T00:00:00"/>
    <x v="13"/>
    <x v="3"/>
    <n v="9591"/>
    <n v="1363"/>
    <n v="413369"/>
    <n v="10.494255737609739"/>
    <n v="15997"/>
    <s v="Sustainability Branding"/>
    <n v="8228"/>
  </r>
  <r>
    <d v="2024-09-09T00:00:00"/>
    <x v="14"/>
    <x v="0"/>
    <n v="7907"/>
    <n v="465"/>
    <n v="420811"/>
    <n v="33.257448118038738"/>
    <n v="22693"/>
    <s v="Health &amp; Fitness Awareness"/>
    <n v="7442"/>
  </r>
  <r>
    <d v="2024-09-09T00:00:00"/>
    <x v="14"/>
    <x v="2"/>
    <n v="9800"/>
    <n v="682"/>
    <n v="429929"/>
    <n v="6.2966210699906267"/>
    <n v="59815"/>
    <s v="Health &amp; Fitness Awareness"/>
    <n v="9118"/>
  </r>
  <r>
    <d v="2024-09-09T00:00:00"/>
    <x v="14"/>
    <x v="2"/>
    <n v="2638"/>
    <n v="143"/>
    <n v="432424"/>
    <n v="6.9547481175882924"/>
    <n v="52092"/>
    <s v="Product Promotion"/>
    <n v="2495"/>
  </r>
  <r>
    <d v="2024-09-09T00:00:00"/>
    <x v="14"/>
    <x v="3"/>
    <n v="6671"/>
    <n v="550"/>
    <n v="438545"/>
    <n v="17.750287883797562"/>
    <n v="10541"/>
    <s v="Product Promotion"/>
    <n v="6121"/>
  </r>
  <r>
    <d v="2024-09-16T00:00:00"/>
    <x v="15"/>
    <x v="2"/>
    <n v="7928"/>
    <n v="704"/>
    <n v="445769"/>
    <n v="11.194362999670229"/>
    <n v="31817"/>
    <s v="Product Promotion"/>
    <n v="7224"/>
  </r>
  <r>
    <d v="2024-09-16T00:00:00"/>
    <x v="15"/>
    <x v="3"/>
    <n v="2382"/>
    <n v="183"/>
    <n v="447968"/>
    <n v="4.7335970426459033"/>
    <n v="47861"/>
    <s v="Product Promotion"/>
    <n v="2199"/>
  </r>
  <r>
    <d v="2024-09-16T00:00:00"/>
    <x v="15"/>
    <x v="2"/>
    <n v="2403"/>
    <n v="319"/>
    <n v="450052"/>
    <n v="29.92120910472568"/>
    <n v="23428"/>
    <s v="Health &amp; Fitness Awareness"/>
    <n v="2084"/>
  </r>
  <r>
    <d v="2024-09-16T00:00:00"/>
    <x v="15"/>
    <x v="1"/>
    <n v="4292"/>
    <n v="367"/>
    <n v="453977"/>
    <n v="3.5037017293827661"/>
    <n v="53934"/>
    <s v="Health &amp; Fitness Awareness"/>
    <n v="3925"/>
  </r>
  <r>
    <d v="2024-09-23T00:00:00"/>
    <x v="16"/>
    <x v="0"/>
    <n v="1419"/>
    <n v="110"/>
    <n v="455286"/>
    <n v="31.554451487636339"/>
    <n v="58831"/>
    <s v="Brand Engagement"/>
    <n v="1309"/>
  </r>
  <r>
    <d v="2024-09-23T00:00:00"/>
    <x v="16"/>
    <x v="1"/>
    <n v="5517"/>
    <n v="575"/>
    <n v="460228"/>
    <n v="29.45844233727631"/>
    <n v="20258"/>
    <s v="Brand Engagement"/>
    <n v="4942"/>
  </r>
  <r>
    <d v="2024-09-23T00:00:00"/>
    <x v="16"/>
    <x v="0"/>
    <n v="4302"/>
    <n v="275"/>
    <n v="464255"/>
    <n v="15.72131694865968"/>
    <n v="26044"/>
    <s v="Sustainability Branding"/>
    <n v="4027"/>
  </r>
  <r>
    <d v="2024-09-23T00:00:00"/>
    <x v="16"/>
    <x v="0"/>
    <n v="8857"/>
    <n v="1153"/>
    <n v="471959"/>
    <n v="19.214592793018038"/>
    <n v="39411"/>
    <s v="Sustainability Branding"/>
    <n v="7704"/>
  </r>
  <r>
    <d v="2024-09-30T00:00:00"/>
    <x v="17"/>
    <x v="0"/>
    <n v="8870"/>
    <n v="509"/>
    <n v="480320"/>
    <n v="25.077864756828781"/>
    <n v="15469"/>
    <s v="Product Promotion"/>
    <n v="8361"/>
  </r>
  <r>
    <d v="2024-09-30T00:00:00"/>
    <x v="17"/>
    <x v="1"/>
    <n v="6693"/>
    <n v="995"/>
    <n v="486018"/>
    <n v="23.761877132122681"/>
    <n v="38854"/>
    <s v="Product Promotion"/>
    <n v="5698"/>
  </r>
  <r>
    <d v="2024-09-30T00:00:00"/>
    <x v="17"/>
    <x v="0"/>
    <n v="1767"/>
    <n v="224"/>
    <n v="487561"/>
    <n v="13.208603641390511"/>
    <n v="16256"/>
    <s v="Sustainability Branding"/>
    <n v="1543"/>
  </r>
  <r>
    <d v="2024-09-30T00:00:00"/>
    <x v="17"/>
    <x v="1"/>
    <n v="3044"/>
    <n v="212"/>
    <n v="490393"/>
    <n v="8.5343795690395261"/>
    <n v="20720"/>
    <s v="Sustainability Branding"/>
    <n v="2832"/>
  </r>
  <r>
    <d v="2024-10-07T00:00:00"/>
    <x v="18"/>
    <x v="3"/>
    <n v="2549"/>
    <n v="128"/>
    <n v="492814"/>
    <n v="12.734216154573531"/>
    <n v="43937"/>
    <s v="Health &amp; Fitness Awareness"/>
    <n v="2421"/>
  </r>
  <r>
    <d v="2024-10-07T00:00:00"/>
    <x v="18"/>
    <x v="2"/>
    <n v="7140"/>
    <n v="939"/>
    <n v="499015"/>
    <n v="25.120888149654821"/>
    <n v="43598"/>
    <s v="Health &amp; Fitness Awareness"/>
    <n v="6201"/>
  </r>
  <r>
    <d v="2024-10-07T00:00:00"/>
    <x v="18"/>
    <x v="2"/>
    <n v="4716"/>
    <n v="569"/>
    <n v="503162"/>
    <n v="25.64820077827817"/>
    <n v="11651"/>
    <s v="Sustainability Branding"/>
    <n v="4147"/>
  </r>
  <r>
    <d v="2024-10-07T00:00:00"/>
    <x v="18"/>
    <x v="0"/>
    <n v="5481"/>
    <n v="673"/>
    <n v="507970"/>
    <n v="13.08758391243577"/>
    <n v="29194"/>
    <s v="Sustainability Branding"/>
    <n v="4808"/>
  </r>
  <r>
    <d v="2024-10-14T00:00:00"/>
    <x v="19"/>
    <x v="1"/>
    <n v="8898"/>
    <n v="1131"/>
    <n v="515737"/>
    <n v="2.1877429775253669"/>
    <n v="35051"/>
    <s v="Brand Engagement"/>
    <n v="7767"/>
  </r>
  <r>
    <d v="2024-10-14T00:00:00"/>
    <x v="19"/>
    <x v="2"/>
    <n v="7548"/>
    <n v="433"/>
    <n v="522852"/>
    <n v="8.3562843787534522"/>
    <n v="37386"/>
    <s v="Brand Engagement"/>
    <n v="7115"/>
  </r>
  <r>
    <d v="2024-10-14T00:00:00"/>
    <x v="19"/>
    <x v="1"/>
    <n v="3293"/>
    <n v="282"/>
    <n v="525863"/>
    <n v="27.040693108281051"/>
    <n v="19518"/>
    <s v="Health &amp; Fitness Awareness"/>
    <n v="3011"/>
  </r>
  <r>
    <d v="2024-10-14T00:00:00"/>
    <x v="19"/>
    <x v="1"/>
    <n v="5837"/>
    <n v="359"/>
    <n v="531341"/>
    <n v="6.8073045370110723"/>
    <n v="56026"/>
    <s v="Health &amp; Fitness Awareness"/>
    <n v="5478"/>
  </r>
  <r>
    <d v="2024-10-21T00:00:00"/>
    <x v="20"/>
    <x v="0"/>
    <n v="8758"/>
    <n v="1193"/>
    <n v="538906"/>
    <n v="3.4213758985797149"/>
    <n v="26184"/>
    <s v="Health &amp; Fitness Awareness"/>
    <n v="7565"/>
  </r>
  <r>
    <d v="2024-10-21T00:00:00"/>
    <x v="20"/>
    <x v="2"/>
    <n v="7793"/>
    <n v="875"/>
    <n v="545824"/>
    <n v="5.5136820660139527"/>
    <n v="43787"/>
    <s v="Sustainability Branding"/>
    <n v="6918"/>
  </r>
  <r>
    <d v="2024-10-21T00:00:00"/>
    <x v="20"/>
    <x v="0"/>
    <n v="8638"/>
    <n v="717"/>
    <n v="553745"/>
    <n v="26.921416897669499"/>
    <n v="31621"/>
    <s v="Sustainability Branding"/>
    <n v="7921"/>
  </r>
  <r>
    <d v="2024-10-21T00:00:00"/>
    <x v="20"/>
    <x v="0"/>
    <n v="8993"/>
    <n v="506"/>
    <n v="562232"/>
    <n v="3.5131404829323132"/>
    <n v="20028"/>
    <s v="Product Launch"/>
    <n v="8487"/>
  </r>
  <r>
    <d v="2024-10-28T00:00:00"/>
    <x v="21"/>
    <x v="2"/>
    <n v="7007"/>
    <n v="568"/>
    <n v="568671"/>
    <n v="11.50507059442103"/>
    <n v="22448"/>
    <s v="Product Launch"/>
    <n v="6439"/>
  </r>
  <r>
    <d v="2024-10-28T00:00:00"/>
    <x v="21"/>
    <x v="2"/>
    <n v="6542"/>
    <n v="539"/>
    <n v="574674"/>
    <n v="6.4069368024305948"/>
    <n v="55253"/>
    <s v="Health &amp; Fitness Awareness"/>
    <n v="6003"/>
  </r>
  <r>
    <d v="2024-10-28T00:00:00"/>
    <x v="21"/>
    <x v="3"/>
    <n v="7356"/>
    <n v="904"/>
    <n v="581126"/>
    <n v="17.560907617280929"/>
    <n v="44051"/>
    <s v="Health &amp; Fitness Awareness"/>
    <n v="6452"/>
  </r>
  <r>
    <d v="2024-10-28T00:00:00"/>
    <x v="21"/>
    <x v="3"/>
    <n v="9433"/>
    <n v="1073"/>
    <n v="589486"/>
    <n v="7.2934726185185053"/>
    <n v="59811"/>
    <s v="Brand Engagement"/>
    <n v="8360"/>
  </r>
  <r>
    <d v="2024-11-04T00:00:00"/>
    <x v="22"/>
    <x v="1"/>
    <n v="8380"/>
    <n v="1162"/>
    <n v="596704"/>
    <n v="18.05853488496809"/>
    <n v="40447"/>
    <s v="Brand Engagement"/>
    <n v="7218"/>
  </r>
  <r>
    <d v="2024-11-04T00:00:00"/>
    <x v="22"/>
    <x v="2"/>
    <n v="3385"/>
    <n v="329"/>
    <n v="599760"/>
    <n v="17.61788048552755"/>
    <n v="28394"/>
    <s v="Product Launch"/>
    <n v="3056"/>
  </r>
  <r>
    <d v="2024-11-04T00:00:00"/>
    <x v="22"/>
    <x v="3"/>
    <n v="5268"/>
    <n v="326"/>
    <n v="604702"/>
    <n v="23.435841125050029"/>
    <n v="44501"/>
    <s v="Product Launch"/>
    <n v="4942"/>
  </r>
  <r>
    <d v="2024-11-04T00:00:00"/>
    <x v="22"/>
    <x v="1"/>
    <n v="1671"/>
    <n v="202"/>
    <n v="606171"/>
    <n v="15.150015424690389"/>
    <n v="40254"/>
    <s v="Health &amp; Fitness Awareness"/>
    <n v="1469"/>
  </r>
  <r>
    <d v="2024-11-11T00:00:00"/>
    <x v="23"/>
    <x v="1"/>
    <n v="1163"/>
    <n v="146"/>
    <n v="607188"/>
    <n v="21.77776899411715"/>
    <n v="28509"/>
    <s v="Health &amp; Fitness Awareness"/>
    <n v="1017"/>
  </r>
  <r>
    <d v="2024-11-11T00:00:00"/>
    <x v="23"/>
    <x v="1"/>
    <n v="9656"/>
    <n v="1024"/>
    <n v="615820"/>
    <n v="8.7252768666168681"/>
    <n v="58998"/>
    <s v="Product Promotion"/>
    <n v="8632"/>
  </r>
  <r>
    <d v="2024-11-11T00:00:00"/>
    <x v="23"/>
    <x v="3"/>
    <n v="5592"/>
    <n v="710"/>
    <n v="620702"/>
    <n v="9.07118069540617"/>
    <n v="24472"/>
    <s v="Product Promotion"/>
    <n v="4882"/>
  </r>
  <r>
    <d v="2024-11-11T00:00:00"/>
    <x v="23"/>
    <x v="2"/>
    <n v="5795"/>
    <n v="575"/>
    <n v="625922"/>
    <n v="3.0908004511744269"/>
    <n v="55657"/>
    <s v="Product Launch"/>
    <n v="5220"/>
  </r>
  <r>
    <d v="2024-11-18T00:00:00"/>
    <x v="24"/>
    <x v="0"/>
    <n v="5798"/>
    <n v="592"/>
    <n v="631128"/>
    <n v="1.6774727155188811"/>
    <n v="13471"/>
    <s v="Product Launch"/>
    <n v="5206"/>
  </r>
  <r>
    <d v="2024-11-18T00:00:00"/>
    <x v="24"/>
    <x v="1"/>
    <n v="7036"/>
    <n v="652"/>
    <n v="637512"/>
    <n v="3.5705994553828009"/>
    <n v="51796"/>
    <s v="Brand Engagement"/>
    <n v="6384"/>
  </r>
  <r>
    <d v="2024-11-18T00:00:00"/>
    <x v="24"/>
    <x v="3"/>
    <n v="3355"/>
    <n v="176"/>
    <n v="640691"/>
    <n v="12.426427091999111"/>
    <n v="40268"/>
    <s v="Brand Engagement"/>
    <n v="3179"/>
  </r>
  <r>
    <d v="2024-11-18T00:00:00"/>
    <x v="24"/>
    <x v="3"/>
    <n v="6887"/>
    <n v="418"/>
    <n v="647160"/>
    <n v="20.240280610668151"/>
    <n v="18329"/>
    <s v="Brand Engagement"/>
    <n v="6469"/>
  </r>
  <r>
    <d v="2024-11-25T00:00:00"/>
    <x v="25"/>
    <x v="0"/>
    <n v="8961"/>
    <n v="476"/>
    <n v="655645"/>
    <n v="15.458517947974901"/>
    <n v="44865"/>
    <s v="Brand Engagement"/>
    <n v="8485"/>
  </r>
  <r>
    <d v="2024-11-25T00:00:00"/>
    <x v="25"/>
    <x v="0"/>
    <n v="6827"/>
    <n v="775"/>
    <n v="661697"/>
    <n v="15.96622018839439"/>
    <n v="56850"/>
    <s v="Health &amp; Fitness Awareness"/>
    <n v="6052"/>
  </r>
  <r>
    <d v="2024-11-25T00:00:00"/>
    <x v="25"/>
    <x v="3"/>
    <n v="9737"/>
    <n v="792"/>
    <n v="670642"/>
    <n v="5.301785453341723"/>
    <n v="56698"/>
    <s v="Health &amp; Fitness Awareness"/>
    <n v="8945"/>
  </r>
  <r>
    <d v="2024-11-25T00:00:00"/>
    <x v="25"/>
    <x v="2"/>
    <n v="5719"/>
    <n v="576"/>
    <n v="675785"/>
    <n v="10.21656296011305"/>
    <n v="38272"/>
    <s v="Sustainability Branding"/>
    <n v="5143"/>
  </r>
  <r>
    <d v="2024-12-02T00:00:00"/>
    <x v="26"/>
    <x v="0"/>
    <n v="1593"/>
    <n v="224"/>
    <n v="677154"/>
    <n v="4.1495730660972248"/>
    <n v="52845"/>
    <s v="Sustainability Branding"/>
    <n v="1369"/>
  </r>
  <r>
    <d v="2024-12-02T00:00:00"/>
    <x v="26"/>
    <x v="3"/>
    <n v="5839"/>
    <n v="437"/>
    <n v="682556"/>
    <n v="17.44750613869045"/>
    <n v="16397"/>
    <s v="Brand Engagement"/>
    <n v="5402"/>
  </r>
  <r>
    <d v="2024-12-02T00:00:00"/>
    <x v="26"/>
    <x v="0"/>
    <n v="8394"/>
    <n v="764"/>
    <n v="690186"/>
    <n v="6.3556780346167558"/>
    <n v="42373"/>
    <s v="Brand Engagement"/>
    <n v="7630"/>
  </r>
  <r>
    <d v="2024-12-02T00:00:00"/>
    <x v="26"/>
    <x v="2"/>
    <n v="4493"/>
    <n v="564"/>
    <n v="694115"/>
    <n v="16.625487131094989"/>
    <n v="45525"/>
    <s v="Product Promotion"/>
    <n v="3929"/>
  </r>
  <r>
    <d v="2024-12-09T00:00:00"/>
    <x v="27"/>
    <x v="1"/>
    <n v="7164"/>
    <n v="522"/>
    <n v="700757"/>
    <n v="13.449169969047761"/>
    <n v="34570"/>
    <s v="Product Promotion"/>
    <n v="6642"/>
  </r>
  <r>
    <d v="2024-12-09T00:00:00"/>
    <x v="27"/>
    <x v="0"/>
    <n v="3672"/>
    <n v="211"/>
    <n v="704218"/>
    <n v="12.35057894004413"/>
    <n v="28284"/>
    <s v="Product Launch"/>
    <n v="3461"/>
  </r>
  <r>
    <d v="2024-12-09T00:00:00"/>
    <x v="27"/>
    <x v="2"/>
    <n v="5200"/>
    <n v="410"/>
    <n v="709008"/>
    <n v="12.913394489201821"/>
    <n v="28994"/>
    <s v="Product Launch"/>
    <n v="4790"/>
  </r>
  <r>
    <d v="2024-12-09T00:00:00"/>
    <x v="27"/>
    <x v="3"/>
    <n v="1016"/>
    <n v="67"/>
    <n v="709957"/>
    <n v="20.774215903216671"/>
    <n v="33284"/>
    <s v="Product Launch"/>
    <n v="949"/>
  </r>
  <r>
    <d v="2024-12-16T00:00:00"/>
    <x v="28"/>
    <x v="0"/>
    <n v="4191"/>
    <n v="599"/>
    <n v="713549"/>
    <n v="11.56416728213479"/>
    <n v="27833"/>
    <s v="Product Promotion"/>
    <n v="3592"/>
  </r>
  <r>
    <d v="2024-12-16T00:00:00"/>
    <x v="28"/>
    <x v="0"/>
    <n v="1392"/>
    <n v="182"/>
    <n v="714759"/>
    <n v="5.9603306848881932"/>
    <n v="35122"/>
    <s v="Product Promotion"/>
    <n v="1210"/>
  </r>
  <r>
    <d v="2024-12-16T00:00:00"/>
    <x v="28"/>
    <x v="3"/>
    <n v="9616"/>
    <n v="1089"/>
    <n v="723286"/>
    <n v="19.25863351426683"/>
    <n v="15017"/>
    <s v="Brand Engagement"/>
    <n v="8527"/>
  </r>
  <r>
    <d v="2024-12-16T00:00:00"/>
    <x v="28"/>
    <x v="1"/>
    <n v="7272"/>
    <n v="997"/>
    <n v="729561"/>
    <n v="13.428486445958599"/>
    <n v="26370"/>
    <s v="Brand Engagement"/>
    <n v="6275"/>
  </r>
  <r>
    <d v="2024-12-23T00:00:00"/>
    <x v="29"/>
    <x v="3"/>
    <n v="1571"/>
    <n v="204"/>
    <n v="730928"/>
    <n v="19.449384891535139"/>
    <n v="39252"/>
    <s v="Health &amp; Fitness Awareness"/>
    <n v="1367"/>
  </r>
  <r>
    <d v="2024-12-23T00:00:00"/>
    <x v="29"/>
    <x v="0"/>
    <n v="4631"/>
    <n v="317"/>
    <n v="735242"/>
    <n v="1.381177897889402"/>
    <n v="17999"/>
    <s v="Health &amp; Fitness Awareness"/>
    <n v="4314"/>
  </r>
  <r>
    <d v="2024-12-23T00:00:00"/>
    <x v="29"/>
    <x v="3"/>
    <n v="7172"/>
    <n v="998"/>
    <n v="741416"/>
    <n v="18.0667803230575"/>
    <n v="32436"/>
    <s v="Health &amp; Fitness Awareness"/>
    <n v="6174"/>
  </r>
  <r>
    <d v="2024-12-23T00:00:00"/>
    <x v="29"/>
    <x v="2"/>
    <n v="8177"/>
    <n v="849"/>
    <n v="748744"/>
    <n v="10.34986590877523"/>
    <n v="52963"/>
    <s v="Health &amp; Fitness Awareness"/>
    <n v="7328"/>
  </r>
  <r>
    <d v="2024-12-30T00:00:00"/>
    <x v="30"/>
    <x v="3"/>
    <n v="9433"/>
    <n v="1233"/>
    <n v="756944"/>
    <n v="11.391727789638329"/>
    <n v="12096"/>
    <s v="Brand Engagement"/>
    <n v="8200"/>
  </r>
  <r>
    <d v="2024-12-30T00:00:00"/>
    <x v="30"/>
    <x v="0"/>
    <n v="4897"/>
    <n v="683"/>
    <n v="761158"/>
    <n v="15.06231294947961"/>
    <n v="58201"/>
    <s v="Brand Engagement"/>
    <n v="4214"/>
  </r>
  <r>
    <d v="2024-12-30T00:00:00"/>
    <x v="30"/>
    <x v="3"/>
    <n v="9123"/>
    <n v="746"/>
    <n v="769535"/>
    <n v="6.3086149427901264"/>
    <n v="35279"/>
    <s v="Brand Engagement"/>
    <n v="8377"/>
  </r>
  <r>
    <d v="2024-12-30T00:00:00"/>
    <x v="30"/>
    <x v="1"/>
    <n v="3279"/>
    <n v="200"/>
    <n v="772614"/>
    <n v="5.0212654702089274"/>
    <n v="53363"/>
    <s v="Brand Engagement"/>
    <n v="3079"/>
  </r>
  <r>
    <d v="2025-01-06T00:00:00"/>
    <x v="31"/>
    <x v="3"/>
    <n v="9980"/>
    <n v="726"/>
    <n v="781868"/>
    <n v="4.0220344099003924"/>
    <n v="58709"/>
    <s v="Product Launch"/>
    <n v="9254"/>
  </r>
  <r>
    <d v="2025-01-06T00:00:00"/>
    <x v="31"/>
    <x v="1"/>
    <n v="8451"/>
    <n v="783"/>
    <n v="789536"/>
    <n v="12.407287318121019"/>
    <n v="36201"/>
    <s v="Product Launch"/>
    <n v="7668"/>
  </r>
  <r>
    <d v="2025-01-06T00:00:00"/>
    <x v="31"/>
    <x v="2"/>
    <n v="9906"/>
    <n v="1305"/>
    <n v="798137"/>
    <n v="9.1811305577864442"/>
    <n v="29715"/>
    <s v="Brand Engagement"/>
    <n v="8601"/>
  </r>
  <r>
    <d v="2025-01-06T00:00:00"/>
    <x v="31"/>
    <x v="1"/>
    <n v="1775"/>
    <n v="241"/>
    <n v="799671"/>
    <n v="8.1379717408784362"/>
    <n v="39309"/>
    <s v="Brand Engagement"/>
    <n v="1534"/>
  </r>
  <r>
    <d v="2025-01-13T00:00:00"/>
    <x v="32"/>
    <x v="3"/>
    <n v="7869"/>
    <n v="398"/>
    <n v="807142"/>
    <n v="15.211945357818079"/>
    <n v="25078"/>
    <s v="Sustainability Branding"/>
    <n v="7471"/>
  </r>
  <r>
    <d v="2025-01-13T00:00:00"/>
    <x v="32"/>
    <x v="0"/>
    <n v="3247"/>
    <n v="328"/>
    <n v="810061"/>
    <n v="13.941172331466399"/>
    <n v="15105"/>
    <s v="Sustainability Branding"/>
    <n v="2919"/>
  </r>
  <r>
    <d v="2025-01-13T00:00:00"/>
    <x v="32"/>
    <x v="1"/>
    <n v="8088"/>
    <n v="742"/>
    <n v="817407"/>
    <n v="14.664542877660701"/>
    <n v="39312"/>
    <s v="Product Launch"/>
    <n v="7346"/>
  </r>
  <r>
    <d v="2025-01-13T00:00:00"/>
    <x v="32"/>
    <x v="2"/>
    <n v="1078"/>
    <n v="77"/>
    <n v="818408"/>
    <n v="18.236747441373989"/>
    <n v="12839"/>
    <s v="Product Launch"/>
    <n v="1001"/>
  </r>
  <r>
    <d v="2025-01-20T00:00:00"/>
    <x v="33"/>
    <x v="1"/>
    <n v="9080"/>
    <n v="562"/>
    <n v="826926"/>
    <n v="7.1083748727213809"/>
    <n v="13384"/>
    <s v="Brand Engagement"/>
    <n v="8518"/>
  </r>
  <r>
    <d v="2025-01-20T00:00:00"/>
    <x v="33"/>
    <x v="1"/>
    <n v="8099"/>
    <n v="678"/>
    <n v="834347"/>
    <n v="7.6464588474579518"/>
    <n v="53619"/>
    <s v="Brand Engagement"/>
    <n v="7421"/>
  </r>
  <r>
    <d v="2025-01-20T00:00:00"/>
    <x v="33"/>
    <x v="1"/>
    <n v="4926"/>
    <n v="710"/>
    <n v="838563"/>
    <n v="12.96217457722318"/>
    <n v="52821"/>
    <s v="Product Launch"/>
    <n v="4216"/>
  </r>
  <r>
    <d v="2025-01-20T00:00:00"/>
    <x v="33"/>
    <x v="2"/>
    <n v="8340"/>
    <n v="686"/>
    <n v="846217"/>
    <n v="7.201344336027284"/>
    <n v="23493"/>
    <s v="Product Launch"/>
    <n v="7654"/>
  </r>
  <r>
    <d v="2025-01-27T00:00:00"/>
    <x v="34"/>
    <x v="3"/>
    <n v="8083"/>
    <n v="823"/>
    <n v="853477"/>
    <n v="4.6300017457998282"/>
    <n v="27069"/>
    <s v="Product Promotion"/>
    <n v="7260"/>
  </r>
  <r>
    <d v="2025-01-27T00:00:00"/>
    <x v="34"/>
    <x v="1"/>
    <n v="7230"/>
    <n v="869"/>
    <n v="859838"/>
    <n v="7.0117859410726204"/>
    <n v="56907"/>
    <s v="Product Promotion"/>
    <n v="6361"/>
  </r>
  <r>
    <d v="2025-01-27T00:00:00"/>
    <x v="34"/>
    <x v="1"/>
    <n v="5940"/>
    <n v="512"/>
    <n v="865266"/>
    <n v="15.7972230504839"/>
    <n v="17531"/>
    <s v="Brand Engagement"/>
    <n v="5428"/>
  </r>
  <r>
    <d v="2025-01-27T00:00:00"/>
    <x v="34"/>
    <x v="0"/>
    <n v="4271"/>
    <n v="628"/>
    <n v="868909"/>
    <n v="11.124410036033691"/>
    <n v="47051"/>
    <s v="Brand Engagement"/>
    <n v="3643"/>
  </r>
  <r>
    <d v="2025-02-03T00:00:00"/>
    <x v="35"/>
    <x v="2"/>
    <n v="4456"/>
    <n v="651"/>
    <n v="872714"/>
    <n v="9.5052903929580594"/>
    <n v="17736"/>
    <s v="Health &amp; Fitness Awareness"/>
    <n v="3805"/>
  </r>
  <r>
    <d v="2025-02-03T00:00:00"/>
    <x v="35"/>
    <x v="1"/>
    <n v="8788"/>
    <n v="660"/>
    <n v="880842"/>
    <n v="3.7175793161543158"/>
    <n v="17710"/>
    <s v="Health &amp; Fitness Awareness"/>
    <n v="8128"/>
  </r>
  <r>
    <d v="2025-02-03T00:00:00"/>
    <x v="35"/>
    <x v="2"/>
    <n v="9599"/>
    <n v="957"/>
    <n v="889484"/>
    <n v="8.768004820772493"/>
    <n v="11619"/>
    <s v="Brand Engagement"/>
    <n v="8642"/>
  </r>
  <r>
    <d v="2025-02-03T00:00:00"/>
    <x v="35"/>
    <x v="1"/>
    <n v="8650"/>
    <n v="692"/>
    <n v="897442"/>
    <n v="7.6673478620345374"/>
    <n v="23975"/>
    <s v="Brand Engagement"/>
    <n v="7958"/>
  </r>
  <r>
    <d v="2025-02-10T00:00:00"/>
    <x v="36"/>
    <x v="3"/>
    <n v="3711"/>
    <n v="291"/>
    <n v="900862"/>
    <n v="14.24879726306582"/>
    <n v="55603"/>
    <s v="Health &amp; Fitness Awareness"/>
    <n v="3420"/>
  </r>
  <r>
    <d v="2025-02-10T00:00:00"/>
    <x v="36"/>
    <x v="3"/>
    <n v="2668"/>
    <n v="143"/>
    <n v="903387"/>
    <n v="15.903372530266649"/>
    <n v="33252"/>
    <s v="Health &amp; Fitness Awareness"/>
    <n v="2525"/>
  </r>
  <r>
    <d v="2025-02-10T00:00:00"/>
    <x v="36"/>
    <x v="1"/>
    <n v="1147"/>
    <n v="127"/>
    <n v="904407"/>
    <n v="1.3997016829812241"/>
    <n v="25261"/>
    <s v="Sustainability Branding"/>
    <n v="1020"/>
  </r>
  <r>
    <d v="2025-02-10T00:00:00"/>
    <x v="36"/>
    <x v="3"/>
    <n v="7420"/>
    <n v="743"/>
    <n v="911084"/>
    <n v="10.593534734448189"/>
    <n v="11431"/>
    <s v="Sustainability Branding"/>
    <n v="6677"/>
  </r>
  <r>
    <d v="2025-02-17T00:00:00"/>
    <x v="37"/>
    <x v="1"/>
    <n v="1365"/>
    <n v="75"/>
    <n v="912374"/>
    <n v="9.2688963078737441"/>
    <n v="19067"/>
    <s v="Health &amp; Fitness Awareness"/>
    <n v="1290"/>
  </r>
  <r>
    <d v="2025-02-17T00:00:00"/>
    <x v="37"/>
    <x v="3"/>
    <n v="5531"/>
    <n v="430"/>
    <n v="917475"/>
    <n v="2.7289026948963189"/>
    <n v="47481"/>
    <s v="Health &amp; Fitness Awareness"/>
    <n v="5101"/>
  </r>
  <r>
    <d v="2025-02-17T00:00:00"/>
    <x v="37"/>
    <x v="0"/>
    <n v="6330"/>
    <n v="891"/>
    <n v="922914"/>
    <n v="14.789893749580139"/>
    <n v="37037"/>
    <s v="Product Promotion"/>
    <n v="5439"/>
  </r>
  <r>
    <d v="2025-02-17T00:00:00"/>
    <x v="37"/>
    <x v="0"/>
    <n v="6510"/>
    <n v="481"/>
    <n v="928943"/>
    <n v="2.3800168578696428"/>
    <n v="19557"/>
    <s v="Product Promotion"/>
    <n v="6029"/>
  </r>
  <r>
    <d v="2025-02-24T00:00:00"/>
    <x v="38"/>
    <x v="0"/>
    <n v="9754"/>
    <n v="629"/>
    <n v="938068"/>
    <n v="3.4123325814333292"/>
    <n v="19435"/>
    <s v="Product Promotion"/>
    <n v="9125"/>
  </r>
  <r>
    <d v="2025-02-24T00:00:00"/>
    <x v="38"/>
    <x v="2"/>
    <n v="9964"/>
    <n v="985"/>
    <n v="947047"/>
    <n v="1.9837452629066989"/>
    <n v="47766"/>
    <s v="Product Promotion"/>
    <n v="8979"/>
  </r>
  <r>
    <d v="2025-02-24T00:00:00"/>
    <x v="38"/>
    <x v="2"/>
    <n v="7493"/>
    <n v="1113"/>
    <n v="953427"/>
    <n v="15.684892498324469"/>
    <n v="10162"/>
    <s v="Product Launch"/>
    <n v="6380"/>
  </r>
  <r>
    <d v="2025-02-24T00:00:00"/>
    <x v="38"/>
    <x v="0"/>
    <n v="6439"/>
    <n v="477"/>
    <n v="959389"/>
    <n v="7.4744446725989153"/>
    <n v="44742"/>
    <s v="Product Launch"/>
    <n v="5962"/>
  </r>
  <r>
    <d v="2025-03-03T00:00:00"/>
    <x v="39"/>
    <x v="2"/>
    <n v="7511"/>
    <n v="880"/>
    <n v="966020"/>
    <n v="4.6083932009689246"/>
    <n v="29675"/>
    <s v="Brand Engagement"/>
    <n v="6631"/>
  </r>
  <r>
    <d v="2025-03-03T00:00:00"/>
    <x v="39"/>
    <x v="3"/>
    <n v="8504"/>
    <n v="1072"/>
    <n v="973452"/>
    <n v="6.5651927367759271"/>
    <n v="18461"/>
    <s v="Product Launch"/>
    <n v="7432"/>
  </r>
  <r>
    <d v="2025-03-03T00:00:00"/>
    <x v="39"/>
    <x v="1"/>
    <n v="2246"/>
    <n v="165"/>
    <n v="975533"/>
    <n v="2.9062061457685191"/>
    <n v="27015"/>
    <s v="Product Launch"/>
    <n v="2081"/>
  </r>
  <r>
    <d v="2025-03-03T00:00:00"/>
    <x v="39"/>
    <x v="1"/>
    <n v="4839"/>
    <n v="594"/>
    <n v="979778"/>
    <n v="2.5803804535313102"/>
    <n v="42591"/>
    <s v="Health &amp; Fitness Awareness"/>
    <n v="4245"/>
  </r>
  <r>
    <d v="2025-03-10T00:00:00"/>
    <x v="40"/>
    <x v="1"/>
    <n v="9551"/>
    <n v="828"/>
    <n v="988501"/>
    <n v="1.525036393488727"/>
    <n v="38047"/>
    <s v="Health &amp; Fitness Awareness"/>
    <n v="8723"/>
  </r>
  <r>
    <d v="2025-03-10T00:00:00"/>
    <x v="40"/>
    <x v="0"/>
    <n v="3376"/>
    <n v="382"/>
    <n v="991495"/>
    <n v="3.8694093263203548"/>
    <n v="44782"/>
    <s v="Product Launch"/>
    <n v="2994"/>
  </r>
  <r>
    <d v="2025-03-10T00:00:00"/>
    <x v="40"/>
    <x v="2"/>
    <n v="4009"/>
    <n v="454"/>
    <n v="995050"/>
    <n v="2.1106477061454201"/>
    <n v="19833"/>
    <s v="Product Launch"/>
    <n v="3555"/>
  </r>
  <r>
    <d v="2025-03-10T00:00:00"/>
    <x v="40"/>
    <x v="3"/>
    <n v="2827"/>
    <n v="292"/>
    <n v="997585"/>
    <n v="2.4004972007397871"/>
    <n v="17896"/>
    <s v="Product Launch"/>
    <n v="2535"/>
  </r>
  <r>
    <d v="2025-03-17T00:00:00"/>
    <x v="41"/>
    <x v="3"/>
    <n v="7979"/>
    <n v="470"/>
    <n v="1005094"/>
    <n v="10.43086517280971"/>
    <n v="42972"/>
    <s v="Product Launch"/>
    <n v="7509"/>
  </r>
  <r>
    <d v="2025-03-17T00:00:00"/>
    <x v="41"/>
    <x v="0"/>
    <n v="9569"/>
    <n v="1277"/>
    <n v="1013386"/>
    <n v="12.45517502708741"/>
    <n v="59733"/>
    <s v="Product Launch"/>
    <n v="8292"/>
  </r>
  <r>
    <d v="2025-03-17T00:00:00"/>
    <x v="41"/>
    <x v="3"/>
    <n v="5285"/>
    <n v="433"/>
    <n v="1018238"/>
    <n v="8.7022876773406619"/>
    <n v="51800"/>
    <s v="Product Launch"/>
    <n v="4852"/>
  </r>
  <r>
    <d v="2025-03-17T00:00:00"/>
    <x v="41"/>
    <x v="3"/>
    <n v="7910"/>
    <n v="543"/>
    <n v="1025605"/>
    <n v="6.0590578244060822"/>
    <n v="40508"/>
    <s v="Sustainability Branding"/>
    <n v="7367"/>
  </r>
  <r>
    <d v="2025-03-24T00:00:00"/>
    <x v="42"/>
    <x v="3"/>
    <n v="9561"/>
    <n v="517"/>
    <n v="1034649"/>
    <n v="6.4086467971263694"/>
    <n v="15347"/>
    <s v="Sustainability Branding"/>
    <n v="9044"/>
  </r>
  <r>
    <d v="2025-03-24T00:00:00"/>
    <x v="42"/>
    <x v="3"/>
    <n v="3196"/>
    <n v="348"/>
    <n v="1037497"/>
    <n v="14.03040201562029"/>
    <n v="40314"/>
    <s v="Sustainability Branding"/>
    <n v="2848"/>
  </r>
  <r>
    <d v="2025-03-24T00:00:00"/>
    <x v="42"/>
    <x v="2"/>
    <n v="4747"/>
    <n v="558"/>
    <n v="1041686"/>
    <n v="5.7680529449373434"/>
    <n v="12643"/>
    <s v="Sustainability Branding"/>
    <n v="4189"/>
  </r>
  <r>
    <d v="2025-03-24T00:00:00"/>
    <x v="42"/>
    <x v="3"/>
    <n v="9843"/>
    <n v="508"/>
    <n v="1051021"/>
    <n v="4.2080986012648651"/>
    <n v="50785"/>
    <s v="Brand Engagement"/>
    <n v="9335"/>
  </r>
  <r>
    <d v="2025-03-31T00:00:00"/>
    <x v="43"/>
    <x v="1"/>
    <n v="6978"/>
    <n v="706"/>
    <n v="1057293"/>
    <n v="5.057443868445171"/>
    <n v="28681"/>
    <s v="Brand Engagement"/>
    <n v="6272"/>
  </r>
  <r>
    <d v="2025-03-31T00:00:00"/>
    <x v="43"/>
    <x v="0"/>
    <n v="6607"/>
    <n v="479"/>
    <n v="1063421"/>
    <n v="5.5892257158735816"/>
    <n v="48328"/>
    <s v="Product Launch"/>
    <n v="6128"/>
  </r>
  <r>
    <d v="2025-03-31T00:00:00"/>
    <x v="43"/>
    <x v="2"/>
    <n v="1769"/>
    <n v="202"/>
    <n v="1064988"/>
    <n v="6.5457075572682513"/>
    <n v="25892"/>
    <s v="Product Launch"/>
    <n v="1567"/>
  </r>
  <r>
    <d v="2025-03-31T00:00:00"/>
    <x v="43"/>
    <x v="3"/>
    <n v="1780"/>
    <n v="120"/>
    <n v="1066648"/>
    <n v="13.86474263299608"/>
    <n v="57299"/>
    <s v="Health &amp; Fitness Awareness"/>
    <n v="1660"/>
  </r>
  <r>
    <d v="2025-04-07T00:00:00"/>
    <x v="44"/>
    <x v="2"/>
    <n v="7303"/>
    <n v="869"/>
    <n v="1073082"/>
    <n v="8.1237966902808925"/>
    <n v="27073"/>
    <s v="Health &amp; Fitness Awareness"/>
    <n v="6434"/>
  </r>
  <r>
    <d v="2025-04-07T00:00:00"/>
    <x v="44"/>
    <x v="3"/>
    <n v="4983"/>
    <n v="441"/>
    <n v="1077624"/>
    <n v="6.8954477628560609"/>
    <n v="46768"/>
    <s v="Product Launch"/>
    <n v="4542"/>
  </r>
  <r>
    <d v="2025-04-07T00:00:00"/>
    <x v="44"/>
    <x v="1"/>
    <n v="9714"/>
    <n v="1395"/>
    <n v="1085943"/>
    <n v="5.2243073531483697"/>
    <n v="40682"/>
    <s v="Product Launch"/>
    <n v="8319"/>
  </r>
  <r>
    <d v="2025-04-07T00:00:00"/>
    <x v="44"/>
    <x v="0"/>
    <n v="1521"/>
    <n v="96"/>
    <n v="1087368"/>
    <n v="12.709772588488899"/>
    <n v="42262"/>
    <s v="Sustainability Branding"/>
    <n v="1425"/>
  </r>
  <r>
    <d v="2025-04-14T00:00:00"/>
    <x v="45"/>
    <x v="3"/>
    <n v="8569"/>
    <n v="720"/>
    <n v="1095217"/>
    <n v="9.589697749395782"/>
    <n v="41358"/>
    <s v="Product Promotion"/>
    <n v="7849"/>
  </r>
  <r>
    <d v="2025-04-14T00:00:00"/>
    <x v="45"/>
    <x v="3"/>
    <n v="6784"/>
    <n v="416"/>
    <n v="1101585"/>
    <n v="9.3041390360253633"/>
    <n v="24289"/>
    <s v="Product Promotion"/>
    <n v="6368"/>
  </r>
  <r>
    <d v="2025-04-14T00:00:00"/>
    <x v="45"/>
    <x v="3"/>
    <n v="5583"/>
    <n v="795"/>
    <n v="1106373"/>
    <n v="12.21550055903389"/>
    <n v="59823"/>
    <s v="Sustainability Branding"/>
    <n v="4788"/>
  </r>
  <r>
    <d v="2025-04-14T00:00:00"/>
    <x v="45"/>
    <x v="3"/>
    <n v="6946"/>
    <n v="956"/>
    <n v="1112363"/>
    <n v="1.64146056637986"/>
    <n v="17927"/>
    <s v="Sustainability Branding"/>
    <n v="5990"/>
  </r>
  <r>
    <d v="2025-04-21T00:00:00"/>
    <x v="46"/>
    <x v="0"/>
    <n v="5941"/>
    <n v="450"/>
    <n v="1117854"/>
    <n v="12.414411899944"/>
    <n v="58330"/>
    <s v="Health &amp; Fitness Awareness"/>
    <n v="5491"/>
  </r>
  <r>
    <d v="2025-04-21T00:00:00"/>
    <x v="46"/>
    <x v="0"/>
    <n v="7267"/>
    <n v="842"/>
    <n v="1124279"/>
    <n v="2.2102165031989389"/>
    <n v="11171"/>
    <s v="Health &amp; Fitness Awareness"/>
    <n v="6425"/>
  </r>
  <r>
    <d v="2025-04-21T00:00:00"/>
    <x v="46"/>
    <x v="1"/>
    <n v="8128"/>
    <n v="1070"/>
    <n v="1131337"/>
    <n v="8.1114645768679008"/>
    <n v="21918"/>
    <s v="Brand Engagement"/>
    <n v="7058"/>
  </r>
  <r>
    <d v="2025-04-21T00:00:00"/>
    <x v="46"/>
    <x v="0"/>
    <n v="3461"/>
    <n v="365"/>
    <n v="1134433"/>
    <n v="10.23489267325616"/>
    <n v="51903"/>
    <s v="Brand Engagement"/>
    <n v="3096"/>
  </r>
  <r>
    <d v="2025-04-28T00:00:00"/>
    <x v="47"/>
    <x v="3"/>
    <n v="1685"/>
    <n v="173"/>
    <n v="1135945"/>
    <n v="8.7776256772995165"/>
    <n v="49110"/>
    <s v="Product Launch"/>
    <n v="1512"/>
  </r>
  <r>
    <d v="2025-04-28T00:00:00"/>
    <x v="47"/>
    <x v="1"/>
    <n v="3160"/>
    <n v="234"/>
    <n v="1138871"/>
    <n v="5.6959041015180816"/>
    <n v="21929"/>
    <s v="Product Launch"/>
    <n v="2926"/>
  </r>
  <r>
    <d v="2025-04-28T00:00:00"/>
    <x v="47"/>
    <x v="1"/>
    <n v="8031"/>
    <n v="476"/>
    <n v="1146426"/>
    <n v="11.940413075069831"/>
    <n v="12539"/>
    <s v="Health &amp; Fitness Awareness"/>
    <n v="7555"/>
  </r>
  <r>
    <d v="2025-04-28T00:00:00"/>
    <x v="47"/>
    <x v="1"/>
    <n v="6341"/>
    <n v="885"/>
    <n v="1151882"/>
    <n v="6.3457020771224837"/>
    <n v="46727"/>
    <s v="Health &amp; Fitness Awareness"/>
    <n v="5456"/>
  </r>
  <r>
    <d v="2025-05-05T00:00:00"/>
    <x v="48"/>
    <x v="3"/>
    <n v="1038"/>
    <n v="145"/>
    <n v="1152775"/>
    <n v="11.093752033137431"/>
    <n v="55951"/>
    <s v="Sustainability Branding"/>
    <n v="893"/>
  </r>
  <r>
    <d v="2025-05-05T00:00:00"/>
    <x v="48"/>
    <x v="2"/>
    <n v="5875"/>
    <n v="665"/>
    <n v="1157985"/>
    <n v="6.9871371390821126"/>
    <n v="32669"/>
    <s v="Sustainability Branding"/>
    <n v="5210"/>
  </r>
  <r>
    <d v="2025-05-05T00:00:00"/>
    <x v="48"/>
    <x v="3"/>
    <n v="2256"/>
    <n v="189"/>
    <n v="1160052"/>
    <n v="2.8935771844710412"/>
    <n v="15432"/>
    <s v="Sustainability Branding"/>
    <n v="2067"/>
  </r>
  <r>
    <d v="2025-05-05T00:00:00"/>
    <x v="48"/>
    <x v="0"/>
    <n v="8697"/>
    <n v="738"/>
    <n v="1168011"/>
    <n v="3.8777032065622672"/>
    <n v="30644"/>
    <s v="Sustainability Branding"/>
    <n v="7959"/>
  </r>
  <r>
    <d v="2025-05-12T00:00:00"/>
    <x v="49"/>
    <x v="0"/>
    <n v="3196"/>
    <n v="391"/>
    <n v="1170816"/>
    <n v="7.2439221876024931"/>
    <n v="28745"/>
    <s v="Health &amp; Fitness Awareness"/>
    <n v="2805"/>
  </r>
  <r>
    <d v="2025-05-12T00:00:00"/>
    <x v="49"/>
    <x v="3"/>
    <n v="8165"/>
    <n v="1140"/>
    <n v="1177841"/>
    <n v="9.095964565675672"/>
    <n v="38228"/>
    <s v="Health &amp; Fitness Awareness"/>
    <n v="7025"/>
  </r>
  <r>
    <d v="2025-05-12T00:00:00"/>
    <x v="49"/>
    <x v="3"/>
    <n v="1301"/>
    <n v="180"/>
    <n v="1178962"/>
    <n v="5.2275645864752214"/>
    <n v="44521"/>
    <s v="Brand Engagement"/>
    <n v="1121"/>
  </r>
  <r>
    <d v="2025-05-12T00:00:00"/>
    <x v="49"/>
    <x v="1"/>
    <n v="8527"/>
    <n v="1091"/>
    <n v="1186398"/>
    <n v="1.676081719625286"/>
    <n v="41703"/>
    <s v="Health &amp; Fitness Awareness"/>
    <n v="7436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d v="2024-06-03T00:00:00"/>
    <s v="Instagram"/>
    <n v="4138"/>
    <n v="361"/>
    <n v="103777"/>
    <n v="56.637790647253247"/>
    <n v="23944"/>
    <x v="0"/>
    <n v="3777"/>
  </r>
  <r>
    <d v="2024-06-03T00:00:00"/>
    <s v="Twitter"/>
    <n v="8693"/>
    <n v="1261"/>
    <n v="111209"/>
    <n v="69.475492091467416"/>
    <n v="29873"/>
    <x v="0"/>
    <n v="7432"/>
  </r>
  <r>
    <d v="2024-06-03T00:00:00"/>
    <s v="YouTube"/>
    <n v="9264"/>
    <n v="1141"/>
    <n v="119332"/>
    <n v="92.312204605638044"/>
    <n v="50372"/>
    <x v="1"/>
    <n v="8123"/>
  </r>
  <r>
    <d v="2024-06-03T00:00:00"/>
    <s v="YouTube"/>
    <n v="8842"/>
    <n v="971"/>
    <n v="127203"/>
    <n v="16.351815601833291"/>
    <n v="33928"/>
    <x v="1"/>
    <n v="7871"/>
  </r>
  <r>
    <d v="2024-06-10T00:00:00"/>
    <s v="Instagram"/>
    <n v="7721"/>
    <n v="506"/>
    <n v="134418"/>
    <n v="35.577824398518047"/>
    <n v="25379"/>
    <x v="0"/>
    <n v="7215"/>
  </r>
  <r>
    <d v="2024-06-10T00:00:00"/>
    <s v="YouTube"/>
    <n v="8002"/>
    <n v="524"/>
    <n v="141896"/>
    <n v="52.064892597395271"/>
    <n v="46751"/>
    <x v="0"/>
    <n v="7478"/>
  </r>
  <r>
    <d v="2024-06-10T00:00:00"/>
    <s v="Twitter"/>
    <n v="5225"/>
    <n v="291"/>
    <n v="146830"/>
    <n v="19.551862698358651"/>
    <n v="44546"/>
    <x v="2"/>
    <n v="4934"/>
  </r>
  <r>
    <d v="2024-06-10T00:00:00"/>
    <s v="Twitter"/>
    <n v="3978"/>
    <n v="543"/>
    <n v="150265"/>
    <n v="49.159817655475329"/>
    <n v="34286"/>
    <x v="0"/>
    <n v="3435"/>
  </r>
  <r>
    <d v="2024-06-17T00:00:00"/>
    <s v="Instagram"/>
    <n v="8373"/>
    <n v="921"/>
    <n v="157717"/>
    <n v="12.2263294381709"/>
    <n v="15110"/>
    <x v="0"/>
    <n v="7452"/>
  </r>
  <r>
    <d v="2024-06-17T00:00:00"/>
    <s v="Twitter"/>
    <n v="6907"/>
    <n v="834"/>
    <n v="163790"/>
    <n v="54.158984064961238"/>
    <n v="22087"/>
    <x v="2"/>
    <n v="6073"/>
  </r>
  <r>
    <d v="2024-06-17T00:00:00"/>
    <s v="LinkedIn"/>
    <n v="7097"/>
    <n v="369"/>
    <n v="170518"/>
    <n v="9.2506362964613711"/>
    <n v="33762"/>
    <x v="3"/>
    <n v="6728"/>
  </r>
  <r>
    <d v="2024-06-17T00:00:00"/>
    <s v="Instagram"/>
    <n v="6656"/>
    <n v="978"/>
    <n v="176196"/>
    <n v="60.425889350496043"/>
    <n v="27081"/>
    <x v="3"/>
    <n v="5678"/>
  </r>
  <r>
    <d v="2024-06-24T00:00:00"/>
    <s v="Twitter"/>
    <n v="9984"/>
    <n v="1330"/>
    <n v="184850"/>
    <n v="57.524479307546663"/>
    <n v="44947"/>
    <x v="3"/>
    <n v="8654"/>
  </r>
  <r>
    <d v="2024-06-24T00:00:00"/>
    <s v="Instagram"/>
    <n v="5259"/>
    <n v="374"/>
    <n v="189735"/>
    <n v="14.827522597306769"/>
    <n v="19596"/>
    <x v="3"/>
    <n v="4885"/>
  </r>
  <r>
    <d v="2024-06-24T00:00:00"/>
    <s v="YouTube"/>
    <n v="9286"/>
    <n v="633"/>
    <n v="198388"/>
    <n v="5.4343004617214756"/>
    <n v="48019"/>
    <x v="3"/>
    <n v="8653"/>
  </r>
  <r>
    <d v="2024-06-24T00:00:00"/>
    <s v="Twitter"/>
    <n v="6901"/>
    <n v="471"/>
    <n v="204818"/>
    <n v="60.827661631301943"/>
    <n v="52003"/>
    <x v="4"/>
    <n v="6430"/>
  </r>
  <r>
    <d v="2024-07-01T00:00:00"/>
    <s v="LinkedIn"/>
    <n v="5917"/>
    <n v="475"/>
    <n v="210260"/>
    <n v="17.894035955483691"/>
    <n v="28313"/>
    <x v="4"/>
    <n v="5442"/>
  </r>
  <r>
    <d v="2024-07-01T00:00:00"/>
    <s v="Twitter"/>
    <n v="9429"/>
    <n v="966"/>
    <n v="218723"/>
    <n v="7.6914636320825887"/>
    <n v="57639"/>
    <x v="2"/>
    <n v="8463"/>
  </r>
  <r>
    <d v="2024-07-01T00:00:00"/>
    <s v="Instagram"/>
    <n v="3530"/>
    <n v="328"/>
    <n v="221925"/>
    <n v="12.8372197814577"/>
    <n v="11013"/>
    <x v="2"/>
    <n v="3202"/>
  </r>
  <r>
    <d v="2024-07-01T00:00:00"/>
    <s v="Instagram"/>
    <n v="2960"/>
    <n v="234"/>
    <n v="224651"/>
    <n v="17.41278694508371"/>
    <n v="59378"/>
    <x v="1"/>
    <n v="2726"/>
  </r>
  <r>
    <d v="2024-07-08T00:00:00"/>
    <s v="Twitter"/>
    <n v="8045"/>
    <n v="894"/>
    <n v="231802"/>
    <n v="47.634187798207087"/>
    <n v="33705"/>
    <x v="1"/>
    <n v="7151"/>
  </r>
  <r>
    <d v="2024-07-08T00:00:00"/>
    <s v="LinkedIn"/>
    <n v="2048"/>
    <n v="130"/>
    <n v="233720"/>
    <n v="39.284614068115687"/>
    <n v="11828"/>
    <x v="3"/>
    <n v="1918"/>
  </r>
  <r>
    <d v="2024-07-08T00:00:00"/>
    <s v="LinkedIn"/>
    <n v="6772"/>
    <n v="536"/>
    <n v="239956"/>
    <n v="9.8205504342462788"/>
    <n v="17909"/>
    <x v="3"/>
    <n v="6236"/>
  </r>
  <r>
    <d v="2024-07-08T00:00:00"/>
    <s v="LinkedIn"/>
    <n v="3529"/>
    <n v="305"/>
    <n v="243180"/>
    <n v="41.606628834608109"/>
    <n v="48356"/>
    <x v="3"/>
    <n v="3224"/>
  </r>
  <r>
    <d v="2024-07-15T00:00:00"/>
    <s v="Instagram"/>
    <n v="3964"/>
    <n v="378"/>
    <n v="246766"/>
    <n v="13.6355899921383"/>
    <n v="23109"/>
    <x v="3"/>
    <n v="3586"/>
  </r>
  <r>
    <d v="2024-07-15T00:00:00"/>
    <s v="Twitter"/>
    <n v="8137"/>
    <n v="1045"/>
    <n v="253858"/>
    <n v="20.47246886054408"/>
    <n v="12023"/>
    <x v="4"/>
    <n v="7092"/>
  </r>
  <r>
    <d v="2024-07-15T00:00:00"/>
    <s v="YouTube"/>
    <n v="1963"/>
    <n v="137"/>
    <n v="255684"/>
    <n v="11.2083665774941"/>
    <n v="24537"/>
    <x v="1"/>
    <n v="1826"/>
  </r>
  <r>
    <d v="2024-07-15T00:00:00"/>
    <s v="Instagram"/>
    <n v="1536"/>
    <n v="155"/>
    <n v="257065"/>
    <n v="12.15762550327738"/>
    <n v="36661"/>
    <x v="1"/>
    <n v="1381"/>
  </r>
  <r>
    <d v="2024-07-22T00:00:00"/>
    <s v="LinkedIn"/>
    <n v="8340"/>
    <n v="911"/>
    <n v="264494"/>
    <n v="37.302925586213682"/>
    <n v="48659"/>
    <x v="0"/>
    <n v="7429"/>
  </r>
  <r>
    <d v="2024-07-22T00:00:00"/>
    <s v="Twitter"/>
    <n v="8179"/>
    <n v="446"/>
    <n v="272227"/>
    <n v="41.82171496581897"/>
    <n v="43848"/>
    <x v="0"/>
    <n v="7733"/>
  </r>
  <r>
    <d v="2024-07-22T00:00:00"/>
    <s v="LinkedIn"/>
    <n v="8967"/>
    <n v="993"/>
    <n v="280201"/>
    <n v="52.792102811910027"/>
    <n v="47804"/>
    <x v="3"/>
    <n v="7974"/>
  </r>
  <r>
    <d v="2024-07-22T00:00:00"/>
    <s v="YouTube"/>
    <n v="9734"/>
    <n v="652"/>
    <n v="289283"/>
    <n v="49.647922622483861"/>
    <n v="25379"/>
    <x v="1"/>
    <n v="9082"/>
  </r>
  <r>
    <d v="2024-07-29T00:00:00"/>
    <s v="LinkedIn"/>
    <n v="1845"/>
    <n v="104"/>
    <n v="291024"/>
    <n v="28.158158777282971"/>
    <n v="37766"/>
    <x v="1"/>
    <n v="1741"/>
  </r>
  <r>
    <d v="2024-07-29T00:00:00"/>
    <s v="LinkedIn"/>
    <n v="6777"/>
    <n v="981"/>
    <n v="296820"/>
    <n v="23.920557913887201"/>
    <n v="53590"/>
    <x v="1"/>
    <n v="5796"/>
  </r>
  <r>
    <d v="2024-07-29T00:00:00"/>
    <s v="YouTube"/>
    <n v="4036"/>
    <n v="591"/>
    <n v="300265"/>
    <n v="44.219272975538267"/>
    <n v="12563"/>
    <x v="1"/>
    <n v="3445"/>
  </r>
  <r>
    <d v="2024-07-29T00:00:00"/>
    <s v="Twitter"/>
    <n v="6947"/>
    <n v="908"/>
    <n v="306304"/>
    <n v="14.117673944839121"/>
    <n v="46060"/>
    <x v="4"/>
    <n v="6039"/>
  </r>
  <r>
    <d v="2024-08-05T00:00:00"/>
    <s v="Instagram"/>
    <n v="3494"/>
    <n v="281"/>
    <n v="309517"/>
    <n v="27.765518533715429"/>
    <n v="39197"/>
    <x v="3"/>
    <n v="3213"/>
  </r>
  <r>
    <d v="2024-08-05T00:00:00"/>
    <s v="Twitter"/>
    <n v="3719"/>
    <n v="222"/>
    <n v="313014"/>
    <n v="21.669318305251519"/>
    <n v="13586"/>
    <x v="3"/>
    <n v="3497"/>
  </r>
  <r>
    <d v="2024-08-05T00:00:00"/>
    <s v="YouTube"/>
    <n v="2884"/>
    <n v="341"/>
    <n v="315557"/>
    <n v="46.999749649033298"/>
    <n v="26087"/>
    <x v="2"/>
    <n v="2543"/>
  </r>
  <r>
    <d v="2024-08-05T00:00:00"/>
    <s v="LinkedIn"/>
    <n v="5349"/>
    <n v="502"/>
    <n v="320404"/>
    <n v="5.2152906954969351"/>
    <n v="58868"/>
    <x v="2"/>
    <n v="4847"/>
  </r>
  <r>
    <d v="2024-08-12T00:00:00"/>
    <s v="Twitter"/>
    <n v="6179"/>
    <n v="384"/>
    <n v="326199"/>
    <n v="14.71218489327067"/>
    <n v="33225"/>
    <x v="4"/>
    <n v="5795"/>
  </r>
  <r>
    <d v="2024-08-12T00:00:00"/>
    <s v="Instagram"/>
    <n v="7610"/>
    <n v="757"/>
    <n v="333052"/>
    <n v="44.450416151231643"/>
    <n v="39750"/>
    <x v="4"/>
    <n v="6853"/>
  </r>
  <r>
    <d v="2024-08-12T00:00:00"/>
    <s v="YouTube"/>
    <n v="7430"/>
    <n v="397"/>
    <n v="340085"/>
    <n v="28.065042562888689"/>
    <n v="16643"/>
    <x v="0"/>
    <n v="7033"/>
  </r>
  <r>
    <d v="2024-08-12T00:00:00"/>
    <s v="Twitter"/>
    <n v="8154"/>
    <n v="1149"/>
    <n v="347090"/>
    <n v="26.003918292085629"/>
    <n v="37523"/>
    <x v="0"/>
    <n v="7005"/>
  </r>
  <r>
    <d v="2024-08-19T00:00:00"/>
    <s v="Instagram"/>
    <n v="7488"/>
    <n v="568"/>
    <n v="354010"/>
    <n v="13.47730290104799"/>
    <n v="46727"/>
    <x v="4"/>
    <n v="6920"/>
  </r>
  <r>
    <d v="2024-08-19T00:00:00"/>
    <s v="YouTube"/>
    <n v="5737"/>
    <n v="666"/>
    <n v="359081"/>
    <n v="4.6034181702735593"/>
    <n v="21005"/>
    <x v="4"/>
    <n v="5071"/>
  </r>
  <r>
    <d v="2024-08-19T00:00:00"/>
    <s v="Instagram"/>
    <n v="7525"/>
    <n v="610"/>
    <n v="365996"/>
    <n v="5.7694619613329108"/>
    <n v="53543"/>
    <x v="4"/>
    <n v="6915"/>
  </r>
  <r>
    <d v="2024-08-19T00:00:00"/>
    <s v="YouTube"/>
    <n v="4850"/>
    <n v="494"/>
    <n v="370352"/>
    <n v="20.46539508359615"/>
    <n v="10161"/>
    <x v="4"/>
    <n v="4356"/>
  </r>
  <r>
    <d v="2024-08-26T00:00:00"/>
    <s v="LinkedIn"/>
    <n v="1689"/>
    <n v="176"/>
    <n v="371865"/>
    <n v="38.012181840183942"/>
    <n v="26029"/>
    <x v="2"/>
    <n v="1513"/>
  </r>
  <r>
    <d v="2024-08-26T00:00:00"/>
    <s v="Twitter"/>
    <n v="6175"/>
    <n v="422"/>
    <n v="377618"/>
    <n v="37.86101298137271"/>
    <n v="59745"/>
    <x v="2"/>
    <n v="5753"/>
  </r>
  <r>
    <d v="2024-08-26T00:00:00"/>
    <s v="Instagram"/>
    <n v="9648"/>
    <n v="1417"/>
    <n v="385849"/>
    <n v="3.6633501706626168"/>
    <n v="24226"/>
    <x v="3"/>
    <n v="8231"/>
  </r>
  <r>
    <d v="2024-08-26T00:00:00"/>
    <s v="YouTube"/>
    <n v="6078"/>
    <n v="775"/>
    <n v="391152"/>
    <n v="37.760512537325639"/>
    <n v="38731"/>
    <x v="3"/>
    <n v="5303"/>
  </r>
  <r>
    <d v="2024-09-02T00:00:00"/>
    <s v="Instagram"/>
    <n v="6448"/>
    <n v="928"/>
    <n v="396672"/>
    <n v="30.118586640851881"/>
    <n v="53922"/>
    <x v="2"/>
    <n v="5520"/>
  </r>
  <r>
    <d v="2024-09-02T00:00:00"/>
    <s v="Instagram"/>
    <n v="2179"/>
    <n v="303"/>
    <n v="398548"/>
    <n v="33.909842729106657"/>
    <n v="54848"/>
    <x v="2"/>
    <n v="1876"/>
  </r>
  <r>
    <d v="2024-09-02T00:00:00"/>
    <s v="Twitter"/>
    <n v="7406"/>
    <n v="813"/>
    <n v="405141"/>
    <n v="24.457411123534769"/>
    <n v="13390"/>
    <x v="1"/>
    <n v="6593"/>
  </r>
  <r>
    <d v="2024-09-02T00:00:00"/>
    <s v="LinkedIn"/>
    <n v="9591"/>
    <n v="1363"/>
    <n v="413369"/>
    <n v="10.494255737609739"/>
    <n v="15997"/>
    <x v="1"/>
    <n v="8228"/>
  </r>
  <r>
    <d v="2024-09-09T00:00:00"/>
    <s v="Instagram"/>
    <n v="7907"/>
    <n v="465"/>
    <n v="420811"/>
    <n v="33.257448118038738"/>
    <n v="22693"/>
    <x v="0"/>
    <n v="7442"/>
  </r>
  <r>
    <d v="2024-09-09T00:00:00"/>
    <s v="YouTube"/>
    <n v="9800"/>
    <n v="682"/>
    <n v="429929"/>
    <n v="6.2966210699906267"/>
    <n v="59815"/>
    <x v="0"/>
    <n v="9118"/>
  </r>
  <r>
    <d v="2024-09-09T00:00:00"/>
    <s v="YouTube"/>
    <n v="2638"/>
    <n v="143"/>
    <n v="432424"/>
    <n v="6.9547481175882924"/>
    <n v="52092"/>
    <x v="4"/>
    <n v="2495"/>
  </r>
  <r>
    <d v="2024-09-09T00:00:00"/>
    <s v="LinkedIn"/>
    <n v="6671"/>
    <n v="550"/>
    <n v="438545"/>
    <n v="17.750287883797562"/>
    <n v="10541"/>
    <x v="4"/>
    <n v="6121"/>
  </r>
  <r>
    <d v="2024-09-16T00:00:00"/>
    <s v="YouTube"/>
    <n v="7928"/>
    <n v="704"/>
    <n v="445769"/>
    <n v="11.194362999670229"/>
    <n v="31817"/>
    <x v="4"/>
    <n v="7224"/>
  </r>
  <r>
    <d v="2024-09-16T00:00:00"/>
    <s v="LinkedIn"/>
    <n v="2382"/>
    <n v="183"/>
    <n v="447968"/>
    <n v="4.7335970426459033"/>
    <n v="47861"/>
    <x v="4"/>
    <n v="2199"/>
  </r>
  <r>
    <d v="2024-09-16T00:00:00"/>
    <s v="YouTube"/>
    <n v="2403"/>
    <n v="319"/>
    <n v="450052"/>
    <n v="29.92120910472568"/>
    <n v="23428"/>
    <x v="0"/>
    <n v="2084"/>
  </r>
  <r>
    <d v="2024-09-16T00:00:00"/>
    <s v="Twitter"/>
    <n v="4292"/>
    <n v="367"/>
    <n v="453977"/>
    <n v="3.5037017293827661"/>
    <n v="53934"/>
    <x v="0"/>
    <n v="3925"/>
  </r>
  <r>
    <d v="2024-09-23T00:00:00"/>
    <s v="Instagram"/>
    <n v="1419"/>
    <n v="110"/>
    <n v="455286"/>
    <n v="31.554451487636339"/>
    <n v="58831"/>
    <x v="3"/>
    <n v="1309"/>
  </r>
  <r>
    <d v="2024-09-23T00:00:00"/>
    <s v="Twitter"/>
    <n v="5517"/>
    <n v="575"/>
    <n v="460228"/>
    <n v="29.45844233727631"/>
    <n v="20258"/>
    <x v="3"/>
    <n v="4942"/>
  </r>
  <r>
    <d v="2024-09-23T00:00:00"/>
    <s v="Instagram"/>
    <n v="4302"/>
    <n v="275"/>
    <n v="464255"/>
    <n v="15.72131694865968"/>
    <n v="26044"/>
    <x v="1"/>
    <n v="4027"/>
  </r>
  <r>
    <d v="2024-09-23T00:00:00"/>
    <s v="Instagram"/>
    <n v="8857"/>
    <n v="1153"/>
    <n v="471959"/>
    <n v="19.214592793018038"/>
    <n v="39411"/>
    <x v="1"/>
    <n v="7704"/>
  </r>
  <r>
    <d v="2024-09-30T00:00:00"/>
    <s v="Instagram"/>
    <n v="8870"/>
    <n v="509"/>
    <n v="480320"/>
    <n v="25.077864756828781"/>
    <n v="15469"/>
    <x v="4"/>
    <n v="8361"/>
  </r>
  <r>
    <d v="2024-09-30T00:00:00"/>
    <s v="Twitter"/>
    <n v="6693"/>
    <n v="995"/>
    <n v="486018"/>
    <n v="23.761877132122681"/>
    <n v="38854"/>
    <x v="4"/>
    <n v="5698"/>
  </r>
  <r>
    <d v="2024-09-30T00:00:00"/>
    <s v="Instagram"/>
    <n v="1767"/>
    <n v="224"/>
    <n v="487561"/>
    <n v="13.208603641390511"/>
    <n v="16256"/>
    <x v="1"/>
    <n v="1543"/>
  </r>
  <r>
    <d v="2024-09-30T00:00:00"/>
    <s v="Twitter"/>
    <n v="3044"/>
    <n v="212"/>
    <n v="490393"/>
    <n v="8.5343795690395261"/>
    <n v="20720"/>
    <x v="1"/>
    <n v="2832"/>
  </r>
  <r>
    <d v="2024-10-07T00:00:00"/>
    <s v="LinkedIn"/>
    <n v="2549"/>
    <n v="128"/>
    <n v="492814"/>
    <n v="12.734216154573531"/>
    <n v="43937"/>
    <x v="0"/>
    <n v="2421"/>
  </r>
  <r>
    <d v="2024-10-07T00:00:00"/>
    <s v="YouTube"/>
    <n v="7140"/>
    <n v="939"/>
    <n v="499015"/>
    <n v="25.120888149654821"/>
    <n v="43598"/>
    <x v="0"/>
    <n v="6201"/>
  </r>
  <r>
    <d v="2024-10-07T00:00:00"/>
    <s v="YouTube"/>
    <n v="4716"/>
    <n v="569"/>
    <n v="503162"/>
    <n v="25.64820077827817"/>
    <n v="11651"/>
    <x v="1"/>
    <n v="4147"/>
  </r>
  <r>
    <d v="2024-10-07T00:00:00"/>
    <s v="Instagram"/>
    <n v="5481"/>
    <n v="673"/>
    <n v="507970"/>
    <n v="13.08758391243577"/>
    <n v="29194"/>
    <x v="1"/>
    <n v="4808"/>
  </r>
  <r>
    <d v="2024-10-14T00:00:00"/>
    <s v="Twitter"/>
    <n v="8898"/>
    <n v="1131"/>
    <n v="515737"/>
    <n v="2.1877429775253669"/>
    <n v="35051"/>
    <x v="3"/>
    <n v="7767"/>
  </r>
  <r>
    <d v="2024-10-14T00:00:00"/>
    <s v="YouTube"/>
    <n v="7548"/>
    <n v="433"/>
    <n v="522852"/>
    <n v="8.3562843787534522"/>
    <n v="37386"/>
    <x v="3"/>
    <n v="7115"/>
  </r>
  <r>
    <d v="2024-10-14T00:00:00"/>
    <s v="Twitter"/>
    <n v="3293"/>
    <n v="282"/>
    <n v="525863"/>
    <n v="27.040693108281051"/>
    <n v="19518"/>
    <x v="0"/>
    <n v="3011"/>
  </r>
  <r>
    <d v="2024-10-14T00:00:00"/>
    <s v="Twitter"/>
    <n v="5837"/>
    <n v="359"/>
    <n v="531341"/>
    <n v="6.8073045370110723"/>
    <n v="56026"/>
    <x v="0"/>
    <n v="5478"/>
  </r>
  <r>
    <d v="2024-10-21T00:00:00"/>
    <s v="Instagram"/>
    <n v="8758"/>
    <n v="1193"/>
    <n v="538906"/>
    <n v="3.4213758985797149"/>
    <n v="26184"/>
    <x v="0"/>
    <n v="7565"/>
  </r>
  <r>
    <d v="2024-10-21T00:00:00"/>
    <s v="YouTube"/>
    <n v="7793"/>
    <n v="875"/>
    <n v="545824"/>
    <n v="5.5136820660139527"/>
    <n v="43787"/>
    <x v="1"/>
    <n v="6918"/>
  </r>
  <r>
    <d v="2024-10-21T00:00:00"/>
    <s v="Instagram"/>
    <n v="8638"/>
    <n v="717"/>
    <n v="553745"/>
    <n v="26.921416897669499"/>
    <n v="31621"/>
    <x v="1"/>
    <n v="7921"/>
  </r>
  <r>
    <d v="2024-10-21T00:00:00"/>
    <s v="Instagram"/>
    <n v="8993"/>
    <n v="506"/>
    <n v="562232"/>
    <n v="3.5131404829323132"/>
    <n v="20028"/>
    <x v="2"/>
    <n v="8487"/>
  </r>
  <r>
    <d v="2024-10-28T00:00:00"/>
    <s v="YouTube"/>
    <n v="7007"/>
    <n v="568"/>
    <n v="568671"/>
    <n v="11.50507059442103"/>
    <n v="22448"/>
    <x v="2"/>
    <n v="6439"/>
  </r>
  <r>
    <d v="2024-10-28T00:00:00"/>
    <s v="YouTube"/>
    <n v="6542"/>
    <n v="539"/>
    <n v="574674"/>
    <n v="6.4069368024305948"/>
    <n v="55253"/>
    <x v="0"/>
    <n v="6003"/>
  </r>
  <r>
    <d v="2024-10-28T00:00:00"/>
    <s v="LinkedIn"/>
    <n v="7356"/>
    <n v="904"/>
    <n v="581126"/>
    <n v="17.560907617280929"/>
    <n v="44051"/>
    <x v="0"/>
    <n v="6452"/>
  </r>
  <r>
    <d v="2024-10-28T00:00:00"/>
    <s v="LinkedIn"/>
    <n v="9433"/>
    <n v="1073"/>
    <n v="589486"/>
    <n v="7.2934726185185053"/>
    <n v="59811"/>
    <x v="3"/>
    <n v="8360"/>
  </r>
  <r>
    <d v="2024-11-04T00:00:00"/>
    <s v="Twitter"/>
    <n v="8380"/>
    <n v="1162"/>
    <n v="596704"/>
    <n v="18.05853488496809"/>
    <n v="40447"/>
    <x v="3"/>
    <n v="7218"/>
  </r>
  <r>
    <d v="2024-11-04T00:00:00"/>
    <s v="YouTube"/>
    <n v="3385"/>
    <n v="329"/>
    <n v="599760"/>
    <n v="17.61788048552755"/>
    <n v="28394"/>
    <x v="2"/>
    <n v="3056"/>
  </r>
  <r>
    <d v="2024-11-04T00:00:00"/>
    <s v="LinkedIn"/>
    <n v="5268"/>
    <n v="326"/>
    <n v="604702"/>
    <n v="23.435841125050029"/>
    <n v="44501"/>
    <x v="2"/>
    <n v="4942"/>
  </r>
  <r>
    <d v="2024-11-04T00:00:00"/>
    <s v="Twitter"/>
    <n v="1671"/>
    <n v="202"/>
    <n v="606171"/>
    <n v="15.150015424690389"/>
    <n v="40254"/>
    <x v="0"/>
    <n v="1469"/>
  </r>
  <r>
    <d v="2024-11-11T00:00:00"/>
    <s v="Twitter"/>
    <n v="1163"/>
    <n v="146"/>
    <n v="607188"/>
    <n v="21.77776899411715"/>
    <n v="28509"/>
    <x v="0"/>
    <n v="1017"/>
  </r>
  <r>
    <d v="2024-11-11T00:00:00"/>
    <s v="Twitter"/>
    <n v="9656"/>
    <n v="1024"/>
    <n v="615820"/>
    <n v="8.7252768666168681"/>
    <n v="58998"/>
    <x v="4"/>
    <n v="8632"/>
  </r>
  <r>
    <d v="2024-11-11T00:00:00"/>
    <s v="LinkedIn"/>
    <n v="5592"/>
    <n v="710"/>
    <n v="620702"/>
    <n v="9.07118069540617"/>
    <n v="24472"/>
    <x v="4"/>
    <n v="4882"/>
  </r>
  <r>
    <d v="2024-11-11T00:00:00"/>
    <s v="YouTube"/>
    <n v="5795"/>
    <n v="575"/>
    <n v="625922"/>
    <n v="3.0908004511744269"/>
    <n v="55657"/>
    <x v="2"/>
    <n v="5220"/>
  </r>
  <r>
    <d v="2024-11-18T00:00:00"/>
    <s v="Instagram"/>
    <n v="5798"/>
    <n v="592"/>
    <n v="631128"/>
    <n v="1.6774727155188811"/>
    <n v="13471"/>
    <x v="2"/>
    <n v="5206"/>
  </r>
  <r>
    <d v="2024-11-18T00:00:00"/>
    <s v="Twitter"/>
    <n v="7036"/>
    <n v="652"/>
    <n v="637512"/>
    <n v="3.5705994553828009"/>
    <n v="51796"/>
    <x v="3"/>
    <n v="6384"/>
  </r>
  <r>
    <d v="2024-11-18T00:00:00"/>
    <s v="LinkedIn"/>
    <n v="3355"/>
    <n v="176"/>
    <n v="640691"/>
    <n v="12.426427091999111"/>
    <n v="40268"/>
    <x v="3"/>
    <n v="3179"/>
  </r>
  <r>
    <d v="2024-11-18T00:00:00"/>
    <s v="LinkedIn"/>
    <n v="6887"/>
    <n v="418"/>
    <n v="647160"/>
    <n v="20.240280610668151"/>
    <n v="18329"/>
    <x v="3"/>
    <n v="6469"/>
  </r>
  <r>
    <d v="2024-11-25T00:00:00"/>
    <s v="Instagram"/>
    <n v="8961"/>
    <n v="476"/>
    <n v="655645"/>
    <n v="15.458517947974901"/>
    <n v="44865"/>
    <x v="3"/>
    <n v="8485"/>
  </r>
  <r>
    <d v="2024-11-25T00:00:00"/>
    <s v="Instagram"/>
    <n v="6827"/>
    <n v="775"/>
    <n v="661697"/>
    <n v="15.96622018839439"/>
    <n v="56850"/>
    <x v="0"/>
    <n v="6052"/>
  </r>
  <r>
    <d v="2024-11-25T00:00:00"/>
    <s v="LinkedIn"/>
    <n v="9737"/>
    <n v="792"/>
    <n v="670642"/>
    <n v="5.301785453341723"/>
    <n v="56698"/>
    <x v="0"/>
    <n v="8945"/>
  </r>
  <r>
    <d v="2024-11-25T00:00:00"/>
    <s v="YouTube"/>
    <n v="5719"/>
    <n v="576"/>
    <n v="675785"/>
    <n v="10.21656296011305"/>
    <n v="38272"/>
    <x v="1"/>
    <n v="5143"/>
  </r>
  <r>
    <d v="2024-12-02T00:00:00"/>
    <s v="Instagram"/>
    <n v="1593"/>
    <n v="224"/>
    <n v="677154"/>
    <n v="4.1495730660972248"/>
    <n v="52845"/>
    <x v="1"/>
    <n v="1369"/>
  </r>
  <r>
    <d v="2024-12-02T00:00:00"/>
    <s v="LinkedIn"/>
    <n v="5839"/>
    <n v="437"/>
    <n v="682556"/>
    <n v="17.44750613869045"/>
    <n v="16397"/>
    <x v="3"/>
    <n v="5402"/>
  </r>
  <r>
    <d v="2024-12-02T00:00:00"/>
    <s v="Instagram"/>
    <n v="8394"/>
    <n v="764"/>
    <n v="690186"/>
    <n v="6.3556780346167558"/>
    <n v="42373"/>
    <x v="3"/>
    <n v="7630"/>
  </r>
  <r>
    <d v="2024-12-02T00:00:00"/>
    <s v="YouTube"/>
    <n v="4493"/>
    <n v="564"/>
    <n v="694115"/>
    <n v="16.625487131094989"/>
    <n v="45525"/>
    <x v="4"/>
    <n v="3929"/>
  </r>
  <r>
    <d v="2024-12-09T00:00:00"/>
    <s v="Twitter"/>
    <n v="7164"/>
    <n v="522"/>
    <n v="700757"/>
    <n v="13.449169969047761"/>
    <n v="34570"/>
    <x v="4"/>
    <n v="6642"/>
  </r>
  <r>
    <d v="2024-12-09T00:00:00"/>
    <s v="Instagram"/>
    <n v="3672"/>
    <n v="211"/>
    <n v="704218"/>
    <n v="12.35057894004413"/>
    <n v="28284"/>
    <x v="2"/>
    <n v="3461"/>
  </r>
  <r>
    <d v="2024-12-09T00:00:00"/>
    <s v="YouTube"/>
    <n v="5200"/>
    <n v="410"/>
    <n v="709008"/>
    <n v="12.913394489201821"/>
    <n v="28994"/>
    <x v="2"/>
    <n v="4790"/>
  </r>
  <r>
    <d v="2024-12-09T00:00:00"/>
    <s v="LinkedIn"/>
    <n v="1016"/>
    <n v="67"/>
    <n v="709957"/>
    <n v="20.774215903216671"/>
    <n v="33284"/>
    <x v="2"/>
    <n v="949"/>
  </r>
  <r>
    <d v="2024-12-16T00:00:00"/>
    <s v="Instagram"/>
    <n v="4191"/>
    <n v="599"/>
    <n v="713549"/>
    <n v="11.56416728213479"/>
    <n v="27833"/>
    <x v="4"/>
    <n v="3592"/>
  </r>
  <r>
    <d v="2024-12-16T00:00:00"/>
    <s v="Instagram"/>
    <n v="1392"/>
    <n v="182"/>
    <n v="714759"/>
    <n v="5.9603306848881932"/>
    <n v="35122"/>
    <x v="4"/>
    <n v="1210"/>
  </r>
  <r>
    <d v="2024-12-16T00:00:00"/>
    <s v="LinkedIn"/>
    <n v="9616"/>
    <n v="1089"/>
    <n v="723286"/>
    <n v="19.25863351426683"/>
    <n v="15017"/>
    <x v="3"/>
    <n v="8527"/>
  </r>
  <r>
    <d v="2024-12-16T00:00:00"/>
    <s v="Twitter"/>
    <n v="7272"/>
    <n v="997"/>
    <n v="729561"/>
    <n v="13.428486445958599"/>
    <n v="26370"/>
    <x v="3"/>
    <n v="6275"/>
  </r>
  <r>
    <d v="2024-12-23T00:00:00"/>
    <s v="LinkedIn"/>
    <n v="1571"/>
    <n v="204"/>
    <n v="730928"/>
    <n v="19.449384891535139"/>
    <n v="39252"/>
    <x v="0"/>
    <n v="1367"/>
  </r>
  <r>
    <d v="2024-12-23T00:00:00"/>
    <s v="Instagram"/>
    <n v="4631"/>
    <n v="317"/>
    <n v="735242"/>
    <n v="1.381177897889402"/>
    <n v="17999"/>
    <x v="0"/>
    <n v="4314"/>
  </r>
  <r>
    <d v="2024-12-23T00:00:00"/>
    <s v="LinkedIn"/>
    <n v="7172"/>
    <n v="998"/>
    <n v="741416"/>
    <n v="18.0667803230575"/>
    <n v="32436"/>
    <x v="0"/>
    <n v="6174"/>
  </r>
  <r>
    <d v="2024-12-23T00:00:00"/>
    <s v="YouTube"/>
    <n v="8177"/>
    <n v="849"/>
    <n v="748744"/>
    <n v="10.34986590877523"/>
    <n v="52963"/>
    <x v="0"/>
    <n v="7328"/>
  </r>
  <r>
    <d v="2024-12-30T00:00:00"/>
    <s v="LinkedIn"/>
    <n v="9433"/>
    <n v="1233"/>
    <n v="756944"/>
    <n v="11.391727789638329"/>
    <n v="12096"/>
    <x v="3"/>
    <n v="8200"/>
  </r>
  <r>
    <d v="2024-12-30T00:00:00"/>
    <s v="Instagram"/>
    <n v="4897"/>
    <n v="683"/>
    <n v="761158"/>
    <n v="15.06231294947961"/>
    <n v="58201"/>
    <x v="3"/>
    <n v="4214"/>
  </r>
  <r>
    <d v="2024-12-30T00:00:00"/>
    <s v="LinkedIn"/>
    <n v="9123"/>
    <n v="746"/>
    <n v="769535"/>
    <n v="6.3086149427901264"/>
    <n v="35279"/>
    <x v="3"/>
    <n v="8377"/>
  </r>
  <r>
    <d v="2024-12-30T00:00:00"/>
    <s v="Twitter"/>
    <n v="3279"/>
    <n v="200"/>
    <n v="772614"/>
    <n v="5.0212654702089274"/>
    <n v="53363"/>
    <x v="3"/>
    <n v="3079"/>
  </r>
  <r>
    <d v="2025-01-06T00:00:00"/>
    <s v="LinkedIn"/>
    <n v="9980"/>
    <n v="726"/>
    <n v="781868"/>
    <n v="4.0220344099003924"/>
    <n v="58709"/>
    <x v="2"/>
    <n v="9254"/>
  </r>
  <r>
    <d v="2025-01-06T00:00:00"/>
    <s v="Twitter"/>
    <n v="8451"/>
    <n v="783"/>
    <n v="789536"/>
    <n v="12.407287318121019"/>
    <n v="36201"/>
    <x v="2"/>
    <n v="7668"/>
  </r>
  <r>
    <d v="2025-01-06T00:00:00"/>
    <s v="YouTube"/>
    <n v="9906"/>
    <n v="1305"/>
    <n v="798137"/>
    <n v="9.1811305577864442"/>
    <n v="29715"/>
    <x v="3"/>
    <n v="8601"/>
  </r>
  <r>
    <d v="2025-01-06T00:00:00"/>
    <s v="Twitter"/>
    <n v="1775"/>
    <n v="241"/>
    <n v="799671"/>
    <n v="8.1379717408784362"/>
    <n v="39309"/>
    <x v="3"/>
    <n v="1534"/>
  </r>
  <r>
    <d v="2025-01-13T00:00:00"/>
    <s v="LinkedIn"/>
    <n v="7869"/>
    <n v="398"/>
    <n v="807142"/>
    <n v="15.211945357818079"/>
    <n v="25078"/>
    <x v="1"/>
    <n v="7471"/>
  </r>
  <r>
    <d v="2025-01-13T00:00:00"/>
    <s v="Instagram"/>
    <n v="3247"/>
    <n v="328"/>
    <n v="810061"/>
    <n v="13.941172331466399"/>
    <n v="15105"/>
    <x v="1"/>
    <n v="2919"/>
  </r>
  <r>
    <d v="2025-01-13T00:00:00"/>
    <s v="Twitter"/>
    <n v="8088"/>
    <n v="742"/>
    <n v="817407"/>
    <n v="14.664542877660701"/>
    <n v="39312"/>
    <x v="2"/>
    <n v="7346"/>
  </r>
  <r>
    <d v="2025-01-13T00:00:00"/>
    <s v="YouTube"/>
    <n v="1078"/>
    <n v="77"/>
    <n v="818408"/>
    <n v="18.236747441373989"/>
    <n v="12839"/>
    <x v="2"/>
    <n v="1001"/>
  </r>
  <r>
    <d v="2025-01-20T00:00:00"/>
    <s v="Twitter"/>
    <n v="9080"/>
    <n v="562"/>
    <n v="826926"/>
    <n v="7.1083748727213809"/>
    <n v="13384"/>
    <x v="3"/>
    <n v="8518"/>
  </r>
  <r>
    <d v="2025-01-20T00:00:00"/>
    <s v="Twitter"/>
    <n v="8099"/>
    <n v="678"/>
    <n v="834347"/>
    <n v="7.6464588474579518"/>
    <n v="53619"/>
    <x v="3"/>
    <n v="7421"/>
  </r>
  <r>
    <d v="2025-01-20T00:00:00"/>
    <s v="Twitter"/>
    <n v="4926"/>
    <n v="710"/>
    <n v="838563"/>
    <n v="12.96217457722318"/>
    <n v="52821"/>
    <x v="2"/>
    <n v="4216"/>
  </r>
  <r>
    <d v="2025-01-20T00:00:00"/>
    <s v="YouTube"/>
    <n v="8340"/>
    <n v="686"/>
    <n v="846217"/>
    <n v="7.201344336027284"/>
    <n v="23493"/>
    <x v="2"/>
    <n v="7654"/>
  </r>
  <r>
    <d v="2025-01-27T00:00:00"/>
    <s v="LinkedIn"/>
    <n v="8083"/>
    <n v="823"/>
    <n v="853477"/>
    <n v="4.6300017457998282"/>
    <n v="27069"/>
    <x v="4"/>
    <n v="7260"/>
  </r>
  <r>
    <d v="2025-01-27T00:00:00"/>
    <s v="Twitter"/>
    <n v="7230"/>
    <n v="869"/>
    <n v="859838"/>
    <n v="7.0117859410726204"/>
    <n v="56907"/>
    <x v="4"/>
    <n v="6361"/>
  </r>
  <r>
    <d v="2025-01-27T00:00:00"/>
    <s v="Twitter"/>
    <n v="5940"/>
    <n v="512"/>
    <n v="865266"/>
    <n v="15.7972230504839"/>
    <n v="17531"/>
    <x v="3"/>
    <n v="5428"/>
  </r>
  <r>
    <d v="2025-01-27T00:00:00"/>
    <s v="Instagram"/>
    <n v="4271"/>
    <n v="628"/>
    <n v="868909"/>
    <n v="11.124410036033691"/>
    <n v="47051"/>
    <x v="3"/>
    <n v="3643"/>
  </r>
  <r>
    <d v="2025-02-03T00:00:00"/>
    <s v="YouTube"/>
    <n v="4456"/>
    <n v="651"/>
    <n v="872714"/>
    <n v="9.5052903929580594"/>
    <n v="17736"/>
    <x v="0"/>
    <n v="3805"/>
  </r>
  <r>
    <d v="2025-02-03T00:00:00"/>
    <s v="Twitter"/>
    <n v="8788"/>
    <n v="660"/>
    <n v="880842"/>
    <n v="3.7175793161543158"/>
    <n v="17710"/>
    <x v="0"/>
    <n v="8128"/>
  </r>
  <r>
    <d v="2025-02-03T00:00:00"/>
    <s v="YouTube"/>
    <n v="9599"/>
    <n v="957"/>
    <n v="889484"/>
    <n v="8.768004820772493"/>
    <n v="11619"/>
    <x v="3"/>
    <n v="8642"/>
  </r>
  <r>
    <d v="2025-02-03T00:00:00"/>
    <s v="Twitter"/>
    <n v="8650"/>
    <n v="692"/>
    <n v="897442"/>
    <n v="7.6673478620345374"/>
    <n v="23975"/>
    <x v="3"/>
    <n v="7958"/>
  </r>
  <r>
    <d v="2025-02-10T00:00:00"/>
    <s v="LinkedIn"/>
    <n v="3711"/>
    <n v="291"/>
    <n v="900862"/>
    <n v="14.24879726306582"/>
    <n v="55603"/>
    <x v="0"/>
    <n v="3420"/>
  </r>
  <r>
    <d v="2025-02-10T00:00:00"/>
    <s v="LinkedIn"/>
    <n v="2668"/>
    <n v="143"/>
    <n v="903387"/>
    <n v="15.903372530266649"/>
    <n v="33252"/>
    <x v="0"/>
    <n v="2525"/>
  </r>
  <r>
    <d v="2025-02-10T00:00:00"/>
    <s v="Twitter"/>
    <n v="1147"/>
    <n v="127"/>
    <n v="904407"/>
    <n v="1.3997016829812241"/>
    <n v="25261"/>
    <x v="1"/>
    <n v="1020"/>
  </r>
  <r>
    <d v="2025-02-10T00:00:00"/>
    <s v="LinkedIn"/>
    <n v="7420"/>
    <n v="743"/>
    <n v="911084"/>
    <n v="10.593534734448189"/>
    <n v="11431"/>
    <x v="1"/>
    <n v="6677"/>
  </r>
  <r>
    <d v="2025-02-17T00:00:00"/>
    <s v="Twitter"/>
    <n v="1365"/>
    <n v="75"/>
    <n v="912374"/>
    <n v="9.2688963078737441"/>
    <n v="19067"/>
    <x v="0"/>
    <n v="1290"/>
  </r>
  <r>
    <d v="2025-02-17T00:00:00"/>
    <s v="LinkedIn"/>
    <n v="5531"/>
    <n v="430"/>
    <n v="917475"/>
    <n v="2.7289026948963189"/>
    <n v="47481"/>
    <x v="0"/>
    <n v="5101"/>
  </r>
  <r>
    <d v="2025-02-17T00:00:00"/>
    <s v="Instagram"/>
    <n v="6330"/>
    <n v="891"/>
    <n v="922914"/>
    <n v="14.789893749580139"/>
    <n v="37037"/>
    <x v="4"/>
    <n v="5439"/>
  </r>
  <r>
    <d v="2025-02-17T00:00:00"/>
    <s v="Instagram"/>
    <n v="6510"/>
    <n v="481"/>
    <n v="928943"/>
    <n v="2.3800168578696428"/>
    <n v="19557"/>
    <x v="4"/>
    <n v="6029"/>
  </r>
  <r>
    <d v="2025-02-24T00:00:00"/>
    <s v="Instagram"/>
    <n v="9754"/>
    <n v="629"/>
    <n v="938068"/>
    <n v="3.4123325814333292"/>
    <n v="19435"/>
    <x v="4"/>
    <n v="9125"/>
  </r>
  <r>
    <d v="2025-02-24T00:00:00"/>
    <s v="YouTube"/>
    <n v="9964"/>
    <n v="985"/>
    <n v="947047"/>
    <n v="1.9837452629066989"/>
    <n v="47766"/>
    <x v="4"/>
    <n v="8979"/>
  </r>
  <r>
    <d v="2025-02-24T00:00:00"/>
    <s v="YouTube"/>
    <n v="7493"/>
    <n v="1113"/>
    <n v="953427"/>
    <n v="15.684892498324469"/>
    <n v="10162"/>
    <x v="2"/>
    <n v="6380"/>
  </r>
  <r>
    <d v="2025-02-24T00:00:00"/>
    <s v="Instagram"/>
    <n v="6439"/>
    <n v="477"/>
    <n v="959389"/>
    <n v="7.4744446725989153"/>
    <n v="44742"/>
    <x v="2"/>
    <n v="5962"/>
  </r>
  <r>
    <d v="2025-03-03T00:00:00"/>
    <s v="YouTube"/>
    <n v="7511"/>
    <n v="880"/>
    <n v="966020"/>
    <n v="4.6083932009689246"/>
    <n v="29675"/>
    <x v="3"/>
    <n v="6631"/>
  </r>
  <r>
    <d v="2025-03-03T00:00:00"/>
    <s v="LinkedIn"/>
    <n v="8504"/>
    <n v="1072"/>
    <n v="973452"/>
    <n v="6.5651927367759271"/>
    <n v="18461"/>
    <x v="2"/>
    <n v="7432"/>
  </r>
  <r>
    <d v="2025-03-03T00:00:00"/>
    <s v="Twitter"/>
    <n v="2246"/>
    <n v="165"/>
    <n v="975533"/>
    <n v="2.9062061457685191"/>
    <n v="27015"/>
    <x v="2"/>
    <n v="2081"/>
  </r>
  <r>
    <d v="2025-03-03T00:00:00"/>
    <s v="Twitter"/>
    <n v="4839"/>
    <n v="594"/>
    <n v="979778"/>
    <n v="2.5803804535313102"/>
    <n v="42591"/>
    <x v="0"/>
    <n v="4245"/>
  </r>
  <r>
    <d v="2025-03-10T00:00:00"/>
    <s v="Twitter"/>
    <n v="9551"/>
    <n v="828"/>
    <n v="988501"/>
    <n v="1.525036393488727"/>
    <n v="38047"/>
    <x v="0"/>
    <n v="8723"/>
  </r>
  <r>
    <d v="2025-03-10T00:00:00"/>
    <s v="Instagram"/>
    <n v="3376"/>
    <n v="382"/>
    <n v="991495"/>
    <n v="3.8694093263203548"/>
    <n v="44782"/>
    <x v="2"/>
    <n v="2994"/>
  </r>
  <r>
    <d v="2025-03-10T00:00:00"/>
    <s v="YouTube"/>
    <n v="4009"/>
    <n v="454"/>
    <n v="995050"/>
    <n v="2.1106477061454201"/>
    <n v="19833"/>
    <x v="2"/>
    <n v="3555"/>
  </r>
  <r>
    <d v="2025-03-10T00:00:00"/>
    <s v="LinkedIn"/>
    <n v="2827"/>
    <n v="292"/>
    <n v="997585"/>
    <n v="2.4004972007397871"/>
    <n v="17896"/>
    <x v="2"/>
    <n v="2535"/>
  </r>
  <r>
    <d v="2025-03-17T00:00:00"/>
    <s v="LinkedIn"/>
    <n v="7979"/>
    <n v="470"/>
    <n v="1005094"/>
    <n v="10.43086517280971"/>
    <n v="42972"/>
    <x v="2"/>
    <n v="7509"/>
  </r>
  <r>
    <d v="2025-03-17T00:00:00"/>
    <s v="Instagram"/>
    <n v="9569"/>
    <n v="1277"/>
    <n v="1013386"/>
    <n v="12.45517502708741"/>
    <n v="59733"/>
    <x v="2"/>
    <n v="8292"/>
  </r>
  <r>
    <d v="2025-03-17T00:00:00"/>
    <s v="LinkedIn"/>
    <n v="5285"/>
    <n v="433"/>
    <n v="1018238"/>
    <n v="8.7022876773406619"/>
    <n v="51800"/>
    <x v="2"/>
    <n v="4852"/>
  </r>
  <r>
    <d v="2025-03-17T00:00:00"/>
    <s v="LinkedIn"/>
    <n v="7910"/>
    <n v="543"/>
    <n v="1025605"/>
    <n v="6.0590578244060822"/>
    <n v="40508"/>
    <x v="1"/>
    <n v="7367"/>
  </r>
  <r>
    <d v="2025-03-24T00:00:00"/>
    <s v="LinkedIn"/>
    <n v="9561"/>
    <n v="517"/>
    <n v="1034649"/>
    <n v="6.4086467971263694"/>
    <n v="15347"/>
    <x v="1"/>
    <n v="9044"/>
  </r>
  <r>
    <d v="2025-03-24T00:00:00"/>
    <s v="LinkedIn"/>
    <n v="3196"/>
    <n v="348"/>
    <n v="1037497"/>
    <n v="14.03040201562029"/>
    <n v="40314"/>
    <x v="1"/>
    <n v="2848"/>
  </r>
  <r>
    <d v="2025-03-24T00:00:00"/>
    <s v="YouTube"/>
    <n v="4747"/>
    <n v="558"/>
    <n v="1041686"/>
    <n v="5.7680529449373434"/>
    <n v="12643"/>
    <x v="1"/>
    <n v="4189"/>
  </r>
  <r>
    <d v="2025-03-24T00:00:00"/>
    <s v="LinkedIn"/>
    <n v="9843"/>
    <n v="508"/>
    <n v="1051021"/>
    <n v="4.2080986012648651"/>
    <n v="50785"/>
    <x v="3"/>
    <n v="9335"/>
  </r>
  <r>
    <d v="2025-03-31T00:00:00"/>
    <s v="Twitter"/>
    <n v="6978"/>
    <n v="706"/>
    <n v="1057293"/>
    <n v="5.057443868445171"/>
    <n v="28681"/>
    <x v="3"/>
    <n v="6272"/>
  </r>
  <r>
    <d v="2025-03-31T00:00:00"/>
    <s v="Instagram"/>
    <n v="6607"/>
    <n v="479"/>
    <n v="1063421"/>
    <n v="5.5892257158735816"/>
    <n v="48328"/>
    <x v="2"/>
    <n v="6128"/>
  </r>
  <r>
    <d v="2025-03-31T00:00:00"/>
    <s v="YouTube"/>
    <n v="1769"/>
    <n v="202"/>
    <n v="1064988"/>
    <n v="6.5457075572682513"/>
    <n v="25892"/>
    <x v="2"/>
    <n v="1567"/>
  </r>
  <r>
    <d v="2025-03-31T00:00:00"/>
    <s v="LinkedIn"/>
    <n v="1780"/>
    <n v="120"/>
    <n v="1066648"/>
    <n v="13.86474263299608"/>
    <n v="57299"/>
    <x v="0"/>
    <n v="1660"/>
  </r>
  <r>
    <d v="2025-04-07T00:00:00"/>
    <s v="YouTube"/>
    <n v="7303"/>
    <n v="869"/>
    <n v="1073082"/>
    <n v="8.1237966902808925"/>
    <n v="27073"/>
    <x v="0"/>
    <n v="6434"/>
  </r>
  <r>
    <d v="2025-04-07T00:00:00"/>
    <s v="LinkedIn"/>
    <n v="4983"/>
    <n v="441"/>
    <n v="1077624"/>
    <n v="6.8954477628560609"/>
    <n v="46768"/>
    <x v="2"/>
    <n v="4542"/>
  </r>
  <r>
    <d v="2025-04-07T00:00:00"/>
    <s v="Twitter"/>
    <n v="9714"/>
    <n v="1395"/>
    <n v="1085943"/>
    <n v="5.2243073531483697"/>
    <n v="40682"/>
    <x v="2"/>
    <n v="8319"/>
  </r>
  <r>
    <d v="2025-04-07T00:00:00"/>
    <s v="Instagram"/>
    <n v="1521"/>
    <n v="96"/>
    <n v="1087368"/>
    <n v="12.709772588488899"/>
    <n v="42262"/>
    <x v="1"/>
    <n v="1425"/>
  </r>
  <r>
    <d v="2025-04-14T00:00:00"/>
    <s v="LinkedIn"/>
    <n v="8569"/>
    <n v="720"/>
    <n v="1095217"/>
    <n v="9.589697749395782"/>
    <n v="41358"/>
    <x v="4"/>
    <n v="7849"/>
  </r>
  <r>
    <d v="2025-04-14T00:00:00"/>
    <s v="LinkedIn"/>
    <n v="6784"/>
    <n v="416"/>
    <n v="1101585"/>
    <n v="9.3041390360253633"/>
    <n v="24289"/>
    <x v="4"/>
    <n v="6368"/>
  </r>
  <r>
    <d v="2025-04-14T00:00:00"/>
    <s v="LinkedIn"/>
    <n v="5583"/>
    <n v="795"/>
    <n v="1106373"/>
    <n v="12.21550055903389"/>
    <n v="59823"/>
    <x v="1"/>
    <n v="4788"/>
  </r>
  <r>
    <d v="2025-04-14T00:00:00"/>
    <s v="LinkedIn"/>
    <n v="6946"/>
    <n v="956"/>
    <n v="1112363"/>
    <n v="1.64146056637986"/>
    <n v="17927"/>
    <x v="1"/>
    <n v="5990"/>
  </r>
  <r>
    <d v="2025-04-21T00:00:00"/>
    <s v="Instagram"/>
    <n v="5941"/>
    <n v="450"/>
    <n v="1117854"/>
    <n v="12.414411899944"/>
    <n v="58330"/>
    <x v="0"/>
    <n v="5491"/>
  </r>
  <r>
    <d v="2025-04-21T00:00:00"/>
    <s v="Instagram"/>
    <n v="7267"/>
    <n v="842"/>
    <n v="1124279"/>
    <n v="2.2102165031989389"/>
    <n v="11171"/>
    <x v="0"/>
    <n v="6425"/>
  </r>
  <r>
    <d v="2025-04-21T00:00:00"/>
    <s v="Twitter"/>
    <n v="8128"/>
    <n v="1070"/>
    <n v="1131337"/>
    <n v="8.1114645768679008"/>
    <n v="21918"/>
    <x v="3"/>
    <n v="7058"/>
  </r>
  <r>
    <d v="2025-04-21T00:00:00"/>
    <s v="Instagram"/>
    <n v="3461"/>
    <n v="365"/>
    <n v="1134433"/>
    <n v="10.23489267325616"/>
    <n v="51903"/>
    <x v="3"/>
    <n v="3096"/>
  </r>
  <r>
    <d v="2025-04-28T00:00:00"/>
    <s v="LinkedIn"/>
    <n v="1685"/>
    <n v="173"/>
    <n v="1135945"/>
    <n v="8.7776256772995165"/>
    <n v="49110"/>
    <x v="2"/>
    <n v="1512"/>
  </r>
  <r>
    <d v="2025-04-28T00:00:00"/>
    <s v="Twitter"/>
    <n v="3160"/>
    <n v="234"/>
    <n v="1138871"/>
    <n v="5.6959041015180816"/>
    <n v="21929"/>
    <x v="2"/>
    <n v="2926"/>
  </r>
  <r>
    <d v="2025-04-28T00:00:00"/>
    <s v="Twitter"/>
    <n v="8031"/>
    <n v="476"/>
    <n v="1146426"/>
    <n v="11.940413075069831"/>
    <n v="12539"/>
    <x v="0"/>
    <n v="7555"/>
  </r>
  <r>
    <d v="2025-04-28T00:00:00"/>
    <s v="Twitter"/>
    <n v="6341"/>
    <n v="885"/>
    <n v="1151882"/>
    <n v="6.3457020771224837"/>
    <n v="46727"/>
    <x v="0"/>
    <n v="5456"/>
  </r>
  <r>
    <d v="2025-05-05T00:00:00"/>
    <s v="LinkedIn"/>
    <n v="1038"/>
    <n v="145"/>
    <n v="1152775"/>
    <n v="11.093752033137431"/>
    <n v="55951"/>
    <x v="1"/>
    <n v="893"/>
  </r>
  <r>
    <d v="2025-05-05T00:00:00"/>
    <s v="YouTube"/>
    <n v="5875"/>
    <n v="665"/>
    <n v="1157985"/>
    <n v="6.9871371390821126"/>
    <n v="32669"/>
    <x v="1"/>
    <n v="5210"/>
  </r>
  <r>
    <d v="2025-05-05T00:00:00"/>
    <s v="LinkedIn"/>
    <n v="2256"/>
    <n v="189"/>
    <n v="1160052"/>
    <n v="2.8935771844710412"/>
    <n v="15432"/>
    <x v="1"/>
    <n v="2067"/>
  </r>
  <r>
    <d v="2025-05-05T00:00:00"/>
    <s v="Instagram"/>
    <n v="8697"/>
    <n v="738"/>
    <n v="1168011"/>
    <n v="3.8777032065622672"/>
    <n v="30644"/>
    <x v="1"/>
    <n v="7959"/>
  </r>
  <r>
    <d v="2025-05-12T00:00:00"/>
    <s v="Instagram"/>
    <n v="3196"/>
    <n v="391"/>
    <n v="1170816"/>
    <n v="7.2439221876024931"/>
    <n v="28745"/>
    <x v="0"/>
    <n v="2805"/>
  </r>
  <r>
    <d v="2025-05-12T00:00:00"/>
    <s v="LinkedIn"/>
    <n v="8165"/>
    <n v="1140"/>
    <n v="1177841"/>
    <n v="9.095964565675672"/>
    <n v="38228"/>
    <x v="0"/>
    <n v="7025"/>
  </r>
  <r>
    <d v="2025-05-12T00:00:00"/>
    <s v="LinkedIn"/>
    <n v="1301"/>
    <n v="180"/>
    <n v="1178962"/>
    <n v="5.2275645864752214"/>
    <n v="44521"/>
    <x v="3"/>
    <n v="1121"/>
  </r>
  <r>
    <d v="2025-05-12T00:00:00"/>
    <s v="Twitter"/>
    <n v="8527"/>
    <n v="1091"/>
    <n v="1186398"/>
    <n v="1.676081719625286"/>
    <n v="41703"/>
    <x v="0"/>
    <n v="743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2A26A3-E11A-47A1-B51C-76492B68303E}" name="PivotTable4" cacheId="0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8" indent="0" showHeaders="0" outline="1" outlineData="1" multipleFieldFilters="0" chartFormat="1">
  <location ref="A3:D24" firstHeaderRow="0" firstDataRow="1" firstDataCol="1"/>
  <pivotFields count="12">
    <pivotField showAll="0"/>
    <pivotField axis="axisRow" showAll="0">
      <items count="5">
        <item x="2"/>
        <item x="1"/>
        <item x="3"/>
        <item x="0"/>
        <item t="default"/>
      </items>
    </pivotField>
    <pivotField numFmtId="14" showAll="0"/>
    <pivotField axis="axisRow" showAll="0">
      <items count="5">
        <item x="3"/>
        <item x="0"/>
        <item x="1"/>
        <item x="2"/>
        <item t="default"/>
      </items>
    </pivotField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</pivotFields>
  <rowFields count="2">
    <field x="3"/>
    <field x="1"/>
  </rowFields>
  <rowItems count="21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Likes" fld="5" baseField="0" baseItem="0"/>
    <dataField name="Sum of Shares" fld="6" baseField="0" baseItem="0"/>
    <dataField name="Sum of Comments" fld="7" baseField="0" baseItem="0"/>
  </dataFields>
  <formats count="22">
    <format dxfId="158">
      <pivotArea type="all" dataOnly="0" outline="0" fieldPosition="0"/>
    </format>
    <format dxfId="157">
      <pivotArea outline="0" collapsedLevelsAreSubtotals="1" fieldPosition="0"/>
    </format>
    <format dxfId="156">
      <pivotArea dataOnly="0" labelOnly="1" fieldPosition="0">
        <references count="1">
          <reference field="3" count="0"/>
        </references>
      </pivotArea>
    </format>
    <format dxfId="155">
      <pivotArea dataOnly="0" labelOnly="1" grandRow="1" outline="0" fieldPosition="0"/>
    </format>
    <format dxfId="154">
      <pivotArea dataOnly="0" labelOnly="1" fieldPosition="0">
        <references count="2">
          <reference field="1" count="0"/>
          <reference field="3" count="1" selected="0">
            <x v="0"/>
          </reference>
        </references>
      </pivotArea>
    </format>
    <format dxfId="153">
      <pivotArea dataOnly="0" labelOnly="1" fieldPosition="0">
        <references count="2">
          <reference field="1" count="0"/>
          <reference field="3" count="1" selected="0">
            <x v="1"/>
          </reference>
        </references>
      </pivotArea>
    </format>
    <format dxfId="152">
      <pivotArea dataOnly="0" labelOnly="1" fieldPosition="0">
        <references count="2">
          <reference field="1" count="0"/>
          <reference field="3" count="1" selected="0">
            <x v="2"/>
          </reference>
        </references>
      </pivotArea>
    </format>
    <format dxfId="151">
      <pivotArea dataOnly="0" labelOnly="1" fieldPosition="0">
        <references count="2">
          <reference field="1" count="0"/>
          <reference field="3" count="1" selected="0">
            <x v="3"/>
          </reference>
        </references>
      </pivotArea>
    </format>
    <format dxfId="15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4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48">
      <pivotArea dataOnly="0" labelOnly="1" fieldPosition="0">
        <references count="1">
          <reference field="3" count="0"/>
        </references>
      </pivotArea>
    </format>
    <format dxfId="147">
      <pivotArea grandRow="1" outline="0" collapsedLevelsAreSubtotals="1" fieldPosition="0"/>
    </format>
    <format dxfId="146">
      <pivotArea dataOnly="0" labelOnly="1" grandRow="1" outline="0" fieldPosition="0"/>
    </format>
    <format dxfId="145">
      <pivotArea type="all" dataOnly="0" outline="0" fieldPosition="0"/>
    </format>
    <format dxfId="144">
      <pivotArea outline="0" collapsedLevelsAreSubtotals="1" fieldPosition="0"/>
    </format>
    <format dxfId="143">
      <pivotArea dataOnly="0" labelOnly="1" fieldPosition="0">
        <references count="1">
          <reference field="3" count="0"/>
        </references>
      </pivotArea>
    </format>
    <format dxfId="142">
      <pivotArea dataOnly="0" labelOnly="1" grandRow="1" outline="0" fieldPosition="0"/>
    </format>
    <format dxfId="141">
      <pivotArea dataOnly="0" labelOnly="1" fieldPosition="0">
        <references count="2">
          <reference field="1" count="0"/>
          <reference field="3" count="1" selected="0">
            <x v="0"/>
          </reference>
        </references>
      </pivotArea>
    </format>
    <format dxfId="140">
      <pivotArea dataOnly="0" labelOnly="1" fieldPosition="0">
        <references count="2">
          <reference field="1" count="0"/>
          <reference field="3" count="1" selected="0">
            <x v="1"/>
          </reference>
        </references>
      </pivotArea>
    </format>
    <format dxfId="139">
      <pivotArea dataOnly="0" labelOnly="1" fieldPosition="0">
        <references count="2">
          <reference field="1" count="0"/>
          <reference field="3" count="1" selected="0">
            <x v="2"/>
          </reference>
        </references>
      </pivotArea>
    </format>
    <format dxfId="138">
      <pivotArea dataOnly="0" labelOnly="1" fieldPosition="0">
        <references count="2">
          <reference field="1" count="0"/>
          <reference field="3" count="1" selected="0">
            <x v="3"/>
          </reference>
        </references>
      </pivotArea>
    </format>
    <format dxfId="13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BE1EB7-8689-4514-9A64-95F8B6A160DF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3" firstHeaderRow="1" firstDataRow="1" firstDataCol="1"/>
  <pivotFields count="12">
    <pivotField showAll="0">
      <items count="301">
        <item x="0"/>
        <item x="9"/>
        <item x="99"/>
        <item x="100"/>
        <item x="101"/>
        <item x="102"/>
        <item x="103"/>
        <item x="104"/>
        <item x="105"/>
        <item x="106"/>
        <item x="107"/>
        <item x="108"/>
        <item x="10"/>
        <item x="109"/>
        <item x="110"/>
        <item x="111"/>
        <item x="112"/>
        <item x="113"/>
        <item x="114"/>
        <item x="115"/>
        <item x="116"/>
        <item x="117"/>
        <item x="118"/>
        <item x="11"/>
        <item x="119"/>
        <item x="120"/>
        <item x="121"/>
        <item x="122"/>
        <item x="123"/>
        <item x="124"/>
        <item x="125"/>
        <item x="126"/>
        <item x="127"/>
        <item x="128"/>
        <item x="12"/>
        <item x="129"/>
        <item x="130"/>
        <item x="131"/>
        <item x="132"/>
        <item x="133"/>
        <item x="134"/>
        <item x="135"/>
        <item x="136"/>
        <item x="137"/>
        <item x="138"/>
        <item x="13"/>
        <item x="139"/>
        <item x="140"/>
        <item x="141"/>
        <item x="142"/>
        <item x="143"/>
        <item x="144"/>
        <item x="145"/>
        <item x="146"/>
        <item x="147"/>
        <item x="148"/>
        <item x="14"/>
        <item x="149"/>
        <item x="150"/>
        <item x="151"/>
        <item x="152"/>
        <item x="153"/>
        <item x="154"/>
        <item x="155"/>
        <item x="156"/>
        <item x="157"/>
        <item x="158"/>
        <item x="15"/>
        <item x="159"/>
        <item x="160"/>
        <item x="161"/>
        <item x="162"/>
        <item x="163"/>
        <item x="164"/>
        <item x="165"/>
        <item x="166"/>
        <item x="167"/>
        <item x="168"/>
        <item x="16"/>
        <item x="169"/>
        <item x="170"/>
        <item x="171"/>
        <item x="172"/>
        <item x="173"/>
        <item x="174"/>
        <item x="175"/>
        <item x="176"/>
        <item x="177"/>
        <item x="178"/>
        <item x="17"/>
        <item x="179"/>
        <item x="180"/>
        <item x="181"/>
        <item x="182"/>
        <item x="183"/>
        <item x="184"/>
        <item x="185"/>
        <item x="186"/>
        <item x="187"/>
        <item x="188"/>
        <item x="18"/>
        <item x="189"/>
        <item x="190"/>
        <item x="191"/>
        <item x="192"/>
        <item x="193"/>
        <item x="194"/>
        <item x="195"/>
        <item x="196"/>
        <item x="197"/>
        <item x="198"/>
        <item x="1"/>
        <item x="19"/>
        <item x="199"/>
        <item x="200"/>
        <item x="201"/>
        <item x="202"/>
        <item x="203"/>
        <item x="204"/>
        <item x="205"/>
        <item x="206"/>
        <item x="207"/>
        <item x="208"/>
        <item x="20"/>
        <item x="209"/>
        <item x="210"/>
        <item x="211"/>
        <item x="212"/>
        <item x="213"/>
        <item x="214"/>
        <item x="215"/>
        <item x="216"/>
        <item x="217"/>
        <item x="218"/>
        <item x="21"/>
        <item x="219"/>
        <item x="220"/>
        <item x="221"/>
        <item x="222"/>
        <item x="223"/>
        <item x="224"/>
        <item x="225"/>
        <item x="226"/>
        <item x="227"/>
        <item x="228"/>
        <item x="22"/>
        <item x="229"/>
        <item x="230"/>
        <item x="231"/>
        <item x="232"/>
        <item x="233"/>
        <item x="234"/>
        <item x="235"/>
        <item x="236"/>
        <item x="237"/>
        <item x="238"/>
        <item x="23"/>
        <item x="239"/>
        <item x="240"/>
        <item x="241"/>
        <item x="242"/>
        <item x="243"/>
        <item x="244"/>
        <item x="245"/>
        <item x="246"/>
        <item x="247"/>
        <item x="248"/>
        <item x="24"/>
        <item x="249"/>
        <item x="250"/>
        <item x="251"/>
        <item x="252"/>
        <item x="253"/>
        <item x="254"/>
        <item x="255"/>
        <item x="256"/>
        <item x="257"/>
        <item x="258"/>
        <item x="25"/>
        <item x="259"/>
        <item x="260"/>
        <item x="261"/>
        <item x="262"/>
        <item x="263"/>
        <item x="264"/>
        <item x="265"/>
        <item x="266"/>
        <item x="267"/>
        <item x="268"/>
        <item x="26"/>
        <item x="269"/>
        <item x="270"/>
        <item x="271"/>
        <item x="272"/>
        <item x="273"/>
        <item x="274"/>
        <item x="275"/>
        <item x="276"/>
        <item x="277"/>
        <item x="278"/>
        <item x="27"/>
        <item x="279"/>
        <item x="280"/>
        <item x="281"/>
        <item x="282"/>
        <item x="283"/>
        <item x="284"/>
        <item x="285"/>
        <item x="286"/>
        <item x="287"/>
        <item x="288"/>
        <item x="28"/>
        <item x="289"/>
        <item x="290"/>
        <item x="291"/>
        <item x="292"/>
        <item x="293"/>
        <item x="294"/>
        <item x="295"/>
        <item x="296"/>
        <item x="297"/>
        <item x="298"/>
        <item x="2"/>
        <item x="29"/>
        <item x="299"/>
        <item x="30"/>
        <item x="31"/>
        <item x="32"/>
        <item x="33"/>
        <item x="34"/>
        <item x="35"/>
        <item x="36"/>
        <item x="37"/>
        <item x="38"/>
        <item x="3"/>
        <item x="39"/>
        <item x="40"/>
        <item x="41"/>
        <item x="42"/>
        <item x="43"/>
        <item x="44"/>
        <item x="45"/>
        <item x="46"/>
        <item x="47"/>
        <item x="48"/>
        <item x="4"/>
        <item x="49"/>
        <item x="50"/>
        <item x="51"/>
        <item x="52"/>
        <item x="53"/>
        <item x="54"/>
        <item x="55"/>
        <item x="56"/>
        <item x="57"/>
        <item x="58"/>
        <item x="5"/>
        <item x="59"/>
        <item x="60"/>
        <item x="61"/>
        <item x="62"/>
        <item x="63"/>
        <item x="64"/>
        <item x="65"/>
        <item x="66"/>
        <item x="67"/>
        <item x="68"/>
        <item x="6"/>
        <item x="69"/>
        <item x="70"/>
        <item x="71"/>
        <item x="72"/>
        <item x="73"/>
        <item x="74"/>
        <item x="75"/>
        <item x="76"/>
        <item x="77"/>
        <item x="78"/>
        <item x="7"/>
        <item x="79"/>
        <item x="80"/>
        <item x="81"/>
        <item x="82"/>
        <item x="83"/>
        <item x="84"/>
        <item x="85"/>
        <item x="86"/>
        <item x="87"/>
        <item x="88"/>
        <item x="8"/>
        <item x="89"/>
        <item x="90"/>
        <item x="91"/>
        <item x="92"/>
        <item x="93"/>
        <item x="94"/>
        <item x="95"/>
        <item x="96"/>
        <item x="97"/>
        <item x="98"/>
        <item t="default"/>
      </items>
    </pivotField>
    <pivotField showAll="0"/>
    <pivotField numFmtId="14" showAll="0"/>
    <pivotField showAll="0"/>
    <pivotField axis="axisRow" showAll="0" sortType="descending">
      <items count="20">
        <item x="4"/>
        <item x="18"/>
        <item x="6"/>
        <item x="3"/>
        <item x="10"/>
        <item x="9"/>
        <item x="11"/>
        <item x="0"/>
        <item x="12"/>
        <item x="1"/>
        <item x="5"/>
        <item x="7"/>
        <item x="14"/>
        <item x="13"/>
        <item x="15"/>
        <item x="2"/>
        <item x="16"/>
        <item x="8"/>
        <item x="1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4"/>
  </rowFields>
  <rowItems count="20">
    <i>
      <x v="13"/>
    </i>
    <i>
      <x v="8"/>
    </i>
    <i>
      <x v="6"/>
    </i>
    <i>
      <x v="14"/>
    </i>
    <i>
      <x v="15"/>
    </i>
    <i>
      <x v="3"/>
    </i>
    <i>
      <x v="7"/>
    </i>
    <i>
      <x v="9"/>
    </i>
    <i>
      <x v="17"/>
    </i>
    <i>
      <x v="2"/>
    </i>
    <i>
      <x/>
    </i>
    <i>
      <x v="10"/>
    </i>
    <i>
      <x v="12"/>
    </i>
    <i>
      <x v="11"/>
    </i>
    <i>
      <x v="4"/>
    </i>
    <i>
      <x v="5"/>
    </i>
    <i>
      <x v="18"/>
    </i>
    <i>
      <x v="1"/>
    </i>
    <i>
      <x v="16"/>
    </i>
    <i t="grand">
      <x/>
    </i>
  </rowItems>
  <colItems count="1">
    <i/>
  </colItems>
  <dataFields count="1">
    <dataField name="Average of Clicks" fld="8" subtotal="average" baseField="4" baseItem="0" numFmtId="164"/>
  </dataFields>
  <formats count="7">
    <format dxfId="136">
      <pivotArea type="all" dataOnly="0" outline="0" fieldPosition="0"/>
    </format>
    <format dxfId="135">
      <pivotArea outline="0" collapsedLevelsAreSubtotals="1" fieldPosition="0"/>
    </format>
    <format dxfId="134">
      <pivotArea field="4" type="button" dataOnly="0" labelOnly="1" outline="0" axis="axisRow" fieldPosition="0"/>
    </format>
    <format dxfId="133">
      <pivotArea dataOnly="0" labelOnly="1" fieldPosition="0">
        <references count="1">
          <reference field="4" count="0"/>
        </references>
      </pivotArea>
    </format>
    <format dxfId="132">
      <pivotArea dataOnly="0" labelOnly="1" grandRow="1" outline="0" fieldPosition="0"/>
    </format>
    <format dxfId="131">
      <pivotArea dataOnly="0" labelOnly="1" outline="0" axis="axisValues" fieldPosition="0"/>
    </format>
    <format dxfId="130">
      <pivotArea outline="0" collapsedLevelsAreSubtotals="1" fieldPosition="0"/>
    </format>
  </format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79B598-C6BA-4B27-B052-8FD5FD148F86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3" firstHeaderRow="1" firstDataRow="1" firstDataCol="1"/>
  <pivotFields count="13">
    <pivotField showAll="0"/>
    <pivotField showAll="0"/>
    <pivotField numFmtId="14" showAll="0"/>
    <pivotField showAll="0"/>
    <pivotField axis="axisRow" showAll="0" sortType="descending">
      <items count="20">
        <item x="12"/>
        <item x="18"/>
        <item x="5"/>
        <item x="11"/>
        <item x="1"/>
        <item x="0"/>
        <item x="8"/>
        <item x="3"/>
        <item x="9"/>
        <item x="4"/>
        <item x="13"/>
        <item x="7"/>
        <item x="6"/>
        <item x="16"/>
        <item x="15"/>
        <item x="10"/>
        <item x="14"/>
        <item x="2"/>
        <item x="1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4"/>
  </rowFields>
  <rowItems count="20">
    <i>
      <x v="7"/>
    </i>
    <i>
      <x v="9"/>
    </i>
    <i>
      <x v="4"/>
    </i>
    <i>
      <x v="5"/>
    </i>
    <i>
      <x v="17"/>
    </i>
    <i>
      <x v="12"/>
    </i>
    <i>
      <x v="14"/>
    </i>
    <i>
      <x v="18"/>
    </i>
    <i>
      <x v="1"/>
    </i>
    <i>
      <x v="2"/>
    </i>
    <i>
      <x v="3"/>
    </i>
    <i>
      <x v="15"/>
    </i>
    <i>
      <x v="13"/>
    </i>
    <i>
      <x v="6"/>
    </i>
    <i>
      <x v="8"/>
    </i>
    <i>
      <x v="11"/>
    </i>
    <i>
      <x/>
    </i>
    <i>
      <x v="10"/>
    </i>
    <i>
      <x v="16"/>
    </i>
    <i t="grand">
      <x/>
    </i>
  </rowItems>
  <colItems count="1">
    <i/>
  </colItems>
  <dataFields count="1">
    <dataField name="Average of Engagement Rate" fld="12" subtotal="average" baseField="4" baseItem="0"/>
  </dataFields>
  <formats count="7">
    <format dxfId="114">
      <pivotArea collapsedLevelsAreSubtotals="1" fieldPosition="0">
        <references count="2">
          <reference field="4294967294" count="1" selected="0">
            <x v="0"/>
          </reference>
          <reference field="4" count="0"/>
        </references>
      </pivotArea>
    </format>
    <format dxfId="113">
      <pivotArea type="all" dataOnly="0" outline="0" fieldPosition="0"/>
    </format>
    <format dxfId="112">
      <pivotArea outline="0" collapsedLevelsAreSubtotals="1" fieldPosition="0"/>
    </format>
    <format dxfId="111">
      <pivotArea field="4" type="button" dataOnly="0" labelOnly="1" outline="0" axis="axisRow" fieldPosition="0"/>
    </format>
    <format dxfId="110">
      <pivotArea dataOnly="0" labelOnly="1" fieldPosition="0">
        <references count="1">
          <reference field="4" count="0"/>
        </references>
      </pivotArea>
    </format>
    <format dxfId="109">
      <pivotArea dataOnly="0" labelOnly="1" grandRow="1" outline="0" fieldPosition="0"/>
    </format>
    <format dxfId="10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50F6C6-7CCE-4093-B1EB-220E1566C155}" name="PivotTable5" cacheId="2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8" indent="0" outline="1" outlineData="1" multipleFieldFilters="0" chartFormat="1" rowHeaderCaption="Objectives" colHeaderCaption="Campaigns">
  <location ref="R9:X35" firstHeaderRow="1" firstDataRow="2" firstDataCol="1"/>
  <pivotFields count="14">
    <pivotField showAll="0"/>
    <pivotField axis="axisRow" showAll="0">
      <items count="6">
        <item x="3"/>
        <item x="0"/>
        <item x="2"/>
        <item x="1"/>
        <item h="1"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7">
        <item x="4"/>
        <item x="0"/>
        <item x="1"/>
        <item x="2"/>
        <item x="3"/>
        <item x="5"/>
        <item t="default"/>
      </items>
    </pivotField>
    <pivotField dataField="1" showAll="0"/>
    <pivotField axis="axisRow" showAll="0" sortType="descending">
      <items count="7">
        <item x="4"/>
        <item x="0"/>
        <item x="1"/>
        <item x="2"/>
        <item x="3"/>
        <item h="1"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2">
    <field x="1"/>
    <field x="13"/>
  </rowFields>
  <rowItems count="25">
    <i>
      <x/>
    </i>
    <i r="1">
      <x v="1"/>
    </i>
    <i r="1">
      <x/>
    </i>
    <i r="1">
      <x v="4"/>
    </i>
    <i r="1">
      <x v="3"/>
    </i>
    <i r="1">
      <x v="2"/>
    </i>
    <i>
      <x v="1"/>
    </i>
    <i r="1">
      <x v="1"/>
    </i>
    <i r="1">
      <x v="2"/>
    </i>
    <i r="1">
      <x v="3"/>
    </i>
    <i r="1">
      <x/>
    </i>
    <i r="1">
      <x v="4"/>
    </i>
    <i>
      <x v="2"/>
    </i>
    <i r="1">
      <x/>
    </i>
    <i r="1">
      <x v="1"/>
    </i>
    <i r="1">
      <x v="2"/>
    </i>
    <i r="1">
      <x v="3"/>
    </i>
    <i r="1">
      <x v="4"/>
    </i>
    <i>
      <x v="3"/>
    </i>
    <i r="1">
      <x v="1"/>
    </i>
    <i r="1">
      <x v="3"/>
    </i>
    <i r="1">
      <x v="4"/>
    </i>
    <i r="1">
      <x/>
    </i>
    <i r="1">
      <x v="2"/>
    </i>
    <i t="grand">
      <x/>
    </i>
  </rowItems>
  <colFields count="1">
    <field x="1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Average of Engagement Rate" fld="12" subtotal="average" baseField="1" baseItem="0"/>
  </dataFields>
  <formats count="23">
    <format dxfId="107">
      <pivotArea type="all" dataOnly="0" outline="0" fieldPosition="0"/>
    </format>
    <format dxfId="106">
      <pivotArea outline="0" collapsedLevelsAreSubtotals="1" fieldPosition="0"/>
    </format>
    <format dxfId="105">
      <pivotArea type="origin" dataOnly="0" labelOnly="1" outline="0" fieldPosition="0"/>
    </format>
    <format dxfId="104">
      <pivotArea field="11" type="button" dataOnly="0" labelOnly="1" outline="0" axis="axisCol" fieldPosition="0"/>
    </format>
    <format dxfId="103">
      <pivotArea type="topRight" dataOnly="0" labelOnly="1" outline="0" fieldPosition="0"/>
    </format>
    <format dxfId="102">
      <pivotArea field="1" type="button" dataOnly="0" labelOnly="1" outline="0" axis="axisRow" fieldPosition="0"/>
    </format>
    <format dxfId="101">
      <pivotArea dataOnly="0" labelOnly="1" fieldPosition="0">
        <references count="1">
          <reference field="1" count="0"/>
        </references>
      </pivotArea>
    </format>
    <format dxfId="100">
      <pivotArea dataOnly="0" labelOnly="1" grandRow="1" outline="0" fieldPosition="0"/>
    </format>
    <format dxfId="99">
      <pivotArea dataOnly="0" labelOnly="1" fieldPosition="0">
        <references count="2">
          <reference field="1" count="1" selected="0">
            <x v="0"/>
          </reference>
          <reference field="13" count="5">
            <x v="0"/>
            <x v="1"/>
            <x v="2"/>
            <x v="3"/>
            <x v="4"/>
          </reference>
        </references>
      </pivotArea>
    </format>
    <format dxfId="98">
      <pivotArea dataOnly="0" labelOnly="1" fieldPosition="0">
        <references count="2">
          <reference field="1" count="1" selected="0">
            <x v="1"/>
          </reference>
          <reference field="13" count="5">
            <x v="0"/>
            <x v="1"/>
            <x v="2"/>
            <x v="3"/>
            <x v="4"/>
          </reference>
        </references>
      </pivotArea>
    </format>
    <format dxfId="97">
      <pivotArea dataOnly="0" labelOnly="1" fieldPosition="0">
        <references count="2">
          <reference field="1" count="1" selected="0">
            <x v="2"/>
          </reference>
          <reference field="13" count="5">
            <x v="0"/>
            <x v="1"/>
            <x v="2"/>
            <x v="3"/>
            <x v="4"/>
          </reference>
        </references>
      </pivotArea>
    </format>
    <format dxfId="96">
      <pivotArea dataOnly="0" labelOnly="1" fieldPosition="0">
        <references count="2">
          <reference field="1" count="1" selected="0">
            <x v="3"/>
          </reference>
          <reference field="13" count="5">
            <x v="0"/>
            <x v="1"/>
            <x v="2"/>
            <x v="3"/>
            <x v="4"/>
          </reference>
        </references>
      </pivotArea>
    </format>
    <format dxfId="95">
      <pivotArea dataOnly="0" labelOnly="1" fieldPosition="0">
        <references count="2">
          <reference field="1" count="1" selected="0">
            <x v="4"/>
          </reference>
          <reference field="13" count="1">
            <x v="5"/>
          </reference>
        </references>
      </pivotArea>
    </format>
    <format dxfId="94">
      <pivotArea dataOnly="0" labelOnly="1" fieldPosition="0">
        <references count="1">
          <reference field="11" count="0"/>
        </references>
      </pivotArea>
    </format>
    <format dxfId="93">
      <pivotArea dataOnly="0" labelOnly="1" grandCol="1" outline="0" fieldPosition="0"/>
    </format>
    <format dxfId="92">
      <pivotArea dataOnly="0" labelOnly="1" fieldPosition="0">
        <references count="1">
          <reference field="1" count="1">
            <x v="0"/>
          </reference>
        </references>
      </pivotArea>
    </format>
    <format dxfId="91">
      <pivotArea dataOnly="0" labelOnly="1" fieldPosition="0">
        <references count="1">
          <reference field="1" count="0"/>
        </references>
      </pivotArea>
    </format>
    <format dxfId="90">
      <pivotArea collapsedLevelsAreSubtotals="1" fieldPosition="0">
        <references count="3">
          <reference field="1" count="1" selected="0">
            <x v="0"/>
          </reference>
          <reference field="11" count="1" selected="0">
            <x v="1"/>
          </reference>
          <reference field="13" count="1">
            <x v="1"/>
          </reference>
        </references>
      </pivotArea>
    </format>
    <format dxfId="89">
      <pivotArea collapsedLevelsAreSubtotals="1" fieldPosition="0">
        <references count="3">
          <reference field="1" count="1" selected="0">
            <x v="1"/>
          </reference>
          <reference field="11" count="1" selected="0">
            <x v="1"/>
          </reference>
          <reference field="13" count="1">
            <x v="1"/>
          </reference>
        </references>
      </pivotArea>
    </format>
    <format dxfId="88">
      <pivotArea collapsedLevelsAreSubtotals="1" fieldPosition="0">
        <references count="3">
          <reference field="1" count="1" selected="0">
            <x v="2"/>
          </reference>
          <reference field="11" count="1" selected="0">
            <x v="2"/>
          </reference>
          <reference field="13" count="1">
            <x v="2"/>
          </reference>
        </references>
      </pivotArea>
    </format>
    <format dxfId="87">
      <pivotArea collapsedLevelsAreSubtotals="1" fieldPosition="0">
        <references count="3">
          <reference field="1" count="1" selected="0">
            <x v="2"/>
          </reference>
          <reference field="11" count="1" selected="0">
            <x v="0"/>
          </reference>
          <reference field="13" count="1">
            <x v="0"/>
          </reference>
        </references>
      </pivotArea>
    </format>
    <format dxfId="86">
      <pivotArea collapsedLevelsAreSubtotals="1" fieldPosition="0">
        <references count="3">
          <reference field="1" count="1" selected="0">
            <x v="3"/>
          </reference>
          <reference field="11" count="1" selected="0">
            <x v="1"/>
          </reference>
          <reference field="13" count="1">
            <x v="1"/>
          </reference>
        </references>
      </pivotArea>
    </format>
    <format dxfId="85">
      <pivotArea collapsedLevelsAreSubtotals="1" fieldPosition="0">
        <references count="3">
          <reference field="1" count="1" selected="0">
            <x v="3"/>
          </reference>
          <reference field="11" count="1" selected="0">
            <x v="0"/>
          </reference>
          <reference field="13" count="1">
            <x v="0"/>
          </reference>
        </references>
      </pivotArea>
    </format>
  </format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72B576-131F-429E-9F53-AEABFDE1EEE8}" name="PivotTable10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17:M22" firstHeaderRow="1" firstDataRow="1" firstDataCol="1"/>
  <pivotFields count="9">
    <pivotField numFmtId="14" showAll="0"/>
    <pivotField axis="axisRow" showAll="0" sortType="descending">
      <items count="5">
        <item x="0"/>
        <item x="3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numFmtId="2" showAll="0"/>
    <pivotField showAll="0"/>
    <pivotField showAll="0"/>
    <pivotField numFmtId="10" showAll="0"/>
  </pivotFields>
  <rowFields count="1">
    <field x="1"/>
  </rowFields>
  <rowItems count="5">
    <i>
      <x v="3"/>
    </i>
    <i>
      <x v="2"/>
    </i>
    <i>
      <x/>
    </i>
    <i>
      <x v="1"/>
    </i>
    <i t="grand">
      <x/>
    </i>
  </rowItems>
  <colItems count="1">
    <i/>
  </colItems>
  <dataFields count="1">
    <dataField name="Average of Engagement_Rate" fld="5" subtotal="average" baseField="1" baseItem="2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0AE510-FA35-46AF-9F78-9DC4343A2FD6}" name="PivotTable7" cacheId="3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8" indent="0" showHeaders="0" outline="1" outlineData="1" multipleFieldFilters="0">
  <location ref="L7:M12" firstHeaderRow="1" firstDataRow="1" firstDataCol="1"/>
  <pivotFields count="9">
    <pivotField numFmtId="14" showAll="0"/>
    <pivotField axis="axisRow" showAll="0" sortType="descending">
      <items count="5">
        <item x="0"/>
        <item x="3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numFmtId="2" showAll="0"/>
    <pivotField showAll="0"/>
    <pivotField showAll="0"/>
    <pivotField dataField="1" numFmtId="10" showAll="0"/>
  </pivotFields>
  <rowFields count="1">
    <field x="1"/>
  </rowFields>
  <rowItems count="5">
    <i>
      <x v="3"/>
    </i>
    <i>
      <x v="2"/>
    </i>
    <i>
      <x/>
    </i>
    <i>
      <x v="1"/>
    </i>
    <i t="grand">
      <x/>
    </i>
  </rowItems>
  <colItems count="1">
    <i/>
  </colItems>
  <dataFields count="1">
    <dataField name="Average of Growth rate" fld="8" subtotal="average" baseField="1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27869E-1E98-406F-8E57-4B252DB9472E}" name="PivotTable1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V8:W28" firstHeaderRow="1" firstDataRow="1" firstDataCol="1"/>
  <pivotFields count="13">
    <pivotField showAll="0"/>
    <pivotField showAll="0"/>
    <pivotField numFmtId="14" showAll="0"/>
    <pivotField showAll="0"/>
    <pivotField axis="axisRow" showAll="0" sortType="descending">
      <items count="20">
        <item x="12"/>
        <item x="18"/>
        <item x="5"/>
        <item x="11"/>
        <item x="1"/>
        <item x="0"/>
        <item x="8"/>
        <item x="3"/>
        <item x="9"/>
        <item x="4"/>
        <item x="13"/>
        <item x="7"/>
        <item x="6"/>
        <item x="16"/>
        <item x="15"/>
        <item x="10"/>
        <item x="14"/>
        <item x="2"/>
        <item x="1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dataField="1" numFmtId="2" showAll="0"/>
  </pivotFields>
  <rowFields count="1">
    <field x="4"/>
  </rowFields>
  <rowItems count="20">
    <i>
      <x v="7"/>
    </i>
    <i>
      <x v="9"/>
    </i>
    <i>
      <x v="4"/>
    </i>
    <i>
      <x v="5"/>
    </i>
    <i>
      <x v="17"/>
    </i>
    <i>
      <x v="12"/>
    </i>
    <i>
      <x v="14"/>
    </i>
    <i>
      <x v="18"/>
    </i>
    <i>
      <x v="1"/>
    </i>
    <i>
      <x v="2"/>
    </i>
    <i>
      <x v="3"/>
    </i>
    <i>
      <x v="15"/>
    </i>
    <i>
      <x v="13"/>
    </i>
    <i>
      <x v="6"/>
    </i>
    <i>
      <x v="8"/>
    </i>
    <i>
      <x v="11"/>
    </i>
    <i>
      <x/>
    </i>
    <i>
      <x v="10"/>
    </i>
    <i>
      <x v="16"/>
    </i>
    <i t="grand">
      <x/>
    </i>
  </rowItems>
  <colItems count="1">
    <i/>
  </colItems>
  <dataFields count="1">
    <dataField name="Average of Engagement Rate" fld="12" subtotal="average" baseField="4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AEC377-86A2-4A27-BBF4-D9E371706065}" name="PivotTable1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Q8:R28" firstHeaderRow="1" firstDataRow="1" firstDataCol="1"/>
  <pivotFields count="13">
    <pivotField showAll="0"/>
    <pivotField showAll="0"/>
    <pivotField numFmtId="14" showAll="0"/>
    <pivotField showAll="0"/>
    <pivotField axis="axisRow" dataField="1" showAll="0" sortType="descending">
      <items count="20">
        <item x="12"/>
        <item x="18"/>
        <item x="5"/>
        <item x="11"/>
        <item x="1"/>
        <item x="0"/>
        <item x="8"/>
        <item x="3"/>
        <item x="9"/>
        <item x="4"/>
        <item x="13"/>
        <item x="7"/>
        <item x="6"/>
        <item x="16"/>
        <item x="15"/>
        <item x="10"/>
        <item x="14"/>
        <item x="2"/>
        <item x="1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numFmtId="2" showAll="0"/>
  </pivotFields>
  <rowFields count="1">
    <field x="4"/>
  </rowFields>
  <rowItems count="20">
    <i>
      <x v="2"/>
    </i>
    <i>
      <x v="17"/>
    </i>
    <i>
      <x v="6"/>
    </i>
    <i>
      <x v="8"/>
    </i>
    <i>
      <x v="5"/>
    </i>
    <i>
      <x v="4"/>
    </i>
    <i>
      <x v="12"/>
    </i>
    <i>
      <x v="13"/>
    </i>
    <i>
      <x v="15"/>
    </i>
    <i>
      <x v="3"/>
    </i>
    <i>
      <x v="10"/>
    </i>
    <i>
      <x v="14"/>
    </i>
    <i>
      <x/>
    </i>
    <i>
      <x v="7"/>
    </i>
    <i>
      <x v="9"/>
    </i>
    <i>
      <x v="11"/>
    </i>
    <i>
      <x v="16"/>
    </i>
    <i>
      <x v="18"/>
    </i>
    <i>
      <x v="1"/>
    </i>
    <i t="grand">
      <x/>
    </i>
  </rowItems>
  <colItems count="1">
    <i/>
  </colItems>
  <dataFields count="1">
    <dataField name="Count of Hashtags" fld="4" subtotal="count" baseField="4" baseItem="1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6AE1B6-D4B7-41D9-8989-EDF87EB50084}" name="PivotTable2" cacheId="4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8" indent="0" outline="1" outlineData="1" multipleFieldFilters="0">
  <location ref="AK8:AM29" firstHeaderRow="0" firstDataRow="1" firstDataCol="1"/>
  <pivotFields count="13">
    <pivotField showAll="0"/>
    <pivotField axis="axisRow" showAll="0" sortType="descending">
      <items count="5">
        <item x="3"/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numFmtId="14" showAll="0"/>
    <pivotField axis="axisRow" showAll="0">
      <items count="5"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numFmtId="2" showAll="0"/>
  </pivotFields>
  <rowFields count="2">
    <field x="1"/>
    <field x="3"/>
  </rowFields>
  <rowItems count="21">
    <i>
      <x v="2"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Reach" fld="9" subtotal="average" baseField="1" baseItem="0" numFmtId="2"/>
    <dataField name="Average of Engagement Rate" fld="12" subtotal="average" baseField="1" baseItem="0" numFmtId="2"/>
  </dataFields>
  <formats count="2">
    <format dxfId="57">
      <pivotArea collapsedLevelsAreSubtotals="1" fieldPosition="0">
        <references count="2">
          <reference field="4294967294" count="1" selected="0">
            <x v="0"/>
          </reference>
          <reference field="1" count="1">
            <x v="0"/>
          </reference>
        </references>
      </pivotArea>
    </format>
    <format dxfId="5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87E2C3-1DD3-4E0C-9A45-6353BD05D010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A8:AG14" firstHeaderRow="1" firstDataRow="2" firstDataCol="1"/>
  <pivotFields count="13">
    <pivotField showAll="0"/>
    <pivotField showAll="0"/>
    <pivotField numFmtId="14" showAll="0"/>
    <pivotField axis="axisRow" showAll="0" sortType="descending">
      <items count="5">
        <item x="3"/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axis="axisCol" showAll="0" sortType="descending">
      <items count="6">
        <item x="4"/>
        <item x="0"/>
        <item x="1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2" showAll="0"/>
  </pivotFields>
  <rowFields count="1">
    <field x="3"/>
  </rowFields>
  <rowItems count="5">
    <i>
      <x v="3"/>
    </i>
    <i>
      <x/>
    </i>
    <i>
      <x v="1"/>
    </i>
    <i>
      <x v="2"/>
    </i>
    <i t="grand">
      <x/>
    </i>
  </rowItems>
  <colFields count="1">
    <field x="11"/>
  </colFields>
  <colItems count="6">
    <i>
      <x v="1"/>
    </i>
    <i>
      <x/>
    </i>
    <i>
      <x v="3"/>
    </i>
    <i>
      <x v="2"/>
    </i>
    <i>
      <x v="4"/>
    </i>
    <i t="grand">
      <x/>
    </i>
  </colItems>
  <dataFields count="1">
    <dataField name="Average of Engagement Rate" fld="12" subtotal="average" baseField="3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025EEF-8A39-4928-B138-FE1586C103FE}" name="PivotTable3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P9:V15" firstHeaderRow="0" firstDataRow="1" firstDataCol="1"/>
  <pivotFields count="13">
    <pivotField showAll="0"/>
    <pivotField showAll="0"/>
    <pivotField numFmtId="14" showAll="0"/>
    <pivotField showAll="0"/>
    <pivotField showAll="0"/>
    <pivotField dataField="1" showAll="0"/>
    <pivotField showAll="0"/>
    <pivotField showAll="0"/>
    <pivotField dataField="1" showAll="0"/>
    <pivotField showAll="0"/>
    <pivotField dataField="1" showAll="0"/>
    <pivotField axis="axisRow" showAll="0">
      <items count="6">
        <item x="4"/>
        <item x="0"/>
        <item x="1"/>
        <item x="2"/>
        <item x="3"/>
        <item t="default"/>
      </items>
    </pivotField>
    <pivotField numFmtId="2" showAll="0"/>
  </pivotFields>
  <rowFields count="1">
    <field x="1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um of Impressions" fld="10" baseField="0" baseItem="0"/>
    <dataField name="Sum of Likes" fld="5" baseField="11" baseItem="0"/>
    <dataField name="Sum of Clicks" fld="8" baseField="11" baseItem="0"/>
    <dataField name="Average of Impressions" fld="10" subtotal="average" baseField="11" baseItem="0"/>
    <dataField name="Average of Clicks" fld="8" subtotal="average" baseField="11" baseItem="0"/>
    <dataField name="Average of Likes" fld="5" subtotal="average" baseField="1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688AB0-754E-4C66-8477-C69BF215539E}" name="PivotTable8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5:M11" firstHeaderRow="1" firstDataRow="1" firstDataCol="1"/>
  <pivotFields count="9">
    <pivotField numFmtId="14" showAll="0"/>
    <pivotField showAll="0"/>
    <pivotField showAll="0"/>
    <pivotField showAll="0"/>
    <pivotField showAll="0"/>
    <pivotField numFmtId="2" showAll="0"/>
    <pivotField showAll="0"/>
    <pivotField axis="axisRow" showAll="0" sortType="descending">
      <items count="6">
        <item x="3"/>
        <item x="0"/>
        <item x="2"/>
        <item x="4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7"/>
  </rowFields>
  <rowItems count="6">
    <i>
      <x/>
    </i>
    <i>
      <x v="3"/>
    </i>
    <i>
      <x v="1"/>
    </i>
    <i>
      <x v="2"/>
    </i>
    <i>
      <x v="4"/>
    </i>
    <i t="grand">
      <x/>
    </i>
  </rowItems>
  <colItems count="1">
    <i/>
  </colItems>
  <dataFields count="1">
    <dataField name="Average of Follower growth" fld="8" subtotal="average" baseField="7" baseItem="0" numFmtId="2"/>
  </dataFields>
  <formats count="2">
    <format dxfId="12">
      <pivotArea collapsedLevelsAreSubtotals="1" fieldPosition="0">
        <references count="1">
          <reference field="7" count="1">
            <x v="0"/>
          </reference>
        </references>
      </pivotArea>
    </format>
    <format dxfId="1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1EABFC-0EC9-4C55-8D9C-A0ECCC8F3D32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M7:R59" firstHeaderRow="1" firstDataRow="2" firstDataCol="1"/>
  <pivotFields count="10">
    <pivotField numFmtId="14" showAll="0"/>
    <pivotField axis="axisRow" numFmtId="1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axis="axisCol" showAll="0">
      <items count="5">
        <item x="0"/>
        <item x="3"/>
        <item x="1"/>
        <item x="2"/>
        <item t="default"/>
      </items>
    </pivotField>
    <pivotField showAll="0"/>
    <pivotField showAll="0"/>
    <pivotField showAll="0"/>
    <pivotField numFmtId="2" showAll="0"/>
    <pivotField showAll="0"/>
    <pivotField showAll="0"/>
    <pivotField dataField="1" showAll="0"/>
  </pivotFields>
  <rowFields count="1">
    <field x="1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Sum of Growth rate" fld="9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4820A5A-F5BE-4D55-9CCD-0BC6A2478A4E}" autoFormatId="16" applyNumberFormats="0" applyBorderFormats="0" applyFontFormats="0" applyPatternFormats="0" applyAlignmentFormats="0" applyWidthHeightFormats="0">
  <queryTableRefresh nextId="13">
    <queryTableFields count="12">
      <queryTableField id="1" name="PostID" tableColumnId="1"/>
      <queryTableField id="2" name="Platform" tableColumnId="2"/>
      <queryTableField id="3" name="Date" tableColumnId="3"/>
      <queryTableField id="4" name="ContentType" tableColumnId="4"/>
      <queryTableField id="5" name="Hashtags" tableColumnId="5"/>
      <queryTableField id="6" name="Likes" tableColumnId="6"/>
      <queryTableField id="7" name="Shares" tableColumnId="7"/>
      <queryTableField id="8" name="Comments" tableColumnId="8"/>
      <queryTableField id="9" name="Clicks" tableColumnId="9"/>
      <queryTableField id="10" name="Reach" tableColumnId="10"/>
      <queryTableField id="11" name="Impressions" tableColumnId="11"/>
      <queryTableField id="12" name="Campaign" tableColumnId="1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29BEF3C8-BD43-4424-BEBC-BCDFB1EA97BF}" autoFormatId="16" applyNumberFormats="0" applyBorderFormats="0" applyFontFormats="0" applyPatternFormats="0" applyAlignmentFormats="0" applyWidthHeightFormats="0">
  <queryTableRefresh nextId="10" unboundColumnsRight="1">
    <queryTableFields count="8">
      <queryTableField id="1" name="Week_Start_Date" tableColumnId="1"/>
      <queryTableField id="2" name="Platform" tableColumnId="2"/>
      <queryTableField id="3" name="New_Followers" tableColumnId="3"/>
      <queryTableField id="4" name="Unfollows" tableColumnId="4"/>
      <queryTableField id="5" name="Total_Followers" tableColumnId="5"/>
      <queryTableField id="6" name="Engagement_Rate" tableColumnId="6"/>
      <queryTableField id="7" name="Ad_Spend" tableColumnId="7"/>
      <queryTableField id="8" dataBound="0" tableColumnId="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5" xr16:uid="{4E32F6A6-B96E-4296-A5E2-FCBC18BE0407}" autoFormatId="16" applyNumberFormats="0" applyBorderFormats="0" applyFontFormats="0" applyPatternFormats="0" applyAlignmentFormats="0" applyWidthHeightFormats="0">
  <queryTableRefresh nextId="10">
    <queryTableFields count="7">
      <queryTableField id="1" name="Campaign_Name" tableColumnId="1"/>
      <queryTableField id="2" name="Start_Date" tableColumnId="2"/>
      <queryTableField id="3" name="End_Date" tableColumnId="3"/>
      <queryTableField id="4" name="Objective" tableColumnId="4"/>
      <queryTableField id="5" name="Ad_Spend" tableColumnId="5"/>
      <queryTableField id="6" name="Impressions" tableColumnId="6"/>
      <queryTableField id="7" name="Engagement_Uplift" tableColumnId="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1385F799-61DF-4B90-A981-2C4B2A814089}" autoFormatId="16" applyNumberFormats="0" applyBorderFormats="0" applyFontFormats="0" applyPatternFormats="0" applyAlignmentFormats="0" applyWidthHeightFormats="0">
  <queryTableRefresh nextId="13">
    <queryTableFields count="12">
      <queryTableField id="1" name="PostID" tableColumnId="1"/>
      <queryTableField id="2" name="Platform" tableColumnId="2"/>
      <queryTableField id="3" name="Date" tableColumnId="3"/>
      <queryTableField id="4" name="ContentType" tableColumnId="4"/>
      <queryTableField id="5" name="Hashtags" tableColumnId="5"/>
      <queryTableField id="6" name="Likes" tableColumnId="6"/>
      <queryTableField id="7" name="Shares" tableColumnId="7"/>
      <queryTableField id="8" name="Comments" tableColumnId="8"/>
      <queryTableField id="9" name="Clicks" tableColumnId="9"/>
      <queryTableField id="10" name="Reach" tableColumnId="10"/>
      <queryTableField id="11" name="Impressions" tableColumnId="11"/>
      <queryTableField id="12" name="Campaign" tableColumnId="1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2E3EE063-E1E9-4763-A6C0-341B4D4AE242}" autoFormatId="16" applyNumberFormats="0" applyBorderFormats="0" applyFontFormats="0" applyPatternFormats="0" applyAlignmentFormats="0" applyWidthHeightFormats="0">
  <queryTableRefresh nextId="14">
    <queryTableFields count="13">
      <queryTableField id="1" name="PostID" tableColumnId="1"/>
      <queryTableField id="2" name="Platform" tableColumnId="2"/>
      <queryTableField id="3" name="Date" tableColumnId="3"/>
      <queryTableField id="4" name="ContentType" tableColumnId="4"/>
      <queryTableField id="5" name="Hashtags" tableColumnId="5"/>
      <queryTableField id="6" name="Likes" tableColumnId="6"/>
      <queryTableField id="7" name="Shares" tableColumnId="7"/>
      <queryTableField id="8" name="Comments" tableColumnId="8"/>
      <queryTableField id="9" name="Clicks" tableColumnId="9"/>
      <queryTableField id="10" name="Reach" tableColumnId="10"/>
      <queryTableField id="11" name="Impressions" tableColumnId="11"/>
      <queryTableField id="12" name="Campaign" tableColumnId="12"/>
      <queryTableField id="13" name="Engagement Rate" tableColumnId="1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D1433E22-D0AB-4E12-8FF7-D0CE81305EF7}" autoFormatId="16" applyNumberFormats="0" applyBorderFormats="0" applyFontFormats="0" applyPatternFormats="0" applyAlignmentFormats="0" applyWidthHeightFormats="0">
  <queryTableRefresh nextId="14">
    <queryTableFields count="13">
      <queryTableField id="1" name="PostID" tableColumnId="1"/>
      <queryTableField id="2" name="Platform" tableColumnId="2"/>
      <queryTableField id="3" name="Date" tableColumnId="3"/>
      <queryTableField id="4" name="ContentType" tableColumnId="4"/>
      <queryTableField id="5" name="Hashtags" tableColumnId="5"/>
      <queryTableField id="6" name="Likes" tableColumnId="6"/>
      <queryTableField id="7" name="Shares" tableColumnId="7"/>
      <queryTableField id="8" name="Comments" tableColumnId="8"/>
      <queryTableField id="9" name="Clicks" tableColumnId="9"/>
      <queryTableField id="10" name="Reach" tableColumnId="10"/>
      <queryTableField id="11" name="Impressions" tableColumnId="11"/>
      <queryTableField id="12" name="Campaign" tableColumnId="12"/>
      <queryTableField id="13" name="Engagement Rate" tableColumnId="1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6714FE77-E9BD-45FB-A8E0-071476C43C35}" autoFormatId="16" applyNumberFormats="0" applyBorderFormats="0" applyFontFormats="0" applyPatternFormats="0" applyAlignmentFormats="0" applyWidthHeightFormats="0">
  <queryTableRefresh nextId="15" unboundColumnsRight="1">
    <queryTableFields count="14">
      <queryTableField id="1" name="PostID" tableColumnId="1"/>
      <queryTableField id="2" name="Platform" tableColumnId="2"/>
      <queryTableField id="3" name="Date" tableColumnId="3"/>
      <queryTableField id="4" name="ContentType" tableColumnId="4"/>
      <queryTableField id="5" name="Hashtags" tableColumnId="5"/>
      <queryTableField id="6" name="Likes" tableColumnId="6"/>
      <queryTableField id="7" name="Shares" tableColumnId="7"/>
      <queryTableField id="8" name="Comments" tableColumnId="8"/>
      <queryTableField id="9" name="Clicks" tableColumnId="9"/>
      <queryTableField id="10" name="Reach" tableColumnId="10"/>
      <queryTableField id="11" name="Impressions" tableColumnId="11"/>
      <queryTableField id="12" name="Campaign" tableColumnId="12"/>
      <queryTableField id="13" name="Engagement Rate" tableColumnId="13"/>
      <queryTableField id="14" dataBound="0" tableColumnId="14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0" xr16:uid="{B8C00909-DE2B-4DFE-A479-EDB1F222F219}" autoFormatId="16" applyNumberFormats="0" applyBorderFormats="0" applyFontFormats="0" applyPatternFormats="0" applyAlignmentFormats="0" applyWidthHeightFormats="0">
  <queryTableRefresh nextId="11" unboundColumnsRight="2">
    <queryTableFields count="9">
      <queryTableField id="1" name="Week_Start_Date" tableColumnId="1"/>
      <queryTableField id="2" name="Platform" tableColumnId="2"/>
      <queryTableField id="3" name="New_Followers" tableColumnId="3"/>
      <queryTableField id="4" name="Unfollows" tableColumnId="4"/>
      <queryTableField id="5" name="Total_Followers" tableColumnId="5"/>
      <queryTableField id="6" name="Engagement_Rate" tableColumnId="6"/>
      <queryTableField id="7" name="Ad_Spend" tableColumnId="7"/>
      <queryTableField id="9" dataBound="0" tableColumnId="9"/>
      <queryTableField id="10" dataBound="0" tableColumnId="10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1" xr16:uid="{F35B93A1-AAF2-49CE-8119-8C3BC223BA7F}" autoFormatId="16" applyNumberFormats="0" applyBorderFormats="0" applyFontFormats="0" applyPatternFormats="0" applyAlignmentFormats="0" applyWidthHeightFormats="0">
  <queryTableRefresh nextId="14">
    <queryTableFields count="13">
      <queryTableField id="1" name="PostID" tableColumnId="1"/>
      <queryTableField id="2" name="Platform" tableColumnId="2"/>
      <queryTableField id="3" name="Date" tableColumnId="3"/>
      <queryTableField id="4" name="ContentType" tableColumnId="4"/>
      <queryTableField id="5" name="Hashtags" tableColumnId="5"/>
      <queryTableField id="6" name="Likes" tableColumnId="6"/>
      <queryTableField id="7" name="Shares" tableColumnId="7"/>
      <queryTableField id="8" name="Comments" tableColumnId="8"/>
      <queryTableField id="9" name="Clicks" tableColumnId="9"/>
      <queryTableField id="10" name="Reach" tableColumnId="10"/>
      <queryTableField id="11" name="Impressions" tableColumnId="11"/>
      <queryTableField id="12" name="Campaign" tableColumnId="12"/>
      <queryTableField id="13" name="Engagement Rate" tableColumnId="13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2" xr16:uid="{F68C7B34-9583-4E59-9D8E-0752338AA519}" autoFormatId="16" applyNumberFormats="0" applyBorderFormats="0" applyFontFormats="0" applyPatternFormats="0" applyAlignmentFormats="0" applyWidthHeightFormats="0">
  <queryTableRefresh nextId="14">
    <queryTableFields count="13">
      <queryTableField id="1" name="PostID" tableColumnId="1"/>
      <queryTableField id="2" name="Platform" tableColumnId="2"/>
      <queryTableField id="3" name="Date" tableColumnId="3"/>
      <queryTableField id="4" name="ContentType" tableColumnId="4"/>
      <queryTableField id="5" name="Hashtags" tableColumnId="5"/>
      <queryTableField id="6" name="Likes" tableColumnId="6"/>
      <queryTableField id="7" name="Shares" tableColumnId="7"/>
      <queryTableField id="8" name="Comments" tableColumnId="8"/>
      <queryTableField id="9" name="Clicks" tableColumnId="9"/>
      <queryTableField id="10" name="Reach" tableColumnId="10"/>
      <queryTableField id="11" name="Impressions" tableColumnId="11"/>
      <queryTableField id="12" name="Campaign" tableColumnId="12"/>
      <queryTableField id="13" name="Engagement Rate" tableColumnId="13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6" xr16:uid="{2610B42B-D88F-4A01-AB91-162AF0F5C5EF}" autoFormatId="16" applyNumberFormats="0" applyBorderFormats="0" applyFontFormats="0" applyPatternFormats="0" applyAlignmentFormats="0" applyWidthHeightFormats="0">
  <queryTableRefresh nextId="11" unboundColumnsRight="1">
    <queryTableFields count="8">
      <queryTableField id="1" name="Campaign_Name" tableColumnId="1"/>
      <queryTableField id="2" name="Start_Date" tableColumnId="2"/>
      <queryTableField id="3" name="End_Date" tableColumnId="3"/>
      <queryTableField id="4" name="Objective" tableColumnId="4"/>
      <queryTableField id="5" name="Ad_Spend" tableColumnId="5"/>
      <queryTableField id="6" name="Impressions" tableColumnId="6"/>
      <queryTableField id="7" name="Engagement_Uplift" tableColumnId="7"/>
      <queryTableField id="10" dataBound="0" tableColumnId="8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4" xr16:uid="{07EA2323-6B53-4C14-96C3-0C836E2348E1}" autoFormatId="16" applyNumberFormats="0" applyBorderFormats="0" applyFontFormats="0" applyPatternFormats="0" applyAlignmentFormats="0" applyWidthHeightFormats="0">
  <queryTableRefresh nextId="12" unboundColumnsRight="2">
    <queryTableFields count="9">
      <queryTableField id="1" name="Week_Start_Date" tableColumnId="1"/>
      <queryTableField id="2" name="Platform" tableColumnId="2"/>
      <queryTableField id="3" name="New_Followers" tableColumnId="3"/>
      <queryTableField id="4" name="Unfollows" tableColumnId="4"/>
      <queryTableField id="5" name="Total_Followers" tableColumnId="5"/>
      <queryTableField id="6" name="Engagement_Rate" tableColumnId="6"/>
      <queryTableField id="7" name="Ad_Spend" tableColumnId="7"/>
      <queryTableField id="8" dataBound="0" tableColumnId="8"/>
      <queryTableField id="10" dataBound="0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8AC8983-F3FB-44DB-A32B-6DB87097C0C7}" name="Table1_2" displayName="Table1_2" ref="A1:L301" tableType="queryTable" totalsRowShown="0" headerRowDxfId="239" dataDxfId="238">
  <autoFilter ref="A1:L301" xr:uid="{4D8648C7-5B16-4559-AF4C-DED4514856CA}"/>
  <tableColumns count="12">
    <tableColumn id="1" xr3:uid="{D8E4A28B-2A23-4978-8F20-6E0D57DD950C}" uniqueName="1" name="PostID" queryTableFieldId="1" dataDxfId="237"/>
    <tableColumn id="2" xr3:uid="{B0C87EFF-7E25-439B-A8F4-B3161F08718A}" uniqueName="2" name="Platform" queryTableFieldId="2" dataDxfId="236"/>
    <tableColumn id="3" xr3:uid="{D7F41A8C-6F51-4EB5-99E6-82EAF76F45C3}" uniqueName="3" name="Date" queryTableFieldId="3" dataDxfId="235"/>
    <tableColumn id="4" xr3:uid="{D76C544E-A500-4CA3-84AF-F6BE6856472A}" uniqueName="4" name="ContentType" queryTableFieldId="4" dataDxfId="234"/>
    <tableColumn id="5" xr3:uid="{235DD0F6-0C27-404A-A2F7-6CC93443D4CB}" uniqueName="5" name="Hashtags" queryTableFieldId="5" dataDxfId="233"/>
    <tableColumn id="6" xr3:uid="{EC235489-36D1-4303-BBA0-5309B1B1B2FD}" uniqueName="6" name="Likes" queryTableFieldId="6" dataDxfId="232"/>
    <tableColumn id="7" xr3:uid="{E68ABC06-1FA0-4143-9C7F-76486E809BA3}" uniqueName="7" name="Shares" queryTableFieldId="7" dataDxfId="231"/>
    <tableColumn id="8" xr3:uid="{2D549343-0AD3-423B-94A2-84FB12423125}" uniqueName="8" name="Comments" queryTableFieldId="8" dataDxfId="230"/>
    <tableColumn id="9" xr3:uid="{324B0447-632A-4D4A-B7F9-5FB6BC174C53}" uniqueName="9" name="Clicks" queryTableFieldId="9" dataDxfId="229"/>
    <tableColumn id="10" xr3:uid="{A2B09524-09D9-4B75-AE27-52F0603EA408}" uniqueName="10" name="Reach" queryTableFieldId="10" dataDxfId="228"/>
    <tableColumn id="11" xr3:uid="{A585242B-6AB0-41A9-BFB6-7C0AF3B653B4}" uniqueName="11" name="Impressions" queryTableFieldId="11" dataDxfId="227"/>
    <tableColumn id="12" xr3:uid="{A1AA7B32-7BE0-43D8-8E02-CF07565F6B39}" uniqueName="12" name="Campaign" queryTableFieldId="12" dataDxfId="226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A83C729-6C1C-4E37-BEC4-D84D54E4FB1A}" name="Table3_2" displayName="Table3_2" ref="A1:H201" tableType="queryTable" totalsRowShown="0" headerRowDxfId="225" dataDxfId="224">
  <autoFilter ref="A1:H201" xr:uid="{3FAB5DA0-6B54-4238-B501-D0E48211A411}"/>
  <tableColumns count="8">
    <tableColumn id="1" xr3:uid="{CA270FB3-9527-4BDD-96FE-904881ED5E4B}" uniqueName="1" name="Week_Start_Date" queryTableFieldId="1" dataDxfId="223"/>
    <tableColumn id="2" xr3:uid="{8F654631-6011-46BE-9E60-372D5D5DB87E}" uniqueName="2" name="Platform" queryTableFieldId="2" dataDxfId="222"/>
    <tableColumn id="3" xr3:uid="{1608114D-1AA0-4246-B32B-4CFD6863EBA1}" uniqueName="3" name="New_Followers" queryTableFieldId="3" dataDxfId="221"/>
    <tableColumn id="4" xr3:uid="{EAC907B8-B1BE-45C0-9568-EF27E9DDA38A}" uniqueName="4" name="Unfollows" queryTableFieldId="4" dataDxfId="220"/>
    <tableColumn id="5" xr3:uid="{21715EC3-032A-4D84-9078-24C7B89EF94B}" uniqueName="5" name="Total_Followers" queryTableFieldId="5" dataDxfId="219"/>
    <tableColumn id="6" xr3:uid="{19D6DB44-1F4C-4793-BDCD-9126BE947554}" uniqueName="6" name="Engagement_Rate" queryTableFieldId="6" dataDxfId="218"/>
    <tableColumn id="7" xr3:uid="{F93FE5DE-8DC9-48A3-8B89-FD04B2525F23}" uniqueName="7" name="Ad_Spend" queryTableFieldId="7" dataDxfId="217"/>
    <tableColumn id="8" xr3:uid="{EB1FA8D8-F27F-44FF-9528-C842E10658D6}" uniqueName="8" name="Campaign" queryTableFieldId="8" dataDxfId="216">
      <calculatedColumnFormula>'Task 3.1'!N25</calculatedColumnFormula>
    </tableColumn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0EAB08C-A60E-4301-812B-CE696EB42E6B}" name="Table5_2" displayName="Table5_2" ref="A1:G6" tableType="queryTable" totalsRowShown="0" headerRowDxfId="215" dataDxfId="213" headerRowBorderDxfId="214" tableBorderDxfId="212" totalsRowBorderDxfId="211">
  <autoFilter ref="A1:G6" xr:uid="{BDBF4D49-CAD5-4736-B946-4ABCFB198066}"/>
  <tableColumns count="7">
    <tableColumn id="1" xr3:uid="{5D42199D-9F72-48B3-8419-5EBA57075AEF}" uniqueName="1" name="Campaign_Name" queryTableFieldId="1" dataDxfId="210"/>
    <tableColumn id="2" xr3:uid="{82C16F51-BF56-434A-A266-C1E43B965928}" uniqueName="2" name="Start_Date" queryTableFieldId="2" dataDxfId="209"/>
    <tableColumn id="3" xr3:uid="{A3D411BB-82A9-48F6-8B3E-3C607148D266}" uniqueName="3" name="End_Date" queryTableFieldId="3" dataDxfId="208"/>
    <tableColumn id="4" xr3:uid="{2A2A281E-93F0-41F6-AFF2-8BD31A2205FC}" uniqueName="4" name="Objective" queryTableFieldId="4" dataDxfId="207"/>
    <tableColumn id="5" xr3:uid="{95C85160-888D-4C85-A928-77E094149E29}" uniqueName="5" name="Ad_Spend" queryTableFieldId="5" dataDxfId="206"/>
    <tableColumn id="6" xr3:uid="{4832986A-0D2E-41DA-AFA4-C7C7D8062100}" uniqueName="6" name="Impressions" queryTableFieldId="6" dataDxfId="205"/>
    <tableColumn id="7" xr3:uid="{77BA0A8A-DD69-4D2C-AA34-4BE76EC5E9FC}" uniqueName="7" name="Engagement_Uplift" queryTableFieldId="7" dataDxfId="204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B5E61C5-9FE2-4F9A-8C84-1A1643DCFA57}" name="Table1_3" displayName="Table1_3" ref="A1:L568" tableType="queryTable" totalsRowShown="0" headerRowDxfId="203" dataDxfId="201" headerRowBorderDxfId="202" tableBorderDxfId="200" totalsRowBorderDxfId="199">
  <autoFilter ref="A1:L568" xr:uid="{57E1F8E2-BD5A-4FC7-96A2-DC028B24B5D1}"/>
  <tableColumns count="12">
    <tableColumn id="1" xr3:uid="{F88040C1-287D-457B-99E4-F929B84C1F3E}" uniqueName="1" name="PostID" queryTableFieldId="1" dataDxfId="198"/>
    <tableColumn id="2" xr3:uid="{79C3D73E-5336-44E4-9411-95E19FB1E92F}" uniqueName="2" name="Platform" queryTableFieldId="2" dataDxfId="197"/>
    <tableColumn id="3" xr3:uid="{EDBB2965-688A-40BE-B568-46F2C4F8A918}" uniqueName="3" name="Date" queryTableFieldId="3" dataDxfId="196"/>
    <tableColumn id="4" xr3:uid="{38519C63-8B90-4ED7-BEE8-B77BD72C153C}" uniqueName="4" name="ContentType" queryTableFieldId="4" dataDxfId="195"/>
    <tableColumn id="5" xr3:uid="{575DCD64-B6A2-4EDB-B35F-3492CA117C37}" uniqueName="5" name="Hashtags" queryTableFieldId="5" dataDxfId="194"/>
    <tableColumn id="6" xr3:uid="{FDDD553D-ECCF-4C6F-AC70-48004A63749C}" uniqueName="6" name="Likes" queryTableFieldId="6" dataDxfId="193"/>
    <tableColumn id="7" xr3:uid="{74FA5510-9FA8-480E-8AB4-66371D27F5F1}" uniqueName="7" name="Shares" queryTableFieldId="7" dataDxfId="192"/>
    <tableColumn id="8" xr3:uid="{6F628353-B653-4C80-B220-EAEDEFBFC4B1}" uniqueName="8" name="Comments" queryTableFieldId="8" dataDxfId="191"/>
    <tableColumn id="9" xr3:uid="{43819AF4-11A9-4DE1-91ED-37861D1C68B0}" uniqueName="9" name="Clicks" queryTableFieldId="9" dataDxfId="190"/>
    <tableColumn id="10" xr3:uid="{E9A0F72E-6E61-4947-855C-F86F1A7EDA12}" uniqueName="10" name="Reach" queryTableFieldId="10" dataDxfId="189"/>
    <tableColumn id="11" xr3:uid="{4D412EC8-336B-4798-B5C2-F811D857AD94}" uniqueName="11" name="Impressions" queryTableFieldId="11" dataDxfId="188"/>
    <tableColumn id="12" xr3:uid="{2E7A8B0E-2FB5-451D-8CBE-CD5295FE33E5}" uniqueName="12" name="Campaign" queryTableFieldId="12" dataDxfId="187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DC031C-738C-497D-9169-A449C278D480}" name="Table1_30" displayName="Table1_30" ref="A1:M302" tableType="queryTable" totalsRowCount="1" headerRowDxfId="186" dataDxfId="185">
  <autoFilter ref="A1:M301" xr:uid="{4DDC031C-738C-497D-9169-A449C278D480}"/>
  <sortState xmlns:xlrd2="http://schemas.microsoft.com/office/spreadsheetml/2017/richdata2" ref="A2:M301">
    <sortCondition descending="1" ref="M2:M301"/>
  </sortState>
  <tableColumns count="13">
    <tableColumn id="1" xr3:uid="{A556761E-7D47-439F-B618-CD62C71E2464}" uniqueName="1" name="PostID" queryTableFieldId="1" dataDxfId="184" totalsRowDxfId="183"/>
    <tableColumn id="2" xr3:uid="{0FF49FA0-29C8-4777-912B-C723ED56E6E9}" uniqueName="2" name="Platform" queryTableFieldId="2" dataDxfId="182" totalsRowDxfId="181"/>
    <tableColumn id="3" xr3:uid="{413C14F5-ACAD-474D-86C0-390851A4B206}" uniqueName="3" name="Date" queryTableFieldId="3" dataDxfId="180" totalsRowDxfId="179"/>
    <tableColumn id="4" xr3:uid="{6AB3AB11-B1B6-4166-8A03-9369C0E72687}" uniqueName="4" name="ContentType" queryTableFieldId="4" dataDxfId="178" totalsRowDxfId="177"/>
    <tableColumn id="5" xr3:uid="{AECBA4AA-9065-45FA-B609-1933E711A6F8}" uniqueName="5" name="Hashtags" queryTableFieldId="5" dataDxfId="176" totalsRowDxfId="175"/>
    <tableColumn id="6" xr3:uid="{7E6CCAB3-3366-480C-841E-3865CE11E74B}" uniqueName="6" name="Likes" queryTableFieldId="6" dataDxfId="174" totalsRowDxfId="173"/>
    <tableColumn id="7" xr3:uid="{A7A1730A-3344-4465-BD33-7CE325E5D4E4}" uniqueName="7" name="Shares" queryTableFieldId="7" dataDxfId="172" totalsRowDxfId="171"/>
    <tableColumn id="8" xr3:uid="{FC25173E-4337-4236-9F8B-822B5819591F}" uniqueName="8" name="Comments" queryTableFieldId="8" dataDxfId="170" totalsRowDxfId="169"/>
    <tableColumn id="9" xr3:uid="{867770AC-CE13-4506-8086-0D5C9FC85FF3}" uniqueName="9" name="Clicks" queryTableFieldId="9" dataDxfId="168" totalsRowDxfId="167"/>
    <tableColumn id="10" xr3:uid="{2C1613B9-A2CD-4CE5-B40A-21EC389CE666}" uniqueName="10" name="Reach" queryTableFieldId="10" dataDxfId="166" totalsRowDxfId="165"/>
    <tableColumn id="11" xr3:uid="{9086E689-A4E0-41A8-BA5B-19012F4208A1}" uniqueName="11" name="Impressions" queryTableFieldId="11" dataDxfId="164" totalsRowDxfId="163"/>
    <tableColumn id="12" xr3:uid="{1814B2A1-8466-4623-A0FC-EBC2DFF3D80C}" uniqueName="12" name="Campaign" queryTableFieldId="12" dataDxfId="162" totalsRowDxfId="161"/>
    <tableColumn id="13" xr3:uid="{AF6E7172-86BB-4673-BA85-E1DB77308FF9}" uniqueName="13" name="Engagement Rate" queryTableFieldId="13" dataDxfId="160" totalsRowDxfId="159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1C0D94A-1A89-4509-815D-412115019AC4}" name="Table3__2" displayName="Table3__2" ref="A1:M568" tableType="queryTable" totalsRowShown="0" headerRowDxfId="129" dataDxfId="128">
  <autoFilter ref="A1:M568" xr:uid="{31C0D94A-1A89-4509-815D-412115019AC4}"/>
  <tableColumns count="13">
    <tableColumn id="1" xr3:uid="{32403E6E-002F-4139-A6D5-108C62CC9D39}" uniqueName="1" name="PostID" queryTableFieldId="1" dataDxfId="127"/>
    <tableColumn id="2" xr3:uid="{9D69F05D-1CAD-469F-AA89-BB056E61DEA8}" uniqueName="2" name="Platform" queryTableFieldId="2" dataDxfId="126"/>
    <tableColumn id="3" xr3:uid="{3D718887-53CD-447D-9EE7-84C67139CA06}" uniqueName="3" name="Date" queryTableFieldId="3" dataDxfId="125"/>
    <tableColumn id="4" xr3:uid="{639693BC-8D61-4D65-8574-E6F1E08D73AD}" uniqueName="4" name="ContentType" queryTableFieldId="4" dataDxfId="124"/>
    <tableColumn id="5" xr3:uid="{D9DF62F7-0A2E-4600-8C76-4A64FDAFC169}" uniqueName="5" name="Hashtags" queryTableFieldId="5" dataDxfId="123"/>
    <tableColumn id="6" xr3:uid="{D13C1DFE-CFE2-4F11-8E40-4FE93D6F703B}" uniqueName="6" name="Likes" queryTableFieldId="6" dataDxfId="122"/>
    <tableColumn id="7" xr3:uid="{6368ED24-B6A6-46BC-8A32-B537FEB68BFB}" uniqueName="7" name="Shares" queryTableFieldId="7" dataDxfId="121"/>
    <tableColumn id="8" xr3:uid="{548C39D3-C75B-498D-87FD-C8331867C6BC}" uniqueName="8" name="Comments" queryTableFieldId="8" dataDxfId="120"/>
    <tableColumn id="9" xr3:uid="{CD5C9D19-E9E1-40F9-B3CA-D9156583831E}" uniqueName="9" name="Clicks" queryTableFieldId="9" dataDxfId="119"/>
    <tableColumn id="10" xr3:uid="{AABF1C6D-3A32-4182-A895-DFCEDEAB5CE3}" uniqueName="10" name="Reach" queryTableFieldId="10" dataDxfId="118"/>
    <tableColumn id="11" xr3:uid="{3518AB32-0F24-4948-A9EB-8B71255F410E}" uniqueName="11" name="Impressions" queryTableFieldId="11" dataDxfId="117"/>
    <tableColumn id="12" xr3:uid="{0884F5DC-758E-4466-9FB6-CCF6DC1FB919}" uniqueName="12" name="Campaign" queryTableFieldId="12" dataDxfId="116"/>
    <tableColumn id="13" xr3:uid="{0BE7C9D8-BD8C-4A0E-8968-CDD9748A2D7F}" uniqueName="13" name="Engagement Rate" queryTableFieldId="13" dataDxfId="115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DE43B5E-BD14-46C6-9A21-7B7C3F14A308}" name="Table3__29" displayName="Table3__29" ref="A1:N568" tableType="queryTable" totalsRowShown="0" headerRowDxfId="84" dataDxfId="83">
  <autoFilter ref="A1:N568" xr:uid="{3DE43B5E-BD14-46C6-9A21-7B7C3F14A308}"/>
  <tableColumns count="14">
    <tableColumn id="1" xr3:uid="{A73AF40D-5141-4CBD-B9E1-73D974CC5109}" uniqueName="1" name="PostID" queryTableFieldId="1" dataDxfId="82"/>
    <tableColumn id="2" xr3:uid="{125FB051-BA69-4E9D-8CBA-DA8DD8295CC5}" uniqueName="2" name="Platform" queryTableFieldId="2" dataDxfId="81"/>
    <tableColumn id="3" xr3:uid="{1D7B52F2-66DC-4AB7-A6F2-64E12E7E92AA}" uniqueName="3" name="Date" queryTableFieldId="3" dataDxfId="80"/>
    <tableColumn id="4" xr3:uid="{E08A75B7-BC85-47B9-B88D-E37847BF2FAA}" uniqueName="4" name="ContentType" queryTableFieldId="4" dataDxfId="79"/>
    <tableColumn id="5" xr3:uid="{5C496760-2204-40AB-B8F3-D35F3C1519FC}" uniqueName="5" name="Hashtags" queryTableFieldId="5" dataDxfId="78"/>
    <tableColumn id="6" xr3:uid="{0CAD4F04-415F-459A-8FAF-217ED3A51C04}" uniqueName="6" name="Likes" queryTableFieldId="6" dataDxfId="77"/>
    <tableColumn id="7" xr3:uid="{02A99A67-893B-4B7D-BB3C-88CA4DBAAE45}" uniqueName="7" name="Shares" queryTableFieldId="7" dataDxfId="76"/>
    <tableColumn id="8" xr3:uid="{A1E076BE-47DF-4C61-9EB4-9AEFF8B15164}" uniqueName="8" name="Comments" queryTableFieldId="8" dataDxfId="75"/>
    <tableColumn id="9" xr3:uid="{EA3FA382-9C4F-4951-8533-ABC26CAF83A5}" uniqueName="9" name="Clicks" queryTableFieldId="9" dataDxfId="74"/>
    <tableColumn id="10" xr3:uid="{1E46FB79-02D2-4ACA-9DF1-D32CF3674EFB}" uniqueName="10" name="Reach" queryTableFieldId="10" dataDxfId="73"/>
    <tableColumn id="11" xr3:uid="{B5E2F700-7CD6-46E4-B912-B8ABCF8BC292}" uniqueName="11" name="Impressions" queryTableFieldId="11" dataDxfId="72"/>
    <tableColumn id="12" xr3:uid="{748DB7CB-E318-4696-82AE-2B3E8D5ACCC1}" uniqueName="12" name="Campaign" queryTableFieldId="12" dataDxfId="71"/>
    <tableColumn id="13" xr3:uid="{5C7CCE77-0A00-407B-9A5F-91B103C61F0C}" uniqueName="13" name="Engagement Rate" queryTableFieldId="13" dataDxfId="70"/>
    <tableColumn id="14" xr3:uid="{A30C047C-8EF1-476F-BDC9-58D52D8089A6}" uniqueName="14" name="Objective" queryTableFieldId="14" dataDxfId="69">
      <calculatedColumnFormula>INDEX(Table5_2[Objective], MATCH(L2,Table5_2[Campaign_Name], 0))</calculatedColumnFormula>
    </tableColumn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2601FFA-BB85-4664-B849-79E69B06CB65}" name="Table3_211" displayName="Table3_211" ref="A1:I201" tableType="queryTable" totalsRowShown="0" headerRowDxfId="68" dataDxfId="67">
  <autoFilter ref="A1:I201" xr:uid="{02601FFA-BB85-4664-B849-79E69B06CB65}"/>
  <tableColumns count="9">
    <tableColumn id="1" xr3:uid="{65792324-5375-4BD9-A36A-3EC7B653D96B}" uniqueName="1" name="Week_Start_Date" queryTableFieldId="1" dataDxfId="66"/>
    <tableColumn id="2" xr3:uid="{66873E1A-7C91-41A4-8989-13E02B837863}" uniqueName="2" name="Platform" queryTableFieldId="2" dataDxfId="65"/>
    <tableColumn id="3" xr3:uid="{2D0E4DCB-48EE-402C-B9DD-3BED68A7B41C}" uniqueName="3" name="New_Followers" queryTableFieldId="3" dataDxfId="64"/>
    <tableColumn id="4" xr3:uid="{CD48E46A-91F0-4EBD-A6A3-2C91EDEDF4CB}" uniqueName="4" name="Unfollows" queryTableFieldId="4" dataDxfId="63"/>
    <tableColumn id="5" xr3:uid="{F91E7B25-3195-4B25-9753-E31F6608CE88}" uniqueName="5" name="Total_Followers" queryTableFieldId="5" dataDxfId="62"/>
    <tableColumn id="6" xr3:uid="{AC58F11D-EA4F-4BD0-B1FF-21408C3A66A2}" uniqueName="6" name="Engagement_Rate" queryTableFieldId="6" dataDxfId="61"/>
    <tableColumn id="7" xr3:uid="{8AE75048-733B-40E7-A83B-B9B7EDEBC70C}" uniqueName="7" name="Ad_Spend" queryTableFieldId="7" dataDxfId="60"/>
    <tableColumn id="9" xr3:uid="{F0A72CBA-B6E1-4DC7-8D08-70F888EFABE9}" uniqueName="9" name="New followers - unfollows" queryTableFieldId="9" dataDxfId="59">
      <calculatedColumnFormula>(Table3_211[[#This Row],[New_Followers]]-Table3_211[[#This Row],[Unfollows]])</calculatedColumnFormula>
    </tableColumn>
    <tableColumn id="10" xr3:uid="{C6825810-C6F3-4D00-8E0F-28587C203A53}" uniqueName="10" name="Growth rate" queryTableFieldId="10" dataDxfId="58">
      <calculatedColumnFormula>Table3_211[[#This Row],[New followers - unfollows]]/(Table3_211[[#This Row],[Total_Followers]]-Table3_211[[#This Row],[New followers - unfollows]])</calculatedColumnFormula>
    </tableColumn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4215AB68-0088-484F-82C7-E116885355D4}" name="Table3__212" displayName="Table3__212" ref="A1:M568" tableType="queryTable" totalsRowShown="0" headerRowDxfId="55" dataDxfId="54">
  <autoFilter ref="A1:M568" xr:uid="{4215AB68-0088-484F-82C7-E116885355D4}"/>
  <tableColumns count="13">
    <tableColumn id="1" xr3:uid="{FF70397B-AE5E-4948-A5D8-398861155BBB}" uniqueName="1" name="PostID" queryTableFieldId="1" dataDxfId="53"/>
    <tableColumn id="2" xr3:uid="{CEFADFEB-B039-425A-AF0D-9540271A2255}" uniqueName="2" name="Platform" queryTableFieldId="2" dataDxfId="52"/>
    <tableColumn id="3" xr3:uid="{25185C21-D423-41F8-AF8B-A741A1512335}" uniqueName="3" name="Date" queryTableFieldId="3" dataDxfId="51"/>
    <tableColumn id="4" xr3:uid="{64848ACC-5571-47DF-9DC3-9D01A465522A}" uniqueName="4" name="ContentType" queryTableFieldId="4" dataDxfId="50"/>
    <tableColumn id="5" xr3:uid="{CDB5A886-48B0-432B-889B-69157327D77F}" uniqueName="5" name="Hashtags" queryTableFieldId="5" dataDxfId="49"/>
    <tableColumn id="6" xr3:uid="{7A749882-AE24-478C-8112-42906F60AD18}" uniqueName="6" name="Likes" queryTableFieldId="6" dataDxfId="48"/>
    <tableColumn id="7" xr3:uid="{A3DC2E5E-0F89-44DF-AE2C-9104FCAC456B}" uniqueName="7" name="Shares" queryTableFieldId="7" dataDxfId="47"/>
    <tableColumn id="8" xr3:uid="{0F39604F-0BB9-42A5-884E-9A2348521BB8}" uniqueName="8" name="Comments" queryTableFieldId="8" dataDxfId="46"/>
    <tableColumn id="9" xr3:uid="{B0022E99-4A06-4C40-9396-997AB8AF3B6C}" uniqueName="9" name="Clicks" queryTableFieldId="9" dataDxfId="45"/>
    <tableColumn id="10" xr3:uid="{97F6E8A6-CA8D-4CB2-8AA3-752641D96944}" uniqueName="10" name="Reach" queryTableFieldId="10" dataDxfId="44"/>
    <tableColumn id="11" xr3:uid="{1CFEBC99-8D93-4079-A24D-636A9FE73EAE}" uniqueName="11" name="Impressions" queryTableFieldId="11" dataDxfId="43"/>
    <tableColumn id="12" xr3:uid="{07C32AC6-CD08-41E8-B04D-28C2850E1A5F}" uniqueName="12" name="Campaign" queryTableFieldId="12" dataDxfId="42"/>
    <tableColumn id="13" xr3:uid="{9D890199-7DDC-4652-BB2E-4A18471D71CF}" uniqueName="13" name="Engagement Rate" queryTableFieldId="13" dataDxfId="41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1B1BC3C-40D2-4ED1-BB0B-BFC874391618}" name="Table3__21210" displayName="Table3__21210" ref="A1:M568" tableType="queryTable" totalsRowShown="0" headerRowDxfId="40" dataDxfId="39">
  <autoFilter ref="A1:M568" xr:uid="{A1B1BC3C-40D2-4ED1-BB0B-BFC874391618}"/>
  <tableColumns count="13">
    <tableColumn id="1" xr3:uid="{8552DE88-DE66-4E5E-BAA9-5EA4CD8F9F94}" uniqueName="1" name="PostID" queryTableFieldId="1" dataDxfId="38"/>
    <tableColumn id="2" xr3:uid="{48DC1A4C-2523-481B-B056-6864B20FB5FE}" uniqueName="2" name="Platform" queryTableFieldId="2" dataDxfId="37"/>
    <tableColumn id="3" xr3:uid="{FC205929-D735-47EA-8CF1-B4EF7BEB82C4}" uniqueName="3" name="Date" queryTableFieldId="3" dataDxfId="36"/>
    <tableColumn id="4" xr3:uid="{43B3C596-3F57-4DAC-93AC-E765D59796A4}" uniqueName="4" name="ContentType" queryTableFieldId="4" dataDxfId="35"/>
    <tableColumn id="5" xr3:uid="{5EC9BA62-85A9-425D-B382-C471A1FC626E}" uniqueName="5" name="Hashtags" queryTableFieldId="5" dataDxfId="34"/>
    <tableColumn id="6" xr3:uid="{6427BFC9-773E-4EDE-B8E2-5118FC116383}" uniqueName="6" name="Likes" queryTableFieldId="6" dataDxfId="33"/>
    <tableColumn id="7" xr3:uid="{F7941BC1-9D63-4F12-B779-108F8E280047}" uniqueName="7" name="Shares" queryTableFieldId="7" dataDxfId="32"/>
    <tableColumn id="8" xr3:uid="{A2439EA7-DE8D-4D2E-81CB-0DA307156B7F}" uniqueName="8" name="Comments" queryTableFieldId="8" dataDxfId="31"/>
    <tableColumn id="9" xr3:uid="{12F4DB0B-D8A0-4C6C-A48A-F71F0C3F3EEA}" uniqueName="9" name="Clicks" queryTableFieldId="9" dataDxfId="30"/>
    <tableColumn id="10" xr3:uid="{512BD439-0B35-4BCB-99FE-8AD9FCBF15E1}" uniqueName="10" name="Reach" queryTableFieldId="10" dataDxfId="29"/>
    <tableColumn id="11" xr3:uid="{C53B69A1-B5BA-4679-BB1F-7E211B69FF7B}" uniqueName="11" name="Impressions" queryTableFieldId="11" dataDxfId="28"/>
    <tableColumn id="12" xr3:uid="{FC2C5903-816A-4272-A201-5FEBA2B6ECC2}" uniqueName="12" name="Campaign" queryTableFieldId="12" dataDxfId="27"/>
    <tableColumn id="13" xr3:uid="{C2608826-92D7-40AC-BC45-D81D8EF2AA62}" uniqueName="13" name="Engagement Rate" queryTableFieldId="13" dataDxfId="26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2A62008-D29E-4E54-BF7B-0016DC468265}" name="Table5_214" displayName="Table5_214" ref="A1:H6" tableType="queryTable" totalsRowShown="0" headerRowDxfId="25" dataDxfId="23" headerRowBorderDxfId="24" tableBorderDxfId="22" totalsRowBorderDxfId="21">
  <autoFilter ref="A1:H6" xr:uid="{02A62008-D29E-4E54-BF7B-0016DC468265}"/>
  <sortState xmlns:xlrd2="http://schemas.microsoft.com/office/spreadsheetml/2017/richdata2" ref="A2:H6">
    <sortCondition descending="1" ref="H2:H6"/>
  </sortState>
  <tableColumns count="8">
    <tableColumn id="1" xr3:uid="{BBF59E36-F292-49CC-BB6A-EA2AB81ADE0F}" uniqueName="1" name="Campaign_Name" queryTableFieldId="1" dataDxfId="20"/>
    <tableColumn id="2" xr3:uid="{257A7081-3967-41F7-9A5E-AAD8223E802D}" uniqueName="2" name="Start_Date" queryTableFieldId="2" dataDxfId="19"/>
    <tableColumn id="3" xr3:uid="{BD5B566D-6AB5-44D7-A352-5484E0D3A901}" uniqueName="3" name="End_Date" queryTableFieldId="3" dataDxfId="18"/>
    <tableColumn id="4" xr3:uid="{4DA88F2B-AF53-43A4-9EC0-F8F3C86067C5}" uniqueName="4" name="Objective" queryTableFieldId="4" dataDxfId="17"/>
    <tableColumn id="5" xr3:uid="{E949F6BF-0240-40DD-8A5F-A1E90F867138}" uniqueName="5" name="Ad_Spend" queryTableFieldId="5" dataDxfId="16"/>
    <tableColumn id="6" xr3:uid="{C9567D0F-E9A5-482C-870E-90BD057E5F66}" uniqueName="6" name="Impressions" queryTableFieldId="6" dataDxfId="15"/>
    <tableColumn id="7" xr3:uid="{14DBA865-6E04-493F-B879-CA553F001866}" uniqueName="7" name="Engagement_Uplift" queryTableFieldId="7" dataDxfId="14"/>
    <tableColumn id="8" xr3:uid="{408ECFBE-6DAC-4145-9746-C4990FE53246}" uniqueName="8" name="ROI per 10k" queryTableFieldId="10" dataDxfId="13">
      <calculatedColumnFormula>(Table5_214[[#This Row],[Engagement_Uplift]]/Table5_214[[#This Row],[Ad_Spend]])*10000</calculatedColumnFormula>
    </tableColumn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F56F0480-6066-4FA2-9579-1D483BAB892B}" name="Table3_215" displayName="Table3_215" ref="A1:I201" tableType="queryTable" totalsRowShown="0" headerRowDxfId="10" dataDxfId="9">
  <autoFilter ref="A1:I201" xr:uid="{F56F0480-6066-4FA2-9579-1D483BAB892B}"/>
  <tableColumns count="9">
    <tableColumn id="1" xr3:uid="{707A849E-8922-4179-A116-EBD26B63C121}" uniqueName="1" name="Week_Start_Date" queryTableFieldId="1" dataDxfId="8"/>
    <tableColumn id="2" xr3:uid="{9E6C3D9A-1F72-4034-8E28-715E0EDEDDB1}" uniqueName="2" name="Platform" queryTableFieldId="2" dataDxfId="7"/>
    <tableColumn id="3" xr3:uid="{518832B5-9FC8-4538-B6DB-A6DD8A5740CC}" uniqueName="3" name="New_Followers" queryTableFieldId="3" dataDxfId="6"/>
    <tableColumn id="4" xr3:uid="{82E9432C-0BDD-4AF9-88EC-7B6A9AEDA7E1}" uniqueName="4" name="Unfollows" queryTableFieldId="4" dataDxfId="5"/>
    <tableColumn id="5" xr3:uid="{66C0027F-BB1B-4901-A460-31963A04A534}" uniqueName="5" name="Total_Followers" queryTableFieldId="5" dataDxfId="4"/>
    <tableColumn id="6" xr3:uid="{E61D2BAE-C137-44CF-92BF-A86E90E0DD7A}" uniqueName="6" name="Engagement_Rate" queryTableFieldId="6" dataDxfId="3"/>
    <tableColumn id="7" xr3:uid="{0B0E7DCD-7BB4-4BC0-B5EF-3F05688B03A2}" uniqueName="7" name="Ad_Spend" queryTableFieldId="7" dataDxfId="2"/>
    <tableColumn id="8" xr3:uid="{0A75E5D1-D80F-4EEB-B265-A7200C647F77}" uniqueName="8" name="Campaign" queryTableFieldId="8" dataDxfId="1">
      <calculatedColumnFormula>'Task 3.1'!N25</calculatedColumnFormula>
    </tableColumn>
    <tableColumn id="9" xr3:uid="{DF1D777F-C7CB-49E3-ADB8-7380C20536D8}" uniqueName="9" name="Follower growth" queryTableFieldId="10" dataDxfId="0">
      <calculatedColumnFormula>Table3_215[[#This Row],[New_Followers]]-Table3_215[[#This Row],[Unfollows]]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4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9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5" Type="http://schemas.openxmlformats.org/officeDocument/2006/relationships/table" Target="../tables/table9.xml"/><Relationship Id="rId4" Type="http://schemas.openxmlformats.org/officeDocument/2006/relationships/pivotTable" Target="../pivotTables/pivotTable10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ivotTable" Target="../pivotTables/pivotTable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ivotTable" Target="../pivotTables/pivotTable12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3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drive/folders/1ErqGqqP4qf2EoU69O5RykIUk3QLB1M-r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33407-7203-47EA-B483-C013EDFF05BB}">
  <dimension ref="A1:L301"/>
  <sheetViews>
    <sheetView topLeftCell="E1" workbookViewId="0">
      <selection activeCell="D302" sqref="D302"/>
    </sheetView>
  </sheetViews>
  <sheetFormatPr defaultRowHeight="14.4" x14ac:dyDescent="0.3"/>
  <cols>
    <col min="1" max="1" width="10.44140625" bestFit="1" customWidth="1"/>
    <col min="2" max="2" width="12.5546875" bestFit="1" customWidth="1"/>
    <col min="3" max="3" width="10.33203125" bestFit="1" customWidth="1"/>
    <col min="4" max="4" width="17.33203125" bestFit="1" customWidth="1"/>
    <col min="5" max="5" width="31.44140625" bestFit="1" customWidth="1"/>
    <col min="6" max="6" width="9.109375" bestFit="1" customWidth="1"/>
    <col min="7" max="7" width="10.77734375" bestFit="1" customWidth="1"/>
    <col min="8" max="8" width="14.88671875" bestFit="1" customWidth="1"/>
    <col min="9" max="9" width="10" bestFit="1" customWidth="1"/>
    <col min="10" max="10" width="10.109375" bestFit="1" customWidth="1"/>
    <col min="11" max="11" width="16.6640625" bestFit="1" customWidth="1"/>
    <col min="12" max="12" width="26" bestFit="1" customWidth="1"/>
  </cols>
  <sheetData>
    <row r="1" spans="1:12" ht="17.399999999999999" x14ac:dyDescent="0.45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</row>
    <row r="2" spans="1:12" x14ac:dyDescent="0.3">
      <c r="A2" s="3" t="s">
        <v>12</v>
      </c>
      <c r="B2" s="3" t="s">
        <v>13</v>
      </c>
      <c r="C2" s="29">
        <v>45649</v>
      </c>
      <c r="D2" s="3" t="s">
        <v>14</v>
      </c>
      <c r="E2" s="3" t="s">
        <v>15</v>
      </c>
      <c r="F2" s="3">
        <v>24516</v>
      </c>
      <c r="G2" s="3">
        <v>976</v>
      </c>
      <c r="H2" s="3">
        <v>974</v>
      </c>
      <c r="I2" s="3">
        <v>2675</v>
      </c>
      <c r="J2" s="3">
        <v>23275</v>
      </c>
      <c r="K2" s="3">
        <v>202932</v>
      </c>
      <c r="L2" s="3" t="s">
        <v>16</v>
      </c>
    </row>
    <row r="3" spans="1:12" x14ac:dyDescent="0.3">
      <c r="A3" s="3" t="s">
        <v>17</v>
      </c>
      <c r="B3" s="3" t="s">
        <v>18</v>
      </c>
      <c r="C3" s="2">
        <v>45903</v>
      </c>
      <c r="D3" s="3" t="s">
        <v>14</v>
      </c>
      <c r="E3" s="3" t="s">
        <v>19</v>
      </c>
      <c r="F3" s="3">
        <v>4779</v>
      </c>
      <c r="G3" s="3">
        <v>1110</v>
      </c>
      <c r="H3" s="3">
        <v>436</v>
      </c>
      <c r="I3" s="3">
        <v>1574</v>
      </c>
      <c r="J3" s="3">
        <v>77167</v>
      </c>
      <c r="K3" s="3">
        <v>71585</v>
      </c>
      <c r="L3" s="3" t="s">
        <v>20</v>
      </c>
    </row>
    <row r="4" spans="1:12" x14ac:dyDescent="0.3">
      <c r="A4" s="3" t="s">
        <v>21</v>
      </c>
      <c r="B4" s="3" t="s">
        <v>22</v>
      </c>
      <c r="C4" s="2">
        <v>45789</v>
      </c>
      <c r="D4" s="3" t="s">
        <v>23</v>
      </c>
      <c r="E4" s="3" t="s">
        <v>24</v>
      </c>
      <c r="F4" s="3">
        <v>19308</v>
      </c>
      <c r="G4" s="3">
        <v>1318</v>
      </c>
      <c r="H4" s="3">
        <v>795</v>
      </c>
      <c r="I4" s="3">
        <v>1499</v>
      </c>
      <c r="J4" s="3">
        <v>52307</v>
      </c>
      <c r="K4" s="3">
        <v>193087</v>
      </c>
      <c r="L4" s="3" t="s">
        <v>25</v>
      </c>
    </row>
    <row r="5" spans="1:12" x14ac:dyDescent="0.3">
      <c r="A5" s="3" t="s">
        <v>26</v>
      </c>
      <c r="B5" s="3" t="s">
        <v>13</v>
      </c>
      <c r="C5" s="2">
        <v>45516</v>
      </c>
      <c r="D5" s="3" t="s">
        <v>27</v>
      </c>
      <c r="E5" s="3" t="s">
        <v>28</v>
      </c>
      <c r="F5" s="3">
        <v>3581</v>
      </c>
      <c r="G5" s="3">
        <v>517</v>
      </c>
      <c r="H5" s="3">
        <v>880</v>
      </c>
      <c r="I5" s="3">
        <v>1925</v>
      </c>
      <c r="J5" s="3">
        <v>18636</v>
      </c>
      <c r="K5" s="3">
        <v>248611</v>
      </c>
      <c r="L5" s="3" t="s">
        <v>29</v>
      </c>
    </row>
    <row r="6" spans="1:12" x14ac:dyDescent="0.3">
      <c r="A6" s="3" t="s">
        <v>30</v>
      </c>
      <c r="B6" s="3" t="s">
        <v>13</v>
      </c>
      <c r="C6" s="2">
        <v>45904</v>
      </c>
      <c r="D6" s="3" t="s">
        <v>27</v>
      </c>
      <c r="E6" s="3" t="s">
        <v>15</v>
      </c>
      <c r="F6" s="3">
        <v>21708</v>
      </c>
      <c r="G6" s="3">
        <v>435</v>
      </c>
      <c r="H6" s="3">
        <v>317</v>
      </c>
      <c r="I6" s="3">
        <v>1213</v>
      </c>
      <c r="J6" s="3">
        <v>70701</v>
      </c>
      <c r="K6" s="3">
        <v>83585</v>
      </c>
      <c r="L6" s="3" t="s">
        <v>20</v>
      </c>
    </row>
    <row r="7" spans="1:12" x14ac:dyDescent="0.3">
      <c r="A7" s="3" t="s">
        <v>31</v>
      </c>
      <c r="B7" s="3" t="s">
        <v>18</v>
      </c>
      <c r="C7" s="2">
        <v>45905</v>
      </c>
      <c r="D7" s="3" t="s">
        <v>14</v>
      </c>
      <c r="E7" s="3" t="s">
        <v>32</v>
      </c>
      <c r="F7" s="3">
        <v>14677</v>
      </c>
      <c r="G7" s="3">
        <v>533</v>
      </c>
      <c r="H7" s="3">
        <v>759</v>
      </c>
      <c r="I7" s="3">
        <v>753</v>
      </c>
      <c r="J7" s="3">
        <v>23275</v>
      </c>
      <c r="K7" s="3">
        <v>66958</v>
      </c>
      <c r="L7" s="3" t="s">
        <v>20</v>
      </c>
    </row>
    <row r="8" spans="1:12" x14ac:dyDescent="0.3">
      <c r="A8" s="3" t="s">
        <v>33</v>
      </c>
      <c r="B8" s="3" t="s">
        <v>22</v>
      </c>
      <c r="C8" s="2">
        <v>45467</v>
      </c>
      <c r="D8" s="3" t="s">
        <v>34</v>
      </c>
      <c r="E8" s="3" t="s">
        <v>35</v>
      </c>
      <c r="F8" s="3">
        <v>7713</v>
      </c>
      <c r="G8" s="3">
        <v>575</v>
      </c>
      <c r="H8" s="3">
        <v>417</v>
      </c>
      <c r="I8" s="3">
        <v>336</v>
      </c>
      <c r="J8" s="3">
        <v>61660</v>
      </c>
      <c r="K8" s="3">
        <v>66017</v>
      </c>
      <c r="L8" s="3" t="s">
        <v>29</v>
      </c>
    </row>
    <row r="9" spans="1:12" x14ac:dyDescent="0.3">
      <c r="A9" s="3" t="s">
        <v>36</v>
      </c>
      <c r="B9" s="3" t="s">
        <v>22</v>
      </c>
      <c r="C9" s="2">
        <v>45486</v>
      </c>
      <c r="D9" s="3" t="s">
        <v>27</v>
      </c>
      <c r="E9" s="3" t="s">
        <v>37</v>
      </c>
      <c r="F9" s="3">
        <v>18639</v>
      </c>
      <c r="G9" s="3">
        <v>1360</v>
      </c>
      <c r="H9" s="3">
        <v>898</v>
      </c>
      <c r="I9" s="3">
        <v>2011</v>
      </c>
      <c r="J9" s="3">
        <v>42841</v>
      </c>
      <c r="K9" s="3">
        <v>247779</v>
      </c>
      <c r="L9" s="3" t="s">
        <v>29</v>
      </c>
    </row>
    <row r="10" spans="1:12" x14ac:dyDescent="0.3">
      <c r="A10" s="3" t="s">
        <v>38</v>
      </c>
      <c r="B10" s="3" t="s">
        <v>13</v>
      </c>
      <c r="C10" s="2">
        <v>45534</v>
      </c>
      <c r="D10" s="3" t="s">
        <v>34</v>
      </c>
      <c r="E10" s="3" t="s">
        <v>19</v>
      </c>
      <c r="F10" s="3">
        <v>6804</v>
      </c>
      <c r="G10" s="3">
        <v>787</v>
      </c>
      <c r="H10" s="3">
        <v>970</v>
      </c>
      <c r="I10" s="3">
        <v>1095</v>
      </c>
      <c r="J10" s="3">
        <v>56343</v>
      </c>
      <c r="K10" s="3">
        <v>164677</v>
      </c>
      <c r="L10" s="3" t="s">
        <v>16</v>
      </c>
    </row>
    <row r="11" spans="1:12" x14ac:dyDescent="0.3">
      <c r="A11" s="3" t="s">
        <v>39</v>
      </c>
      <c r="B11" s="3" t="s">
        <v>40</v>
      </c>
      <c r="C11" s="2">
        <v>45727</v>
      </c>
      <c r="D11" s="3" t="s">
        <v>27</v>
      </c>
      <c r="E11" s="3" t="s">
        <v>41</v>
      </c>
      <c r="F11" s="3">
        <v>20222</v>
      </c>
      <c r="G11" s="3">
        <v>712</v>
      </c>
      <c r="H11" s="3">
        <v>604</v>
      </c>
      <c r="I11" s="3">
        <v>1272</v>
      </c>
      <c r="J11" s="3">
        <v>71598</v>
      </c>
      <c r="K11" s="3">
        <v>216422</v>
      </c>
      <c r="L11" s="3" t="s">
        <v>25</v>
      </c>
    </row>
    <row r="12" spans="1:12" x14ac:dyDescent="0.3">
      <c r="A12" s="3" t="s">
        <v>42</v>
      </c>
      <c r="B12" s="3" t="s">
        <v>13</v>
      </c>
      <c r="C12" s="2">
        <v>45690</v>
      </c>
      <c r="D12" s="3" t="s">
        <v>34</v>
      </c>
      <c r="E12" s="3" t="s">
        <v>28</v>
      </c>
      <c r="F12" s="3">
        <v>12136</v>
      </c>
      <c r="G12" s="3">
        <v>1117</v>
      </c>
      <c r="H12" s="3">
        <v>834</v>
      </c>
      <c r="I12" s="3">
        <v>892</v>
      </c>
      <c r="J12" s="3">
        <v>24675</v>
      </c>
      <c r="K12" s="3">
        <v>183273</v>
      </c>
      <c r="L12" s="3" t="s">
        <v>25</v>
      </c>
    </row>
    <row r="13" spans="1:12" x14ac:dyDescent="0.3">
      <c r="A13" s="3" t="s">
        <v>43</v>
      </c>
      <c r="B13" s="3" t="s">
        <v>13</v>
      </c>
      <c r="C13" s="2">
        <v>45494</v>
      </c>
      <c r="D13" s="3" t="s">
        <v>23</v>
      </c>
      <c r="E13" s="3" t="s">
        <v>19</v>
      </c>
      <c r="F13" s="3">
        <v>2009</v>
      </c>
      <c r="G13" s="3">
        <v>1072</v>
      </c>
      <c r="H13" s="3">
        <v>550</v>
      </c>
      <c r="I13" s="3">
        <v>1437</v>
      </c>
      <c r="J13" s="3">
        <v>22982</v>
      </c>
      <c r="K13" s="3">
        <v>69426</v>
      </c>
      <c r="L13" s="3" t="s">
        <v>29</v>
      </c>
    </row>
    <row r="14" spans="1:12" x14ac:dyDescent="0.3">
      <c r="A14" s="3" t="s">
        <v>44</v>
      </c>
      <c r="B14" s="3" t="s">
        <v>13</v>
      </c>
      <c r="C14" s="2">
        <v>45614</v>
      </c>
      <c r="D14" s="3" t="s">
        <v>34</v>
      </c>
      <c r="E14" s="3" t="s">
        <v>35</v>
      </c>
      <c r="F14" s="3">
        <v>21255</v>
      </c>
      <c r="G14" s="3">
        <v>1452</v>
      </c>
      <c r="H14" s="3">
        <v>625</v>
      </c>
      <c r="I14" s="3">
        <v>1624</v>
      </c>
      <c r="J14" s="3">
        <v>21282</v>
      </c>
      <c r="K14" s="3">
        <v>57778</v>
      </c>
      <c r="L14" s="3" t="s">
        <v>45</v>
      </c>
    </row>
    <row r="15" spans="1:12" x14ac:dyDescent="0.3">
      <c r="A15" s="3" t="s">
        <v>46</v>
      </c>
      <c r="B15" s="3" t="s">
        <v>13</v>
      </c>
      <c r="C15" s="2">
        <v>45906</v>
      </c>
      <c r="D15" s="3" t="s">
        <v>23</v>
      </c>
      <c r="E15" s="3" t="s">
        <v>37</v>
      </c>
      <c r="F15" s="3">
        <v>7124</v>
      </c>
      <c r="G15" s="3">
        <v>469</v>
      </c>
      <c r="H15" s="3">
        <v>851</v>
      </c>
      <c r="I15" s="3">
        <v>2571</v>
      </c>
      <c r="J15" s="3">
        <v>33802</v>
      </c>
      <c r="K15" s="3">
        <v>216313</v>
      </c>
      <c r="L15" s="3" t="s">
        <v>20</v>
      </c>
    </row>
    <row r="16" spans="1:12" x14ac:dyDescent="0.3">
      <c r="A16" s="3" t="s">
        <v>47</v>
      </c>
      <c r="B16" s="3" t="s">
        <v>18</v>
      </c>
      <c r="C16" s="2">
        <v>45907</v>
      </c>
      <c r="D16" s="3" t="s">
        <v>23</v>
      </c>
      <c r="E16" s="3" t="s">
        <v>24</v>
      </c>
      <c r="F16" s="3">
        <v>3015</v>
      </c>
      <c r="G16" s="3">
        <v>997</v>
      </c>
      <c r="H16" s="3">
        <v>783</v>
      </c>
      <c r="I16" s="3">
        <v>617</v>
      </c>
      <c r="J16" s="3">
        <v>77167</v>
      </c>
      <c r="K16" s="3">
        <v>82229</v>
      </c>
      <c r="L16" s="3" t="s">
        <v>20</v>
      </c>
    </row>
    <row r="17" spans="1:12" x14ac:dyDescent="0.3">
      <c r="A17" s="3" t="s">
        <v>48</v>
      </c>
      <c r="B17" s="3" t="s">
        <v>22</v>
      </c>
      <c r="C17" s="2">
        <v>45530</v>
      </c>
      <c r="D17" s="3" t="s">
        <v>34</v>
      </c>
      <c r="E17" s="3" t="s">
        <v>37</v>
      </c>
      <c r="F17" s="3">
        <v>4193</v>
      </c>
      <c r="G17" s="3">
        <v>924</v>
      </c>
      <c r="H17" s="3">
        <v>707</v>
      </c>
      <c r="I17" s="3">
        <v>2696</v>
      </c>
      <c r="J17" s="3">
        <v>55075</v>
      </c>
      <c r="K17" s="3">
        <v>126652</v>
      </c>
      <c r="L17" s="3" t="s">
        <v>29</v>
      </c>
    </row>
    <row r="18" spans="1:12" x14ac:dyDescent="0.3">
      <c r="A18" s="3" t="s">
        <v>49</v>
      </c>
      <c r="B18" s="3" t="s">
        <v>18</v>
      </c>
      <c r="C18" s="2">
        <v>45782</v>
      </c>
      <c r="D18" s="3" t="s">
        <v>23</v>
      </c>
      <c r="E18" s="3" t="s">
        <v>50</v>
      </c>
      <c r="F18" s="3">
        <v>10415</v>
      </c>
      <c r="G18" s="3">
        <v>1388</v>
      </c>
      <c r="H18" s="3">
        <v>725</v>
      </c>
      <c r="I18" s="3">
        <v>2462</v>
      </c>
      <c r="J18" s="3">
        <v>53082</v>
      </c>
      <c r="K18" s="3">
        <v>168267</v>
      </c>
      <c r="L18" s="3" t="s">
        <v>45</v>
      </c>
    </row>
    <row r="19" spans="1:12" x14ac:dyDescent="0.3">
      <c r="A19" s="3" t="s">
        <v>51</v>
      </c>
      <c r="B19" s="3" t="s">
        <v>18</v>
      </c>
      <c r="C19" s="2">
        <v>45523</v>
      </c>
      <c r="D19" s="3" t="s">
        <v>14</v>
      </c>
      <c r="E19" s="3" t="s">
        <v>37</v>
      </c>
      <c r="F19" s="3">
        <v>15550</v>
      </c>
      <c r="G19" s="3">
        <v>204</v>
      </c>
      <c r="H19" s="3">
        <v>279</v>
      </c>
      <c r="I19" s="3">
        <v>1646</v>
      </c>
      <c r="J19" s="3">
        <v>35819</v>
      </c>
      <c r="K19" s="3">
        <v>219436</v>
      </c>
      <c r="L19" s="3" t="s">
        <v>16</v>
      </c>
    </row>
    <row r="20" spans="1:12" x14ac:dyDescent="0.3">
      <c r="A20" s="3" t="s">
        <v>52</v>
      </c>
      <c r="B20" s="3" t="s">
        <v>18</v>
      </c>
      <c r="C20" s="2">
        <v>45466</v>
      </c>
      <c r="D20" s="3" t="s">
        <v>23</v>
      </c>
      <c r="E20" s="3" t="s">
        <v>50</v>
      </c>
      <c r="F20" s="3">
        <v>16512</v>
      </c>
      <c r="G20" s="3">
        <v>1050</v>
      </c>
      <c r="H20" s="3">
        <v>971</v>
      </c>
      <c r="I20" s="3">
        <v>1891</v>
      </c>
      <c r="J20" s="3">
        <v>15865</v>
      </c>
      <c r="K20" s="3">
        <v>166503</v>
      </c>
      <c r="L20" s="3" t="s">
        <v>29</v>
      </c>
    </row>
    <row r="21" spans="1:12" x14ac:dyDescent="0.3">
      <c r="A21" s="3" t="s">
        <v>53</v>
      </c>
      <c r="B21" s="3" t="s">
        <v>13</v>
      </c>
      <c r="C21" s="2">
        <v>45544</v>
      </c>
      <c r="D21" s="3" t="s">
        <v>27</v>
      </c>
      <c r="E21" s="3" t="s">
        <v>24</v>
      </c>
      <c r="F21" s="3">
        <v>6158</v>
      </c>
      <c r="G21" s="3">
        <v>277</v>
      </c>
      <c r="H21" s="3">
        <v>512</v>
      </c>
      <c r="I21" s="3">
        <v>2189</v>
      </c>
      <c r="J21" s="3">
        <v>76881</v>
      </c>
      <c r="K21" s="3">
        <v>124878</v>
      </c>
      <c r="L21" s="3" t="s">
        <v>29</v>
      </c>
    </row>
    <row r="22" spans="1:12" x14ac:dyDescent="0.3">
      <c r="A22" s="3" t="s">
        <v>54</v>
      </c>
      <c r="B22" s="3" t="s">
        <v>40</v>
      </c>
      <c r="C22" s="2">
        <v>45908</v>
      </c>
      <c r="D22" s="3" t="s">
        <v>34</v>
      </c>
      <c r="E22" s="3" t="s">
        <v>55</v>
      </c>
      <c r="F22" s="3">
        <v>22309</v>
      </c>
      <c r="G22" s="3">
        <v>773</v>
      </c>
      <c r="H22" s="3">
        <v>854</v>
      </c>
      <c r="I22" s="3">
        <v>2387</v>
      </c>
      <c r="J22" s="3">
        <v>72396</v>
      </c>
      <c r="K22" s="3">
        <v>97056</v>
      </c>
      <c r="L22" s="3" t="s">
        <v>20</v>
      </c>
    </row>
    <row r="23" spans="1:12" x14ac:dyDescent="0.3">
      <c r="A23" s="3" t="s">
        <v>56</v>
      </c>
      <c r="B23" s="3" t="s">
        <v>22</v>
      </c>
      <c r="C23" s="2">
        <v>45715</v>
      </c>
      <c r="D23" s="3" t="s">
        <v>14</v>
      </c>
      <c r="E23" s="3" t="s">
        <v>35</v>
      </c>
      <c r="F23" s="3">
        <v>8970</v>
      </c>
      <c r="G23" s="3">
        <v>331</v>
      </c>
      <c r="H23" s="3">
        <v>968</v>
      </c>
      <c r="I23" s="3">
        <v>2296</v>
      </c>
      <c r="J23" s="3">
        <v>24613</v>
      </c>
      <c r="K23" s="3">
        <v>198562</v>
      </c>
      <c r="L23" s="3" t="s">
        <v>29</v>
      </c>
    </row>
    <row r="24" spans="1:12" x14ac:dyDescent="0.3">
      <c r="A24" s="3" t="s">
        <v>57</v>
      </c>
      <c r="B24" s="3" t="s">
        <v>40</v>
      </c>
      <c r="C24" s="2">
        <v>45602</v>
      </c>
      <c r="D24" s="3" t="s">
        <v>34</v>
      </c>
      <c r="E24" s="3" t="s">
        <v>50</v>
      </c>
      <c r="F24" s="3">
        <v>8938</v>
      </c>
      <c r="G24" s="3">
        <v>800</v>
      </c>
      <c r="H24" s="3">
        <v>842</v>
      </c>
      <c r="I24" s="3">
        <v>2072</v>
      </c>
      <c r="J24" s="3">
        <v>31736</v>
      </c>
      <c r="K24" s="3">
        <v>59975</v>
      </c>
      <c r="L24" s="3" t="s">
        <v>29</v>
      </c>
    </row>
    <row r="25" spans="1:12" x14ac:dyDescent="0.3">
      <c r="A25" s="3" t="s">
        <v>58</v>
      </c>
      <c r="B25" s="3" t="s">
        <v>18</v>
      </c>
      <c r="C25" s="2">
        <v>45680</v>
      </c>
      <c r="D25" s="3" t="s">
        <v>27</v>
      </c>
      <c r="E25" s="3" t="s">
        <v>41</v>
      </c>
      <c r="F25" s="3">
        <v>23168</v>
      </c>
      <c r="G25" s="3">
        <v>1265</v>
      </c>
      <c r="H25" s="3">
        <v>441</v>
      </c>
      <c r="I25" s="3">
        <v>1612</v>
      </c>
      <c r="J25" s="3">
        <v>66615</v>
      </c>
      <c r="K25" s="3">
        <v>197795</v>
      </c>
      <c r="L25" s="3" t="s">
        <v>29</v>
      </c>
    </row>
    <row r="26" spans="1:12" x14ac:dyDescent="0.3">
      <c r="A26" s="3" t="s">
        <v>59</v>
      </c>
      <c r="B26" s="3" t="s">
        <v>18</v>
      </c>
      <c r="C26" s="2">
        <v>45909</v>
      </c>
      <c r="D26" s="3" t="s">
        <v>27</v>
      </c>
      <c r="E26" s="3" t="s">
        <v>37</v>
      </c>
      <c r="F26" s="3">
        <v>15772</v>
      </c>
      <c r="G26" s="3">
        <v>288</v>
      </c>
      <c r="H26" s="3">
        <v>520</v>
      </c>
      <c r="I26" s="3">
        <v>1585</v>
      </c>
      <c r="J26" s="3">
        <v>59182</v>
      </c>
      <c r="K26" s="3">
        <v>194351</v>
      </c>
      <c r="L26" s="3" t="s">
        <v>20</v>
      </c>
    </row>
    <row r="27" spans="1:12" x14ac:dyDescent="0.3">
      <c r="A27" s="3" t="s">
        <v>60</v>
      </c>
      <c r="B27" s="3" t="s">
        <v>40</v>
      </c>
      <c r="C27" s="2">
        <v>45752</v>
      </c>
      <c r="D27" s="3" t="s">
        <v>27</v>
      </c>
      <c r="E27" s="3" t="s">
        <v>37</v>
      </c>
      <c r="F27" s="3">
        <v>22384</v>
      </c>
      <c r="G27" s="3">
        <v>601</v>
      </c>
      <c r="H27" s="3">
        <v>943</v>
      </c>
      <c r="I27" s="3">
        <v>515</v>
      </c>
      <c r="J27" s="3">
        <v>41309</v>
      </c>
      <c r="K27" s="3">
        <v>249373</v>
      </c>
      <c r="L27" s="3" t="s">
        <v>16</v>
      </c>
    </row>
    <row r="28" spans="1:12" x14ac:dyDescent="0.3">
      <c r="A28" s="3" t="s">
        <v>61</v>
      </c>
      <c r="B28" s="3" t="s">
        <v>40</v>
      </c>
      <c r="C28" s="2">
        <v>45552</v>
      </c>
      <c r="D28" s="3" t="s">
        <v>23</v>
      </c>
      <c r="E28" s="3" t="s">
        <v>41</v>
      </c>
      <c r="F28" s="3">
        <v>20017</v>
      </c>
      <c r="G28" s="3">
        <v>495</v>
      </c>
      <c r="H28" s="3">
        <v>178</v>
      </c>
      <c r="I28" s="3">
        <v>2683</v>
      </c>
      <c r="J28" s="3">
        <v>32244</v>
      </c>
      <c r="K28" s="3">
        <v>182633</v>
      </c>
      <c r="L28" s="3" t="s">
        <v>16</v>
      </c>
    </row>
    <row r="29" spans="1:12" x14ac:dyDescent="0.3">
      <c r="A29" s="3" t="s">
        <v>62</v>
      </c>
      <c r="B29" s="3" t="s">
        <v>40</v>
      </c>
      <c r="C29" s="2">
        <v>45720</v>
      </c>
      <c r="D29" s="3" t="s">
        <v>23</v>
      </c>
      <c r="E29" s="3" t="s">
        <v>32</v>
      </c>
      <c r="F29" s="3">
        <v>12344</v>
      </c>
      <c r="G29" s="3">
        <v>815</v>
      </c>
      <c r="H29" s="3">
        <v>298</v>
      </c>
      <c r="I29" s="3">
        <v>2439</v>
      </c>
      <c r="J29" s="3">
        <v>6259</v>
      </c>
      <c r="K29" s="3">
        <v>237133</v>
      </c>
      <c r="L29" s="3" t="s">
        <v>29</v>
      </c>
    </row>
    <row r="30" spans="1:12" x14ac:dyDescent="0.3">
      <c r="A30" s="3" t="s">
        <v>63</v>
      </c>
      <c r="B30" s="3" t="s">
        <v>18</v>
      </c>
      <c r="C30" s="2">
        <v>45910</v>
      </c>
      <c r="D30" s="3" t="s">
        <v>34</v>
      </c>
      <c r="E30" s="3" t="s">
        <v>64</v>
      </c>
      <c r="F30" s="3">
        <v>9266</v>
      </c>
      <c r="G30" s="3">
        <v>999</v>
      </c>
      <c r="H30" s="3">
        <v>928</v>
      </c>
      <c r="I30" s="3">
        <v>2700</v>
      </c>
      <c r="J30" s="3">
        <v>12264</v>
      </c>
      <c r="K30" s="3">
        <v>128397</v>
      </c>
      <c r="L30" s="3" t="s">
        <v>20</v>
      </c>
    </row>
    <row r="31" spans="1:12" x14ac:dyDescent="0.3">
      <c r="A31" s="3" t="s">
        <v>65</v>
      </c>
      <c r="B31" s="3" t="s">
        <v>18</v>
      </c>
      <c r="C31" s="2">
        <v>45713</v>
      </c>
      <c r="D31" s="3" t="s">
        <v>34</v>
      </c>
      <c r="E31" s="3" t="s">
        <v>55</v>
      </c>
      <c r="F31" s="3">
        <v>10702</v>
      </c>
      <c r="G31" s="3">
        <v>621</v>
      </c>
      <c r="H31" s="3">
        <v>445</v>
      </c>
      <c r="I31" s="3">
        <v>2918</v>
      </c>
      <c r="J31" s="3">
        <v>54808</v>
      </c>
      <c r="K31" s="3">
        <v>220225</v>
      </c>
      <c r="L31" s="3" t="s">
        <v>16</v>
      </c>
    </row>
    <row r="32" spans="1:12" x14ac:dyDescent="0.3">
      <c r="A32" s="3" t="s">
        <v>66</v>
      </c>
      <c r="B32" s="3" t="s">
        <v>22</v>
      </c>
      <c r="C32" s="2">
        <v>45642</v>
      </c>
      <c r="D32" s="3" t="s">
        <v>14</v>
      </c>
      <c r="E32" s="3" t="s">
        <v>28</v>
      </c>
      <c r="F32" s="3">
        <v>2384</v>
      </c>
      <c r="G32" s="3">
        <v>1246</v>
      </c>
      <c r="H32" s="3">
        <v>160</v>
      </c>
      <c r="I32" s="3">
        <v>2004</v>
      </c>
      <c r="J32" s="3">
        <v>2701</v>
      </c>
      <c r="K32" s="3">
        <v>73142</v>
      </c>
      <c r="L32" s="3" t="s">
        <v>16</v>
      </c>
    </row>
    <row r="33" spans="1:12" x14ac:dyDescent="0.3">
      <c r="A33" s="3" t="s">
        <v>67</v>
      </c>
      <c r="B33" s="3" t="s">
        <v>22</v>
      </c>
      <c r="C33" s="2">
        <v>45504</v>
      </c>
      <c r="D33" s="3" t="s">
        <v>14</v>
      </c>
      <c r="E33" s="3" t="s">
        <v>50</v>
      </c>
      <c r="F33" s="3">
        <v>2404</v>
      </c>
      <c r="G33" s="3">
        <v>774</v>
      </c>
      <c r="H33" s="3">
        <v>661</v>
      </c>
      <c r="I33" s="3">
        <v>662</v>
      </c>
      <c r="J33" s="3">
        <v>12676</v>
      </c>
      <c r="K33" s="3">
        <v>66916</v>
      </c>
      <c r="L33" s="3" t="s">
        <v>16</v>
      </c>
    </row>
    <row r="34" spans="1:12" x14ac:dyDescent="0.3">
      <c r="A34" s="3" t="s">
        <v>68</v>
      </c>
      <c r="B34" s="3" t="s">
        <v>18</v>
      </c>
      <c r="C34" s="2">
        <v>45911</v>
      </c>
      <c r="D34" s="3" t="s">
        <v>34</v>
      </c>
      <c r="E34" s="3" t="s">
        <v>41</v>
      </c>
      <c r="F34" s="3">
        <v>10175</v>
      </c>
      <c r="G34" s="3">
        <v>342</v>
      </c>
      <c r="H34" s="3">
        <v>825</v>
      </c>
      <c r="I34" s="3">
        <v>2904</v>
      </c>
      <c r="J34" s="3">
        <v>15954</v>
      </c>
      <c r="K34" s="3">
        <v>104324</v>
      </c>
      <c r="L34" s="3" t="s">
        <v>20</v>
      </c>
    </row>
    <row r="35" spans="1:12" x14ac:dyDescent="0.3">
      <c r="A35" s="3" t="s">
        <v>69</v>
      </c>
      <c r="B35" s="3" t="s">
        <v>40</v>
      </c>
      <c r="C35" s="2">
        <v>45912</v>
      </c>
      <c r="D35" s="3" t="s">
        <v>23</v>
      </c>
      <c r="E35" s="3" t="s">
        <v>24</v>
      </c>
      <c r="F35" s="3">
        <v>17158</v>
      </c>
      <c r="G35" s="3">
        <v>1192</v>
      </c>
      <c r="H35" s="3">
        <v>262</v>
      </c>
      <c r="I35" s="3">
        <v>2016</v>
      </c>
      <c r="J35" s="3">
        <v>28771</v>
      </c>
      <c r="K35" s="3">
        <v>216037</v>
      </c>
      <c r="L35" s="3" t="s">
        <v>20</v>
      </c>
    </row>
    <row r="36" spans="1:12" x14ac:dyDescent="0.3">
      <c r="A36" s="3" t="s">
        <v>70</v>
      </c>
      <c r="B36" s="3" t="s">
        <v>40</v>
      </c>
      <c r="C36" s="2">
        <v>45626</v>
      </c>
      <c r="D36" s="3" t="s">
        <v>27</v>
      </c>
      <c r="E36" s="3" t="s">
        <v>50</v>
      </c>
      <c r="F36" s="3">
        <v>14763</v>
      </c>
      <c r="G36" s="3">
        <v>864</v>
      </c>
      <c r="H36" s="3">
        <v>336</v>
      </c>
      <c r="I36" s="3">
        <v>1493</v>
      </c>
      <c r="J36" s="3">
        <v>33310</v>
      </c>
      <c r="K36" s="3">
        <v>165932</v>
      </c>
      <c r="L36" s="3" t="s">
        <v>29</v>
      </c>
    </row>
    <row r="37" spans="1:12" x14ac:dyDescent="0.3">
      <c r="A37" s="3" t="s">
        <v>71</v>
      </c>
      <c r="B37" s="3" t="s">
        <v>22</v>
      </c>
      <c r="C37" s="2">
        <v>45766</v>
      </c>
      <c r="D37" s="3" t="s">
        <v>34</v>
      </c>
      <c r="E37" s="3" t="s">
        <v>64</v>
      </c>
      <c r="F37" s="3">
        <v>20384</v>
      </c>
      <c r="G37" s="3">
        <v>344</v>
      </c>
      <c r="H37" s="3">
        <v>956</v>
      </c>
      <c r="I37" s="3">
        <v>655</v>
      </c>
      <c r="J37" s="3">
        <v>67621</v>
      </c>
      <c r="K37" s="3">
        <v>175720</v>
      </c>
      <c r="L37" s="3" t="s">
        <v>25</v>
      </c>
    </row>
    <row r="38" spans="1:12" x14ac:dyDescent="0.3">
      <c r="A38" s="3" t="s">
        <v>72</v>
      </c>
      <c r="B38" s="3" t="s">
        <v>18</v>
      </c>
      <c r="C38" s="2">
        <v>45663</v>
      </c>
      <c r="D38" s="3" t="s">
        <v>14</v>
      </c>
      <c r="E38" s="3" t="s">
        <v>24</v>
      </c>
      <c r="F38" s="3">
        <v>11860</v>
      </c>
      <c r="G38" s="3">
        <v>1448</v>
      </c>
      <c r="H38" s="3">
        <v>893</v>
      </c>
      <c r="I38" s="3">
        <v>490</v>
      </c>
      <c r="J38" s="3">
        <v>23518</v>
      </c>
      <c r="K38" s="3">
        <v>206205</v>
      </c>
      <c r="L38" s="3" t="s">
        <v>16</v>
      </c>
    </row>
    <row r="39" spans="1:12" x14ac:dyDescent="0.3">
      <c r="A39" s="3" t="s">
        <v>73</v>
      </c>
      <c r="B39" s="3" t="s">
        <v>22</v>
      </c>
      <c r="C39" s="2">
        <v>45705</v>
      </c>
      <c r="D39" s="3" t="s">
        <v>23</v>
      </c>
      <c r="E39" s="3" t="s">
        <v>19</v>
      </c>
      <c r="F39" s="3">
        <v>7989</v>
      </c>
      <c r="G39" s="3">
        <v>1206</v>
      </c>
      <c r="H39" s="3">
        <v>376</v>
      </c>
      <c r="I39" s="3">
        <v>2769</v>
      </c>
      <c r="J39" s="3">
        <v>27550</v>
      </c>
      <c r="K39" s="3">
        <v>221749</v>
      </c>
      <c r="L39" s="3" t="s">
        <v>25</v>
      </c>
    </row>
    <row r="40" spans="1:12" x14ac:dyDescent="0.3">
      <c r="A40" s="3" t="s">
        <v>74</v>
      </c>
      <c r="B40" s="3" t="s">
        <v>22</v>
      </c>
      <c r="C40" s="2">
        <v>45913</v>
      </c>
      <c r="D40" s="3" t="s">
        <v>34</v>
      </c>
      <c r="E40" s="3" t="s">
        <v>35</v>
      </c>
      <c r="F40" s="3">
        <v>17106</v>
      </c>
      <c r="G40" s="3">
        <v>702</v>
      </c>
      <c r="H40" s="3">
        <v>459</v>
      </c>
      <c r="I40" s="3">
        <v>999</v>
      </c>
      <c r="J40" s="3">
        <v>59627</v>
      </c>
      <c r="K40" s="3">
        <v>136059</v>
      </c>
      <c r="L40" s="3" t="s">
        <v>20</v>
      </c>
    </row>
    <row r="41" spans="1:12" x14ac:dyDescent="0.3">
      <c r="A41" s="3" t="s">
        <v>75</v>
      </c>
      <c r="B41" s="3" t="s">
        <v>13</v>
      </c>
      <c r="C41" s="2">
        <v>45914</v>
      </c>
      <c r="D41" s="3" t="s">
        <v>34</v>
      </c>
      <c r="E41" s="3" t="s">
        <v>37</v>
      </c>
      <c r="F41" s="3">
        <v>19844</v>
      </c>
      <c r="G41" s="3">
        <v>1020</v>
      </c>
      <c r="H41" s="3">
        <v>247</v>
      </c>
      <c r="I41" s="3">
        <v>2354</v>
      </c>
      <c r="J41" s="3">
        <v>37792</v>
      </c>
      <c r="K41" s="3">
        <v>138317</v>
      </c>
      <c r="L41" s="3" t="s">
        <v>20</v>
      </c>
    </row>
    <row r="42" spans="1:12" x14ac:dyDescent="0.3">
      <c r="A42" s="3" t="s">
        <v>76</v>
      </c>
      <c r="B42" s="3" t="s">
        <v>13</v>
      </c>
      <c r="C42" s="2">
        <v>45915</v>
      </c>
      <c r="D42" s="3" t="s">
        <v>23</v>
      </c>
      <c r="E42" s="3" t="s">
        <v>19</v>
      </c>
      <c r="F42" s="3">
        <v>5636</v>
      </c>
      <c r="G42" s="3">
        <v>303</v>
      </c>
      <c r="H42" s="3">
        <v>204</v>
      </c>
      <c r="I42" s="3">
        <v>2480</v>
      </c>
      <c r="J42" s="3">
        <v>7377</v>
      </c>
      <c r="K42" s="3">
        <v>241207</v>
      </c>
      <c r="L42" s="3" t="s">
        <v>20</v>
      </c>
    </row>
    <row r="43" spans="1:12" x14ac:dyDescent="0.3">
      <c r="A43" s="3" t="s">
        <v>77</v>
      </c>
      <c r="B43" s="3" t="s">
        <v>13</v>
      </c>
      <c r="C43" s="2">
        <v>45721</v>
      </c>
      <c r="D43" s="3" t="s">
        <v>34</v>
      </c>
      <c r="E43" s="3" t="s">
        <v>50</v>
      </c>
      <c r="F43" s="3">
        <v>12916</v>
      </c>
      <c r="G43" s="3">
        <v>1262</v>
      </c>
      <c r="H43" s="3">
        <v>772</v>
      </c>
      <c r="I43" s="3">
        <v>856</v>
      </c>
      <c r="J43" s="3">
        <v>11496</v>
      </c>
      <c r="K43" s="3">
        <v>75046</v>
      </c>
      <c r="L43" s="3" t="s">
        <v>25</v>
      </c>
    </row>
    <row r="44" spans="1:12" x14ac:dyDescent="0.3">
      <c r="A44" s="3" t="s">
        <v>78</v>
      </c>
      <c r="B44" s="3" t="s">
        <v>40</v>
      </c>
      <c r="C44" s="2">
        <v>45916</v>
      </c>
      <c r="D44" s="3" t="s">
        <v>23</v>
      </c>
      <c r="E44" s="3" t="s">
        <v>64</v>
      </c>
      <c r="F44" s="3">
        <v>6809</v>
      </c>
      <c r="G44" s="3">
        <v>397</v>
      </c>
      <c r="H44" s="3">
        <v>813</v>
      </c>
      <c r="I44" s="3">
        <v>1125</v>
      </c>
      <c r="J44" s="3">
        <v>12206</v>
      </c>
      <c r="K44" s="3">
        <v>218136</v>
      </c>
      <c r="L44" s="3" t="s">
        <v>20</v>
      </c>
    </row>
    <row r="45" spans="1:12" x14ac:dyDescent="0.3">
      <c r="A45" s="3" t="s">
        <v>79</v>
      </c>
      <c r="B45" s="3" t="s">
        <v>18</v>
      </c>
      <c r="C45" s="2">
        <v>45718</v>
      </c>
      <c r="D45" s="3" t="s">
        <v>27</v>
      </c>
      <c r="E45" s="3" t="s">
        <v>55</v>
      </c>
      <c r="F45" s="3">
        <v>22562</v>
      </c>
      <c r="G45" s="3">
        <v>778</v>
      </c>
      <c r="H45" s="3">
        <v>907</v>
      </c>
      <c r="I45" s="3">
        <v>1354</v>
      </c>
      <c r="J45" s="3">
        <v>34475</v>
      </c>
      <c r="K45" s="3">
        <v>141459</v>
      </c>
      <c r="L45" s="3" t="s">
        <v>29</v>
      </c>
    </row>
    <row r="46" spans="1:12" x14ac:dyDescent="0.3">
      <c r="A46" s="3" t="s">
        <v>80</v>
      </c>
      <c r="B46" s="3" t="s">
        <v>18</v>
      </c>
      <c r="C46" s="2">
        <v>45917</v>
      </c>
      <c r="D46" s="3" t="s">
        <v>23</v>
      </c>
      <c r="E46" s="3" t="s">
        <v>35</v>
      </c>
      <c r="F46" s="3">
        <v>15456</v>
      </c>
      <c r="G46" s="3">
        <v>590</v>
      </c>
      <c r="H46" s="3">
        <v>555</v>
      </c>
      <c r="I46" s="3">
        <v>2882</v>
      </c>
      <c r="J46" s="3">
        <v>49816</v>
      </c>
      <c r="K46" s="3">
        <v>240422</v>
      </c>
      <c r="L46" s="3" t="s">
        <v>20</v>
      </c>
    </row>
    <row r="47" spans="1:12" x14ac:dyDescent="0.3">
      <c r="A47" s="3" t="s">
        <v>81</v>
      </c>
      <c r="B47" s="3" t="s">
        <v>18</v>
      </c>
      <c r="C47" s="2">
        <v>45779</v>
      </c>
      <c r="D47" s="3" t="s">
        <v>23</v>
      </c>
      <c r="E47" s="3" t="s">
        <v>50</v>
      </c>
      <c r="F47" s="3">
        <v>17444</v>
      </c>
      <c r="G47" s="3">
        <v>1402</v>
      </c>
      <c r="H47" s="3">
        <v>218</v>
      </c>
      <c r="I47" s="3">
        <v>725</v>
      </c>
      <c r="J47" s="3">
        <v>8710</v>
      </c>
      <c r="K47" s="3">
        <v>85893</v>
      </c>
      <c r="L47" s="3" t="s">
        <v>45</v>
      </c>
    </row>
    <row r="48" spans="1:12" x14ac:dyDescent="0.3">
      <c r="A48" s="3" t="s">
        <v>82</v>
      </c>
      <c r="B48" s="3" t="s">
        <v>18</v>
      </c>
      <c r="C48" s="2">
        <v>45712</v>
      </c>
      <c r="D48" s="3" t="s">
        <v>23</v>
      </c>
      <c r="E48" s="3" t="s">
        <v>41</v>
      </c>
      <c r="F48" s="3">
        <v>24984</v>
      </c>
      <c r="G48" s="3">
        <v>753</v>
      </c>
      <c r="H48" s="3">
        <v>461</v>
      </c>
      <c r="I48" s="3">
        <v>2710</v>
      </c>
      <c r="J48" s="3">
        <v>20792</v>
      </c>
      <c r="K48" s="3">
        <v>141520</v>
      </c>
      <c r="L48" s="3" t="s">
        <v>25</v>
      </c>
    </row>
    <row r="49" spans="1:12" x14ac:dyDescent="0.3">
      <c r="A49" s="3" t="s">
        <v>83</v>
      </c>
      <c r="B49" s="3" t="s">
        <v>13</v>
      </c>
      <c r="C49" s="2">
        <v>45727</v>
      </c>
      <c r="D49" s="3" t="s">
        <v>34</v>
      </c>
      <c r="E49" s="3" t="s">
        <v>15</v>
      </c>
      <c r="F49" s="3">
        <v>7997</v>
      </c>
      <c r="G49" s="3">
        <v>1238</v>
      </c>
      <c r="H49" s="3">
        <v>438</v>
      </c>
      <c r="I49" s="3">
        <v>1874</v>
      </c>
      <c r="J49" s="3">
        <v>36272</v>
      </c>
      <c r="K49" s="3">
        <v>165818</v>
      </c>
      <c r="L49" s="3" t="s">
        <v>45</v>
      </c>
    </row>
    <row r="50" spans="1:12" x14ac:dyDescent="0.3">
      <c r="A50" s="3" t="s">
        <v>84</v>
      </c>
      <c r="B50" s="3" t="s">
        <v>40</v>
      </c>
      <c r="C50" s="2">
        <v>45918</v>
      </c>
      <c r="D50" s="3" t="s">
        <v>34</v>
      </c>
      <c r="E50" s="3" t="s">
        <v>50</v>
      </c>
      <c r="F50" s="3">
        <v>4048</v>
      </c>
      <c r="G50" s="3">
        <v>677</v>
      </c>
      <c r="H50" s="3">
        <v>911</v>
      </c>
      <c r="I50" s="3">
        <v>2429</v>
      </c>
      <c r="J50" s="3">
        <v>27361</v>
      </c>
      <c r="K50" s="3">
        <v>101272</v>
      </c>
      <c r="L50" s="3" t="s">
        <v>20</v>
      </c>
    </row>
    <row r="51" spans="1:12" x14ac:dyDescent="0.3">
      <c r="A51" s="3" t="s">
        <v>85</v>
      </c>
      <c r="B51" s="3" t="s">
        <v>40</v>
      </c>
      <c r="C51" s="2">
        <v>45476</v>
      </c>
      <c r="D51" s="3" t="s">
        <v>23</v>
      </c>
      <c r="E51" s="3" t="s">
        <v>35</v>
      </c>
      <c r="F51" s="3">
        <v>14338</v>
      </c>
      <c r="G51" s="3">
        <v>1454</v>
      </c>
      <c r="H51" s="3">
        <v>697</v>
      </c>
      <c r="I51" s="3">
        <v>2703</v>
      </c>
      <c r="J51" s="3">
        <v>21288</v>
      </c>
      <c r="K51" s="3">
        <v>107649</v>
      </c>
      <c r="L51" s="3" t="s">
        <v>29</v>
      </c>
    </row>
    <row r="52" spans="1:12" x14ac:dyDescent="0.3">
      <c r="A52" s="3" t="s">
        <v>86</v>
      </c>
      <c r="B52" s="3" t="s">
        <v>13</v>
      </c>
      <c r="C52" s="2">
        <v>45456</v>
      </c>
      <c r="D52" s="3" t="s">
        <v>34</v>
      </c>
      <c r="E52" s="3" t="s">
        <v>37</v>
      </c>
      <c r="F52" s="3">
        <v>23164</v>
      </c>
      <c r="G52" s="3">
        <v>1122</v>
      </c>
      <c r="H52" s="3">
        <v>900</v>
      </c>
      <c r="I52" s="3">
        <v>888</v>
      </c>
      <c r="J52" s="3">
        <v>36938</v>
      </c>
      <c r="K52" s="3">
        <v>104674</v>
      </c>
      <c r="L52" s="3" t="s">
        <v>16</v>
      </c>
    </row>
    <row r="53" spans="1:12" x14ac:dyDescent="0.3">
      <c r="A53" s="3" t="s">
        <v>87</v>
      </c>
      <c r="B53" s="3" t="s">
        <v>40</v>
      </c>
      <c r="C53" s="2">
        <v>45919</v>
      </c>
      <c r="D53" s="3" t="s">
        <v>14</v>
      </c>
      <c r="E53" s="3" t="s">
        <v>37</v>
      </c>
      <c r="F53" s="3">
        <v>19100</v>
      </c>
      <c r="G53" s="3">
        <v>619</v>
      </c>
      <c r="H53" s="3">
        <v>297</v>
      </c>
      <c r="I53" s="3">
        <v>2312</v>
      </c>
      <c r="J53" s="3">
        <v>9730</v>
      </c>
      <c r="K53" s="3">
        <v>184832</v>
      </c>
      <c r="L53" s="3" t="s">
        <v>20</v>
      </c>
    </row>
    <row r="54" spans="1:12" x14ac:dyDescent="0.3">
      <c r="A54" s="3" t="s">
        <v>88</v>
      </c>
      <c r="B54" s="3" t="s">
        <v>13</v>
      </c>
      <c r="C54" s="2">
        <v>45712</v>
      </c>
      <c r="D54" s="3" t="s">
        <v>14</v>
      </c>
      <c r="E54" s="3" t="s">
        <v>50</v>
      </c>
      <c r="F54" s="3">
        <v>23949</v>
      </c>
      <c r="G54" s="3">
        <v>356</v>
      </c>
      <c r="H54" s="3">
        <v>616</v>
      </c>
      <c r="I54" s="3">
        <v>1847</v>
      </c>
      <c r="J54" s="3">
        <v>3144</v>
      </c>
      <c r="K54" s="3">
        <v>192999</v>
      </c>
      <c r="L54" s="3" t="s">
        <v>29</v>
      </c>
    </row>
    <row r="55" spans="1:12" x14ac:dyDescent="0.3">
      <c r="A55" s="3" t="s">
        <v>89</v>
      </c>
      <c r="B55" s="3" t="s">
        <v>18</v>
      </c>
      <c r="C55" s="2">
        <v>45729</v>
      </c>
      <c r="D55" s="3" t="s">
        <v>34</v>
      </c>
      <c r="E55" s="3" t="s">
        <v>24</v>
      </c>
      <c r="F55" s="3">
        <v>6544</v>
      </c>
      <c r="G55" s="3">
        <v>749</v>
      </c>
      <c r="H55" s="3">
        <v>888</v>
      </c>
      <c r="I55" s="3">
        <v>594</v>
      </c>
      <c r="J55" s="3">
        <v>18171</v>
      </c>
      <c r="K55" s="3">
        <v>126475</v>
      </c>
      <c r="L55" s="3" t="s">
        <v>25</v>
      </c>
    </row>
    <row r="56" spans="1:12" x14ac:dyDescent="0.3">
      <c r="A56" s="3" t="s">
        <v>90</v>
      </c>
      <c r="B56" s="3" t="s">
        <v>13</v>
      </c>
      <c r="C56" s="2">
        <v>45460</v>
      </c>
      <c r="D56" s="3" t="s">
        <v>34</v>
      </c>
      <c r="E56" s="3" t="s">
        <v>15</v>
      </c>
      <c r="F56" s="3">
        <v>6976</v>
      </c>
      <c r="G56" s="3">
        <v>1320</v>
      </c>
      <c r="H56" s="3">
        <v>393</v>
      </c>
      <c r="I56" s="3">
        <v>2285</v>
      </c>
      <c r="J56" s="3">
        <v>14049</v>
      </c>
      <c r="K56" s="3">
        <v>101367</v>
      </c>
      <c r="L56" s="3" t="s">
        <v>45</v>
      </c>
    </row>
    <row r="57" spans="1:12" x14ac:dyDescent="0.3">
      <c r="A57" s="3" t="s">
        <v>91</v>
      </c>
      <c r="B57" s="3" t="s">
        <v>18</v>
      </c>
      <c r="C57" s="2">
        <v>45644</v>
      </c>
      <c r="D57" s="3" t="s">
        <v>23</v>
      </c>
      <c r="E57" s="3" t="s">
        <v>41</v>
      </c>
      <c r="F57" s="3">
        <v>14775</v>
      </c>
      <c r="G57" s="3">
        <v>1220</v>
      </c>
      <c r="H57" s="3">
        <v>640</v>
      </c>
      <c r="I57" s="3">
        <v>1547</v>
      </c>
      <c r="J57" s="3">
        <v>28527</v>
      </c>
      <c r="K57" s="3">
        <v>183660</v>
      </c>
      <c r="L57" s="3" t="s">
        <v>45</v>
      </c>
    </row>
    <row r="58" spans="1:12" x14ac:dyDescent="0.3">
      <c r="A58" s="3" t="s">
        <v>92</v>
      </c>
      <c r="B58" s="3" t="s">
        <v>18</v>
      </c>
      <c r="C58" s="2">
        <v>45586</v>
      </c>
      <c r="D58" s="3" t="s">
        <v>27</v>
      </c>
      <c r="E58" s="3" t="s">
        <v>50</v>
      </c>
      <c r="F58" s="3">
        <v>12015</v>
      </c>
      <c r="G58" s="3">
        <v>1196</v>
      </c>
      <c r="H58" s="3">
        <v>998</v>
      </c>
      <c r="I58" s="3">
        <v>1848</v>
      </c>
      <c r="J58" s="3">
        <v>44739</v>
      </c>
      <c r="K58" s="3">
        <v>161750</v>
      </c>
      <c r="L58" s="3" t="s">
        <v>45</v>
      </c>
    </row>
    <row r="59" spans="1:12" x14ac:dyDescent="0.3">
      <c r="A59" s="3" t="s">
        <v>93</v>
      </c>
      <c r="B59" s="3" t="s">
        <v>22</v>
      </c>
      <c r="C59" s="2">
        <v>45762</v>
      </c>
      <c r="D59" s="3" t="s">
        <v>34</v>
      </c>
      <c r="E59" s="3" t="s">
        <v>24</v>
      </c>
      <c r="F59" s="3">
        <v>5419</v>
      </c>
      <c r="G59" s="3">
        <v>1150</v>
      </c>
      <c r="H59" s="3">
        <v>656</v>
      </c>
      <c r="I59" s="3">
        <v>1990</v>
      </c>
      <c r="J59" s="3">
        <v>410</v>
      </c>
      <c r="K59" s="3">
        <v>158154</v>
      </c>
      <c r="L59" s="3" t="s">
        <v>25</v>
      </c>
    </row>
    <row r="60" spans="1:12" x14ac:dyDescent="0.3">
      <c r="A60" s="3" t="s">
        <v>94</v>
      </c>
      <c r="B60" s="3" t="s">
        <v>13</v>
      </c>
      <c r="C60" s="2">
        <v>45465</v>
      </c>
      <c r="D60" s="3" t="s">
        <v>14</v>
      </c>
      <c r="E60" s="3" t="s">
        <v>37</v>
      </c>
      <c r="F60" s="3">
        <v>16430</v>
      </c>
      <c r="G60" s="3">
        <v>488</v>
      </c>
      <c r="H60" s="3">
        <v>514</v>
      </c>
      <c r="I60" s="3">
        <v>1436</v>
      </c>
      <c r="J60" s="3">
        <v>30059</v>
      </c>
      <c r="K60" s="3">
        <v>223305</v>
      </c>
      <c r="L60" s="3" t="s">
        <v>29</v>
      </c>
    </row>
    <row r="61" spans="1:12" x14ac:dyDescent="0.3">
      <c r="A61" s="3" t="s">
        <v>95</v>
      </c>
      <c r="B61" s="3" t="s">
        <v>22</v>
      </c>
      <c r="C61" s="2">
        <v>45685</v>
      </c>
      <c r="D61" s="3" t="s">
        <v>23</v>
      </c>
      <c r="E61" s="3" t="s">
        <v>37</v>
      </c>
      <c r="F61" s="3">
        <v>9239</v>
      </c>
      <c r="G61" s="3">
        <v>1477</v>
      </c>
      <c r="H61" s="3">
        <v>631</v>
      </c>
      <c r="I61" s="3">
        <v>1556</v>
      </c>
      <c r="J61" s="3">
        <v>11580</v>
      </c>
      <c r="K61" s="3">
        <v>84738</v>
      </c>
      <c r="L61" s="3" t="s">
        <v>25</v>
      </c>
    </row>
    <row r="62" spans="1:12" x14ac:dyDescent="0.3">
      <c r="A62" s="3" t="s">
        <v>96</v>
      </c>
      <c r="B62" s="3" t="s">
        <v>13</v>
      </c>
      <c r="C62" s="2">
        <v>45540</v>
      </c>
      <c r="D62" s="3" t="s">
        <v>34</v>
      </c>
      <c r="E62" s="3" t="s">
        <v>64</v>
      </c>
      <c r="F62" s="3">
        <v>16489</v>
      </c>
      <c r="G62" s="3">
        <v>395</v>
      </c>
      <c r="H62" s="3">
        <v>350</v>
      </c>
      <c r="I62" s="3">
        <v>2364</v>
      </c>
      <c r="J62" s="3">
        <v>43239</v>
      </c>
      <c r="K62" s="3">
        <v>73397</v>
      </c>
      <c r="L62" s="3" t="s">
        <v>45</v>
      </c>
    </row>
    <row r="63" spans="1:12" x14ac:dyDescent="0.3">
      <c r="A63" s="3" t="s">
        <v>97</v>
      </c>
      <c r="B63" s="3" t="s">
        <v>13</v>
      </c>
      <c r="C63" s="2">
        <v>45920</v>
      </c>
      <c r="D63" s="3" t="s">
        <v>14</v>
      </c>
      <c r="E63" s="3" t="s">
        <v>50</v>
      </c>
      <c r="F63" s="3">
        <v>18633</v>
      </c>
      <c r="G63" s="3">
        <v>797</v>
      </c>
      <c r="H63" s="3">
        <v>303</v>
      </c>
      <c r="I63" s="3">
        <v>659</v>
      </c>
      <c r="J63" s="3">
        <v>7</v>
      </c>
      <c r="K63" s="3">
        <v>122189</v>
      </c>
      <c r="L63" s="3" t="s">
        <v>20</v>
      </c>
    </row>
    <row r="64" spans="1:12" x14ac:dyDescent="0.3">
      <c r="A64" s="3" t="s">
        <v>98</v>
      </c>
      <c r="B64" s="3" t="s">
        <v>22</v>
      </c>
      <c r="C64" s="2">
        <v>45504</v>
      </c>
      <c r="D64" s="3" t="s">
        <v>14</v>
      </c>
      <c r="E64" s="3" t="s">
        <v>15</v>
      </c>
      <c r="F64" s="3">
        <v>12357</v>
      </c>
      <c r="G64" s="3">
        <v>716</v>
      </c>
      <c r="H64" s="3">
        <v>599</v>
      </c>
      <c r="I64" s="3">
        <v>999</v>
      </c>
      <c r="J64" s="3">
        <v>89591</v>
      </c>
      <c r="K64" s="3">
        <v>116367</v>
      </c>
      <c r="L64" s="3" t="s">
        <v>16</v>
      </c>
    </row>
    <row r="65" spans="1:12" x14ac:dyDescent="0.3">
      <c r="A65" s="3" t="s">
        <v>99</v>
      </c>
      <c r="B65" s="3" t="s">
        <v>22</v>
      </c>
      <c r="C65" s="2">
        <v>45521</v>
      </c>
      <c r="D65" s="3" t="s">
        <v>27</v>
      </c>
      <c r="E65" s="3" t="s">
        <v>32</v>
      </c>
      <c r="F65" s="3">
        <v>19154</v>
      </c>
      <c r="G65" s="3">
        <v>1064</v>
      </c>
      <c r="H65" s="3">
        <v>650</v>
      </c>
      <c r="I65" s="3">
        <v>747</v>
      </c>
      <c r="J65" s="3">
        <v>42667</v>
      </c>
      <c r="K65" s="3">
        <v>242332</v>
      </c>
      <c r="L65" s="3" t="s">
        <v>25</v>
      </c>
    </row>
    <row r="66" spans="1:12" x14ac:dyDescent="0.3">
      <c r="A66" s="3" t="s">
        <v>100</v>
      </c>
      <c r="B66" s="3" t="s">
        <v>13</v>
      </c>
      <c r="C66" s="2">
        <v>45744</v>
      </c>
      <c r="D66" s="3" t="s">
        <v>23</v>
      </c>
      <c r="E66" s="3" t="s">
        <v>15</v>
      </c>
      <c r="F66" s="3">
        <v>6363</v>
      </c>
      <c r="G66" s="3">
        <v>1341</v>
      </c>
      <c r="H66" s="3">
        <v>222</v>
      </c>
      <c r="I66" s="3">
        <v>2712</v>
      </c>
      <c r="J66" s="3">
        <v>19987</v>
      </c>
      <c r="K66" s="3">
        <v>160585</v>
      </c>
      <c r="L66" s="3" t="s">
        <v>25</v>
      </c>
    </row>
    <row r="67" spans="1:12" x14ac:dyDescent="0.3">
      <c r="A67" s="3" t="s">
        <v>101</v>
      </c>
      <c r="B67" s="3" t="s">
        <v>40</v>
      </c>
      <c r="C67" s="2">
        <v>45499</v>
      </c>
      <c r="D67" s="3" t="s">
        <v>23</v>
      </c>
      <c r="E67" s="3" t="s">
        <v>37</v>
      </c>
      <c r="F67" s="3">
        <v>12176</v>
      </c>
      <c r="G67" s="3">
        <v>1005</v>
      </c>
      <c r="H67" s="3">
        <v>862</v>
      </c>
      <c r="I67" s="3">
        <v>974</v>
      </c>
      <c r="J67" s="3">
        <v>2285</v>
      </c>
      <c r="K67" s="3">
        <v>116619</v>
      </c>
      <c r="L67" s="3" t="s">
        <v>29</v>
      </c>
    </row>
    <row r="68" spans="1:12" x14ac:dyDescent="0.3">
      <c r="A68" s="3" t="s">
        <v>102</v>
      </c>
      <c r="B68" s="3" t="s">
        <v>18</v>
      </c>
      <c r="C68" s="2">
        <v>45745</v>
      </c>
      <c r="D68" s="3" t="s">
        <v>27</v>
      </c>
      <c r="E68" s="3" t="s">
        <v>37</v>
      </c>
      <c r="F68" s="3">
        <v>19461</v>
      </c>
      <c r="G68" s="3">
        <v>1382</v>
      </c>
      <c r="H68" s="3">
        <v>445</v>
      </c>
      <c r="I68" s="3">
        <v>1307</v>
      </c>
      <c r="J68" s="3">
        <v>84691</v>
      </c>
      <c r="K68" s="3">
        <v>151453</v>
      </c>
      <c r="L68" s="3" t="s">
        <v>29</v>
      </c>
    </row>
    <row r="69" spans="1:12" x14ac:dyDescent="0.3">
      <c r="A69" s="3" t="s">
        <v>103</v>
      </c>
      <c r="B69" s="3" t="s">
        <v>22</v>
      </c>
      <c r="C69" s="2">
        <v>45634</v>
      </c>
      <c r="D69" s="3" t="s">
        <v>27</v>
      </c>
      <c r="E69" s="3" t="s">
        <v>19</v>
      </c>
      <c r="F69" s="3">
        <v>10427</v>
      </c>
      <c r="G69" s="3">
        <v>1014</v>
      </c>
      <c r="H69" s="3">
        <v>166</v>
      </c>
      <c r="I69" s="3">
        <v>1649</v>
      </c>
      <c r="J69" s="3">
        <v>15145</v>
      </c>
      <c r="K69" s="3">
        <v>59816</v>
      </c>
      <c r="L69" s="3" t="s">
        <v>25</v>
      </c>
    </row>
    <row r="70" spans="1:12" x14ac:dyDescent="0.3">
      <c r="A70" s="3" t="s">
        <v>104</v>
      </c>
      <c r="B70" s="3" t="s">
        <v>18</v>
      </c>
      <c r="C70" s="2">
        <v>45724</v>
      </c>
      <c r="D70" s="3" t="s">
        <v>23</v>
      </c>
      <c r="E70" s="3" t="s">
        <v>37</v>
      </c>
      <c r="F70" s="3">
        <v>10580</v>
      </c>
      <c r="G70" s="3">
        <v>427</v>
      </c>
      <c r="H70" s="3">
        <v>790</v>
      </c>
      <c r="I70" s="3">
        <v>2814</v>
      </c>
      <c r="J70" s="3">
        <v>24916</v>
      </c>
      <c r="K70" s="3">
        <v>213312</v>
      </c>
      <c r="L70" s="3" t="s">
        <v>45</v>
      </c>
    </row>
    <row r="71" spans="1:12" x14ac:dyDescent="0.3">
      <c r="A71" s="3" t="s">
        <v>105</v>
      </c>
      <c r="B71" s="3" t="s">
        <v>40</v>
      </c>
      <c r="C71" s="2">
        <v>45749</v>
      </c>
      <c r="D71" s="3" t="s">
        <v>23</v>
      </c>
      <c r="E71" s="3" t="s">
        <v>41</v>
      </c>
      <c r="F71" s="3">
        <v>6858</v>
      </c>
      <c r="G71" s="3">
        <v>415</v>
      </c>
      <c r="H71" s="3">
        <v>366</v>
      </c>
      <c r="I71" s="3">
        <v>2761</v>
      </c>
      <c r="J71" s="3">
        <v>2988</v>
      </c>
      <c r="K71" s="3">
        <v>177348</v>
      </c>
      <c r="L71" s="3" t="s">
        <v>16</v>
      </c>
    </row>
    <row r="72" spans="1:12" x14ac:dyDescent="0.3">
      <c r="A72" s="3" t="s">
        <v>106</v>
      </c>
      <c r="B72" s="3" t="s">
        <v>40</v>
      </c>
      <c r="C72" s="2">
        <v>45537</v>
      </c>
      <c r="D72" s="3" t="s">
        <v>34</v>
      </c>
      <c r="E72" s="3" t="s">
        <v>28</v>
      </c>
      <c r="F72" s="3">
        <v>12040</v>
      </c>
      <c r="G72" s="3">
        <v>1147</v>
      </c>
      <c r="H72" s="3">
        <v>210</v>
      </c>
      <c r="I72" s="3">
        <v>885</v>
      </c>
      <c r="J72" s="3">
        <v>30360</v>
      </c>
      <c r="K72" s="3">
        <v>119530</v>
      </c>
      <c r="L72" s="3" t="s">
        <v>29</v>
      </c>
    </row>
    <row r="73" spans="1:12" x14ac:dyDescent="0.3">
      <c r="A73" s="3" t="s">
        <v>107</v>
      </c>
      <c r="B73" s="3" t="s">
        <v>40</v>
      </c>
      <c r="C73" s="2">
        <v>45719</v>
      </c>
      <c r="D73" s="3" t="s">
        <v>34</v>
      </c>
      <c r="E73" s="3" t="s">
        <v>50</v>
      </c>
      <c r="F73" s="3">
        <v>24928</v>
      </c>
      <c r="G73" s="3">
        <v>214</v>
      </c>
      <c r="H73" s="3">
        <v>765</v>
      </c>
      <c r="I73" s="3">
        <v>1556</v>
      </c>
      <c r="J73" s="3">
        <v>5239</v>
      </c>
      <c r="K73" s="3">
        <v>194571</v>
      </c>
      <c r="L73" s="3" t="s">
        <v>45</v>
      </c>
    </row>
    <row r="74" spans="1:12" x14ac:dyDescent="0.3">
      <c r="A74" s="3" t="s">
        <v>108</v>
      </c>
      <c r="B74" s="3" t="s">
        <v>22</v>
      </c>
      <c r="C74" s="2">
        <v>45921</v>
      </c>
      <c r="D74" s="3" t="s">
        <v>27</v>
      </c>
      <c r="E74" s="3" t="s">
        <v>15</v>
      </c>
      <c r="F74" s="3">
        <v>23103</v>
      </c>
      <c r="G74" s="3">
        <v>1380</v>
      </c>
      <c r="H74" s="3">
        <v>191</v>
      </c>
      <c r="I74" s="3">
        <v>1547</v>
      </c>
      <c r="J74" s="3">
        <v>77798</v>
      </c>
      <c r="K74" s="3">
        <v>148856</v>
      </c>
      <c r="L74" s="3" t="s">
        <v>20</v>
      </c>
    </row>
    <row r="75" spans="1:12" x14ac:dyDescent="0.3">
      <c r="A75" s="3" t="s">
        <v>109</v>
      </c>
      <c r="B75" s="3" t="s">
        <v>40</v>
      </c>
      <c r="C75" s="2">
        <v>45593</v>
      </c>
      <c r="D75" s="3" t="s">
        <v>34</v>
      </c>
      <c r="E75" s="3" t="s">
        <v>28</v>
      </c>
      <c r="F75" s="3">
        <v>21198</v>
      </c>
      <c r="G75" s="3">
        <v>1484</v>
      </c>
      <c r="H75" s="3">
        <v>174</v>
      </c>
      <c r="I75" s="3">
        <v>1293</v>
      </c>
      <c r="J75" s="3">
        <v>16330</v>
      </c>
      <c r="K75" s="3">
        <v>111635</v>
      </c>
      <c r="L75" s="3" t="s">
        <v>29</v>
      </c>
    </row>
    <row r="76" spans="1:12" x14ac:dyDescent="0.3">
      <c r="A76" s="3" t="s">
        <v>110</v>
      </c>
      <c r="B76" s="3" t="s">
        <v>22</v>
      </c>
      <c r="C76" s="2">
        <v>45505</v>
      </c>
      <c r="D76" s="3" t="s">
        <v>14</v>
      </c>
      <c r="E76" s="3" t="s">
        <v>24</v>
      </c>
      <c r="F76" s="3">
        <v>21758</v>
      </c>
      <c r="G76" s="3">
        <v>1380</v>
      </c>
      <c r="H76" s="3">
        <v>188</v>
      </c>
      <c r="I76" s="3">
        <v>1735</v>
      </c>
      <c r="J76" s="3">
        <v>20998</v>
      </c>
      <c r="K76" s="3">
        <v>147803</v>
      </c>
      <c r="L76" s="3" t="s">
        <v>45</v>
      </c>
    </row>
    <row r="77" spans="1:12" x14ac:dyDescent="0.3">
      <c r="A77" s="3" t="s">
        <v>111</v>
      </c>
      <c r="B77" s="3" t="s">
        <v>40</v>
      </c>
      <c r="C77" s="2">
        <v>45603</v>
      </c>
      <c r="D77" s="3" t="s">
        <v>34</v>
      </c>
      <c r="E77" s="3" t="s">
        <v>32</v>
      </c>
      <c r="F77" s="3">
        <v>17254</v>
      </c>
      <c r="G77" s="3">
        <v>246</v>
      </c>
      <c r="H77" s="3">
        <v>952</v>
      </c>
      <c r="I77" s="3">
        <v>871</v>
      </c>
      <c r="J77" s="3">
        <v>14957</v>
      </c>
      <c r="K77" s="3">
        <v>75946</v>
      </c>
      <c r="L77" s="3" t="s">
        <v>45</v>
      </c>
    </row>
    <row r="78" spans="1:12" x14ac:dyDescent="0.3">
      <c r="A78" s="3" t="s">
        <v>112</v>
      </c>
      <c r="B78" s="3" t="s">
        <v>18</v>
      </c>
      <c r="C78" s="2">
        <v>45720</v>
      </c>
      <c r="D78" s="3" t="s">
        <v>34</v>
      </c>
      <c r="E78" s="3" t="s">
        <v>41</v>
      </c>
      <c r="F78" s="3">
        <v>13470</v>
      </c>
      <c r="G78" s="3">
        <v>523</v>
      </c>
      <c r="H78" s="3">
        <v>280</v>
      </c>
      <c r="I78" s="3">
        <v>2682</v>
      </c>
      <c r="J78" s="3">
        <v>8538</v>
      </c>
      <c r="K78" s="3">
        <v>95204</v>
      </c>
      <c r="L78" s="3" t="s">
        <v>16</v>
      </c>
    </row>
    <row r="79" spans="1:12" x14ac:dyDescent="0.3">
      <c r="A79" s="3" t="s">
        <v>113</v>
      </c>
      <c r="B79" s="3" t="s">
        <v>18</v>
      </c>
      <c r="C79" s="2">
        <v>45460</v>
      </c>
      <c r="D79" s="3" t="s">
        <v>14</v>
      </c>
      <c r="E79" s="3" t="s">
        <v>35</v>
      </c>
      <c r="F79" s="3">
        <v>3252</v>
      </c>
      <c r="G79" s="3">
        <v>1043</v>
      </c>
      <c r="H79" s="3">
        <v>647</v>
      </c>
      <c r="I79" s="3">
        <v>1545</v>
      </c>
      <c r="J79" s="3">
        <v>18859</v>
      </c>
      <c r="K79" s="3">
        <v>222958</v>
      </c>
      <c r="L79" s="3" t="s">
        <v>16</v>
      </c>
    </row>
    <row r="80" spans="1:12" x14ac:dyDescent="0.3">
      <c r="A80" s="3" t="s">
        <v>114</v>
      </c>
      <c r="B80" s="3" t="s">
        <v>13</v>
      </c>
      <c r="C80" s="2">
        <v>45922</v>
      </c>
      <c r="D80" s="3" t="s">
        <v>27</v>
      </c>
      <c r="E80" s="3" t="s">
        <v>115</v>
      </c>
      <c r="F80" s="3">
        <v>8996</v>
      </c>
      <c r="G80" s="3">
        <v>329</v>
      </c>
      <c r="H80" s="3">
        <v>378</v>
      </c>
      <c r="I80" s="3">
        <v>2384</v>
      </c>
      <c r="J80" s="3">
        <v>39404</v>
      </c>
      <c r="K80" s="3">
        <v>242724</v>
      </c>
      <c r="L80" s="3" t="s">
        <v>20</v>
      </c>
    </row>
    <row r="81" spans="1:12" x14ac:dyDescent="0.3">
      <c r="A81" s="3" t="s">
        <v>116</v>
      </c>
      <c r="B81" s="3" t="s">
        <v>18</v>
      </c>
      <c r="C81" s="2">
        <v>45456</v>
      </c>
      <c r="D81" s="3" t="s">
        <v>14</v>
      </c>
      <c r="E81" s="3" t="s">
        <v>15</v>
      </c>
      <c r="F81" s="3">
        <v>14173</v>
      </c>
      <c r="G81" s="3">
        <v>294</v>
      </c>
      <c r="H81" s="3">
        <v>257</v>
      </c>
      <c r="I81" s="3">
        <v>1288</v>
      </c>
      <c r="J81" s="3">
        <v>39466</v>
      </c>
      <c r="K81" s="3">
        <v>55563</v>
      </c>
      <c r="L81" s="3" t="s">
        <v>45</v>
      </c>
    </row>
    <row r="82" spans="1:12" x14ac:dyDescent="0.3">
      <c r="A82" s="3" t="s">
        <v>117</v>
      </c>
      <c r="B82" s="3" t="s">
        <v>13</v>
      </c>
      <c r="C82" s="2">
        <v>45584</v>
      </c>
      <c r="D82" s="3" t="s">
        <v>34</v>
      </c>
      <c r="E82" s="3" t="s">
        <v>28</v>
      </c>
      <c r="F82" s="3">
        <v>6673</v>
      </c>
      <c r="G82" s="3">
        <v>826</v>
      </c>
      <c r="H82" s="3">
        <v>321</v>
      </c>
      <c r="I82" s="3">
        <v>577</v>
      </c>
      <c r="J82" s="3">
        <v>19262</v>
      </c>
      <c r="K82" s="3">
        <v>132324</v>
      </c>
      <c r="L82" s="3" t="s">
        <v>45</v>
      </c>
    </row>
    <row r="83" spans="1:12" x14ac:dyDescent="0.3">
      <c r="A83" s="3" t="s">
        <v>118</v>
      </c>
      <c r="B83" s="3" t="s">
        <v>18</v>
      </c>
      <c r="C83" s="2">
        <v>45497</v>
      </c>
      <c r="D83" s="3" t="s">
        <v>27</v>
      </c>
      <c r="E83" s="3" t="s">
        <v>35</v>
      </c>
      <c r="F83" s="3">
        <v>22914</v>
      </c>
      <c r="G83" s="3">
        <v>954</v>
      </c>
      <c r="H83" s="3">
        <v>584</v>
      </c>
      <c r="I83" s="3">
        <v>1519</v>
      </c>
      <c r="J83" s="3">
        <v>13637</v>
      </c>
      <c r="K83" s="3">
        <v>49847</v>
      </c>
      <c r="L83" s="3" t="s">
        <v>16</v>
      </c>
    </row>
    <row r="84" spans="1:12" x14ac:dyDescent="0.3">
      <c r="A84" s="3" t="s">
        <v>119</v>
      </c>
      <c r="B84" s="3" t="s">
        <v>22</v>
      </c>
      <c r="C84" s="2">
        <v>45580</v>
      </c>
      <c r="D84" s="3" t="s">
        <v>34</v>
      </c>
      <c r="E84" s="3" t="s">
        <v>32</v>
      </c>
      <c r="F84" s="3">
        <v>17781</v>
      </c>
      <c r="G84" s="3">
        <v>993</v>
      </c>
      <c r="H84" s="3">
        <v>627</v>
      </c>
      <c r="I84" s="3">
        <v>2187</v>
      </c>
      <c r="J84" s="3">
        <v>9609</v>
      </c>
      <c r="K84" s="3">
        <v>66155</v>
      </c>
      <c r="L84" s="3" t="s">
        <v>29</v>
      </c>
    </row>
    <row r="85" spans="1:12" x14ac:dyDescent="0.3">
      <c r="A85" s="3" t="s">
        <v>120</v>
      </c>
      <c r="B85" s="3" t="s">
        <v>18</v>
      </c>
      <c r="C85" s="2">
        <v>45635</v>
      </c>
      <c r="D85" s="3" t="s">
        <v>14</v>
      </c>
      <c r="E85" s="3" t="s">
        <v>19</v>
      </c>
      <c r="F85" s="3">
        <v>15051</v>
      </c>
      <c r="G85" s="3">
        <v>268</v>
      </c>
      <c r="H85" s="3">
        <v>251</v>
      </c>
      <c r="I85" s="3">
        <v>783</v>
      </c>
      <c r="J85" s="3">
        <v>34154</v>
      </c>
      <c r="K85" s="3">
        <v>119671</v>
      </c>
      <c r="L85" s="3" t="s">
        <v>29</v>
      </c>
    </row>
    <row r="86" spans="1:12" x14ac:dyDescent="0.3">
      <c r="A86" s="3" t="s">
        <v>121</v>
      </c>
      <c r="B86" s="3" t="s">
        <v>13</v>
      </c>
      <c r="C86" s="2">
        <v>45766</v>
      </c>
      <c r="D86" s="3" t="s">
        <v>14</v>
      </c>
      <c r="E86" s="3" t="s">
        <v>35</v>
      </c>
      <c r="F86" s="3">
        <v>8881</v>
      </c>
      <c r="G86" s="3">
        <v>210</v>
      </c>
      <c r="H86" s="3">
        <v>673</v>
      </c>
      <c r="I86" s="3">
        <v>1565</v>
      </c>
      <c r="J86" s="3">
        <v>24847</v>
      </c>
      <c r="K86" s="3">
        <v>156891</v>
      </c>
      <c r="L86" s="3" t="s">
        <v>25</v>
      </c>
    </row>
    <row r="87" spans="1:12" x14ac:dyDescent="0.3">
      <c r="A87" s="3" t="s">
        <v>122</v>
      </c>
      <c r="B87" s="3" t="s">
        <v>13</v>
      </c>
      <c r="C87" s="2">
        <v>45684</v>
      </c>
      <c r="D87" s="3" t="s">
        <v>34</v>
      </c>
      <c r="E87" s="3" t="s">
        <v>41</v>
      </c>
      <c r="F87" s="3">
        <v>8949</v>
      </c>
      <c r="G87" s="3">
        <v>1477</v>
      </c>
      <c r="H87" s="3">
        <v>424</v>
      </c>
      <c r="I87" s="3">
        <v>1030</v>
      </c>
      <c r="J87" s="3">
        <v>58052</v>
      </c>
      <c r="K87" s="3">
        <v>123310</v>
      </c>
      <c r="L87" s="3" t="s">
        <v>16</v>
      </c>
    </row>
    <row r="88" spans="1:12" x14ac:dyDescent="0.3">
      <c r="A88" s="3" t="s">
        <v>123</v>
      </c>
      <c r="B88" s="3" t="s">
        <v>40</v>
      </c>
      <c r="C88" s="2">
        <v>45449</v>
      </c>
      <c r="D88" s="3" t="s">
        <v>23</v>
      </c>
      <c r="E88" s="3" t="s">
        <v>41</v>
      </c>
      <c r="F88" s="3">
        <v>11521</v>
      </c>
      <c r="G88" s="3">
        <v>1071</v>
      </c>
      <c r="H88" s="3">
        <v>762</v>
      </c>
      <c r="I88" s="3">
        <v>2539</v>
      </c>
      <c r="J88" s="3">
        <v>12701</v>
      </c>
      <c r="K88" s="3">
        <v>238350</v>
      </c>
      <c r="L88" s="3" t="s">
        <v>25</v>
      </c>
    </row>
    <row r="89" spans="1:12" x14ac:dyDescent="0.3">
      <c r="A89" s="3" t="s">
        <v>124</v>
      </c>
      <c r="B89" s="3" t="s">
        <v>22</v>
      </c>
      <c r="C89" s="2">
        <v>45480</v>
      </c>
      <c r="D89" s="3" t="s">
        <v>23</v>
      </c>
      <c r="E89" s="3" t="s">
        <v>19</v>
      </c>
      <c r="F89" s="3">
        <v>24625</v>
      </c>
      <c r="G89" s="3">
        <v>749</v>
      </c>
      <c r="H89" s="3">
        <v>193</v>
      </c>
      <c r="I89" s="3">
        <v>1340</v>
      </c>
      <c r="J89" s="3">
        <v>4890</v>
      </c>
      <c r="K89" s="3">
        <v>189381</v>
      </c>
      <c r="L89" s="3" t="s">
        <v>16</v>
      </c>
    </row>
    <row r="90" spans="1:12" x14ac:dyDescent="0.3">
      <c r="A90" s="3" t="s">
        <v>125</v>
      </c>
      <c r="B90" s="3" t="s">
        <v>18</v>
      </c>
      <c r="C90" s="2">
        <v>45923</v>
      </c>
      <c r="D90" s="3" t="s">
        <v>14</v>
      </c>
      <c r="E90" s="3" t="s">
        <v>115</v>
      </c>
      <c r="F90" s="3">
        <v>10017</v>
      </c>
      <c r="G90" s="3">
        <v>1357</v>
      </c>
      <c r="H90" s="3">
        <v>966</v>
      </c>
      <c r="I90" s="3">
        <v>2871</v>
      </c>
      <c r="J90" s="3">
        <v>14800</v>
      </c>
      <c r="K90" s="3">
        <v>171691</v>
      </c>
      <c r="L90" s="3" t="s">
        <v>20</v>
      </c>
    </row>
    <row r="91" spans="1:12" x14ac:dyDescent="0.3">
      <c r="A91" s="3" t="s">
        <v>126</v>
      </c>
      <c r="B91" s="3" t="s">
        <v>40</v>
      </c>
      <c r="C91" s="2">
        <v>45446</v>
      </c>
      <c r="D91" s="3" t="s">
        <v>14</v>
      </c>
      <c r="E91" s="3" t="s">
        <v>50</v>
      </c>
      <c r="F91" s="3">
        <v>8941</v>
      </c>
      <c r="G91" s="3">
        <v>911</v>
      </c>
      <c r="H91" s="3">
        <v>166</v>
      </c>
      <c r="I91" s="3">
        <v>1217</v>
      </c>
      <c r="J91" s="3">
        <v>68817</v>
      </c>
      <c r="K91" s="3">
        <v>221180</v>
      </c>
      <c r="L91" s="3" t="s">
        <v>45</v>
      </c>
    </row>
    <row r="92" spans="1:12" x14ac:dyDescent="0.3">
      <c r="A92" s="3" t="s">
        <v>127</v>
      </c>
      <c r="B92" s="3" t="s">
        <v>18</v>
      </c>
      <c r="C92" s="2">
        <v>45924</v>
      </c>
      <c r="D92" s="3" t="s">
        <v>23</v>
      </c>
      <c r="E92" s="3" t="s">
        <v>35</v>
      </c>
      <c r="F92" s="3">
        <v>12209</v>
      </c>
      <c r="G92" s="3">
        <v>222</v>
      </c>
      <c r="H92" s="3">
        <v>479</v>
      </c>
      <c r="I92" s="3">
        <v>2748</v>
      </c>
      <c r="J92" s="3">
        <v>24615</v>
      </c>
      <c r="K92" s="3">
        <v>74707</v>
      </c>
      <c r="L92" s="3" t="s">
        <v>20</v>
      </c>
    </row>
    <row r="93" spans="1:12" x14ac:dyDescent="0.3">
      <c r="A93" s="3" t="s">
        <v>128</v>
      </c>
      <c r="B93" s="3" t="s">
        <v>18</v>
      </c>
      <c r="C93" s="2">
        <v>45586</v>
      </c>
      <c r="D93" s="3" t="s">
        <v>23</v>
      </c>
      <c r="E93" s="3" t="s">
        <v>19</v>
      </c>
      <c r="F93" s="3">
        <v>19715</v>
      </c>
      <c r="G93" s="3">
        <v>1014</v>
      </c>
      <c r="H93" s="3">
        <v>718</v>
      </c>
      <c r="I93" s="3">
        <v>1185</v>
      </c>
      <c r="J93" s="3">
        <v>37625</v>
      </c>
      <c r="K93" s="3">
        <v>191409</v>
      </c>
      <c r="L93" s="3" t="s">
        <v>16</v>
      </c>
    </row>
    <row r="94" spans="1:12" x14ac:dyDescent="0.3">
      <c r="A94" s="3" t="s">
        <v>129</v>
      </c>
      <c r="B94" s="3" t="s">
        <v>40</v>
      </c>
      <c r="C94" s="2">
        <v>45637</v>
      </c>
      <c r="D94" s="3" t="s">
        <v>34</v>
      </c>
      <c r="E94" s="3" t="s">
        <v>41</v>
      </c>
      <c r="F94" s="3">
        <v>22645</v>
      </c>
      <c r="G94" s="3">
        <v>545</v>
      </c>
      <c r="H94" s="3">
        <v>972</v>
      </c>
      <c r="I94" s="3">
        <v>321</v>
      </c>
      <c r="J94" s="3">
        <v>8396</v>
      </c>
      <c r="K94" s="3">
        <v>121537</v>
      </c>
      <c r="L94" s="3" t="s">
        <v>45</v>
      </c>
    </row>
    <row r="95" spans="1:12" x14ac:dyDescent="0.3">
      <c r="A95" s="3" t="s">
        <v>130</v>
      </c>
      <c r="B95" s="3" t="s">
        <v>40</v>
      </c>
      <c r="C95" s="2">
        <v>45603</v>
      </c>
      <c r="D95" s="3" t="s">
        <v>34</v>
      </c>
      <c r="E95" s="3" t="s">
        <v>41</v>
      </c>
      <c r="F95" s="3">
        <v>11550</v>
      </c>
      <c r="G95" s="3">
        <v>501</v>
      </c>
      <c r="H95" s="3">
        <v>646</v>
      </c>
      <c r="I95" s="3">
        <v>773</v>
      </c>
      <c r="J95" s="3">
        <v>17841</v>
      </c>
      <c r="K95" s="3">
        <v>237576</v>
      </c>
      <c r="L95" s="3" t="s">
        <v>29</v>
      </c>
    </row>
    <row r="96" spans="1:12" x14ac:dyDescent="0.3">
      <c r="A96" s="3" t="s">
        <v>131</v>
      </c>
      <c r="B96" s="3" t="s">
        <v>40</v>
      </c>
      <c r="C96" s="2">
        <v>45604</v>
      </c>
      <c r="D96" s="3" t="s">
        <v>23</v>
      </c>
      <c r="E96" s="3" t="s">
        <v>28</v>
      </c>
      <c r="F96" s="3">
        <v>23499</v>
      </c>
      <c r="G96" s="3">
        <v>562</v>
      </c>
      <c r="H96" s="3">
        <v>964</v>
      </c>
      <c r="I96" s="3">
        <v>2557</v>
      </c>
      <c r="J96" s="3">
        <v>56890</v>
      </c>
      <c r="K96" s="3">
        <v>218686</v>
      </c>
      <c r="L96" s="3" t="s">
        <v>29</v>
      </c>
    </row>
    <row r="97" spans="1:12" x14ac:dyDescent="0.3">
      <c r="A97" s="3" t="s">
        <v>132</v>
      </c>
      <c r="B97" s="3" t="s">
        <v>40</v>
      </c>
      <c r="C97" s="2">
        <v>45545</v>
      </c>
      <c r="D97" s="3" t="s">
        <v>34</v>
      </c>
      <c r="E97" s="3" t="s">
        <v>37</v>
      </c>
      <c r="F97" s="3">
        <v>6637</v>
      </c>
      <c r="G97" s="3">
        <v>595</v>
      </c>
      <c r="H97" s="3">
        <v>161</v>
      </c>
      <c r="I97" s="3">
        <v>2653</v>
      </c>
      <c r="J97" s="3">
        <v>19334</v>
      </c>
      <c r="K97" s="3">
        <v>131155</v>
      </c>
      <c r="L97" s="3" t="s">
        <v>25</v>
      </c>
    </row>
    <row r="98" spans="1:12" x14ac:dyDescent="0.3">
      <c r="A98" s="3" t="s">
        <v>133</v>
      </c>
      <c r="B98" s="3" t="s">
        <v>40</v>
      </c>
      <c r="C98" s="2">
        <v>45517</v>
      </c>
      <c r="D98" s="3" t="s">
        <v>34</v>
      </c>
      <c r="E98" s="3" t="s">
        <v>115</v>
      </c>
      <c r="F98" s="3">
        <v>6854</v>
      </c>
      <c r="G98" s="3">
        <v>417</v>
      </c>
      <c r="H98" s="3">
        <v>467</v>
      </c>
      <c r="I98" s="3">
        <v>1003</v>
      </c>
      <c r="J98" s="3">
        <v>61333</v>
      </c>
      <c r="K98" s="3">
        <v>40281</v>
      </c>
      <c r="L98" s="3" t="s">
        <v>16</v>
      </c>
    </row>
    <row r="99" spans="1:12" x14ac:dyDescent="0.3">
      <c r="A99" s="3" t="s">
        <v>134</v>
      </c>
      <c r="B99" s="3" t="s">
        <v>18</v>
      </c>
      <c r="C99" s="2">
        <v>45453</v>
      </c>
      <c r="D99" s="3" t="s">
        <v>27</v>
      </c>
      <c r="E99" s="3" t="s">
        <v>35</v>
      </c>
      <c r="F99" s="3">
        <v>21561</v>
      </c>
      <c r="G99" s="3">
        <v>340</v>
      </c>
      <c r="H99" s="3">
        <v>741</v>
      </c>
      <c r="I99" s="3">
        <v>986</v>
      </c>
      <c r="J99" s="3">
        <v>24826</v>
      </c>
      <c r="K99" s="3">
        <v>198492</v>
      </c>
      <c r="L99" s="3" t="s">
        <v>16</v>
      </c>
    </row>
    <row r="100" spans="1:12" x14ac:dyDescent="0.3">
      <c r="A100" s="3" t="s">
        <v>135</v>
      </c>
      <c r="B100" s="3" t="s">
        <v>40</v>
      </c>
      <c r="C100" s="2">
        <v>45475</v>
      </c>
      <c r="D100" s="3" t="s">
        <v>34</v>
      </c>
      <c r="E100" s="3" t="s">
        <v>35</v>
      </c>
      <c r="F100" s="3">
        <v>12320</v>
      </c>
      <c r="G100" s="3">
        <v>1157</v>
      </c>
      <c r="H100" s="3">
        <v>365</v>
      </c>
      <c r="I100" s="3">
        <v>584</v>
      </c>
      <c r="J100" s="3">
        <v>66634</v>
      </c>
      <c r="K100" s="3">
        <v>210102</v>
      </c>
      <c r="L100" s="3" t="s">
        <v>29</v>
      </c>
    </row>
    <row r="101" spans="1:12" x14ac:dyDescent="0.3">
      <c r="A101" s="3" t="s">
        <v>136</v>
      </c>
      <c r="B101" s="3" t="s">
        <v>22</v>
      </c>
      <c r="C101" s="2">
        <v>45925</v>
      </c>
      <c r="D101" s="3" t="s">
        <v>14</v>
      </c>
      <c r="E101" s="3" t="s">
        <v>32</v>
      </c>
      <c r="F101" s="3">
        <v>20564</v>
      </c>
      <c r="G101" s="3">
        <v>1433</v>
      </c>
      <c r="H101" s="3">
        <v>488</v>
      </c>
      <c r="I101" s="3">
        <v>1015</v>
      </c>
      <c r="J101" s="3">
        <v>24333</v>
      </c>
      <c r="K101" s="3">
        <v>172130</v>
      </c>
      <c r="L101" s="3" t="s">
        <v>20</v>
      </c>
    </row>
    <row r="102" spans="1:12" x14ac:dyDescent="0.3">
      <c r="A102" s="3" t="s">
        <v>137</v>
      </c>
      <c r="B102" s="3" t="s">
        <v>13</v>
      </c>
      <c r="C102" s="2">
        <v>45583</v>
      </c>
      <c r="D102" s="3" t="s">
        <v>34</v>
      </c>
      <c r="E102" s="3" t="s">
        <v>19</v>
      </c>
      <c r="F102" s="3">
        <v>6892</v>
      </c>
      <c r="G102" s="3">
        <v>1184</v>
      </c>
      <c r="H102" s="3">
        <v>925</v>
      </c>
      <c r="I102" s="3">
        <v>1062</v>
      </c>
      <c r="J102" s="3">
        <v>75008</v>
      </c>
      <c r="K102" s="3">
        <v>116260</v>
      </c>
      <c r="L102" s="3" t="s">
        <v>45</v>
      </c>
    </row>
    <row r="103" spans="1:12" x14ac:dyDescent="0.3">
      <c r="A103" s="3" t="s">
        <v>138</v>
      </c>
      <c r="B103" s="3" t="s">
        <v>40</v>
      </c>
      <c r="C103" s="2">
        <v>45926</v>
      </c>
      <c r="D103" s="3" t="s">
        <v>34</v>
      </c>
      <c r="E103" s="3" t="s">
        <v>32</v>
      </c>
      <c r="F103" s="3">
        <v>9043</v>
      </c>
      <c r="G103" s="3">
        <v>1192</v>
      </c>
      <c r="H103" s="3">
        <v>810</v>
      </c>
      <c r="I103" s="3">
        <v>1550</v>
      </c>
      <c r="J103" s="3">
        <v>5221</v>
      </c>
      <c r="K103" s="3">
        <v>199476</v>
      </c>
      <c r="L103" s="3" t="s">
        <v>20</v>
      </c>
    </row>
    <row r="104" spans="1:12" x14ac:dyDescent="0.3">
      <c r="A104" s="3" t="s">
        <v>139</v>
      </c>
      <c r="B104" s="3" t="s">
        <v>40</v>
      </c>
      <c r="C104" s="2">
        <v>45927</v>
      </c>
      <c r="D104" s="3" t="s">
        <v>23</v>
      </c>
      <c r="E104" s="3" t="s">
        <v>19</v>
      </c>
      <c r="F104" s="3">
        <v>18521</v>
      </c>
      <c r="G104" s="3">
        <v>1027</v>
      </c>
      <c r="H104" s="3">
        <v>230</v>
      </c>
      <c r="I104" s="3">
        <v>1247</v>
      </c>
      <c r="J104" s="3">
        <v>39588</v>
      </c>
      <c r="K104" s="3">
        <v>200928</v>
      </c>
      <c r="L104" s="3" t="s">
        <v>20</v>
      </c>
    </row>
    <row r="105" spans="1:12" x14ac:dyDescent="0.3">
      <c r="A105" s="3" t="s">
        <v>140</v>
      </c>
      <c r="B105" s="3" t="s">
        <v>18</v>
      </c>
      <c r="C105" s="2">
        <v>45739</v>
      </c>
      <c r="D105" s="3" t="s">
        <v>14</v>
      </c>
      <c r="E105" s="3" t="s">
        <v>24</v>
      </c>
      <c r="F105" s="3">
        <v>24711</v>
      </c>
      <c r="G105" s="3">
        <v>882</v>
      </c>
      <c r="H105" s="3">
        <v>876</v>
      </c>
      <c r="I105" s="3">
        <v>2728</v>
      </c>
      <c r="J105" s="3">
        <v>32015</v>
      </c>
      <c r="K105" s="3">
        <v>180272</v>
      </c>
      <c r="L105" s="3" t="s">
        <v>29</v>
      </c>
    </row>
    <row r="106" spans="1:12" x14ac:dyDescent="0.3">
      <c r="A106" s="3" t="s">
        <v>141</v>
      </c>
      <c r="B106" s="3" t="s">
        <v>40</v>
      </c>
      <c r="C106" s="2">
        <v>45457</v>
      </c>
      <c r="D106" s="3" t="s">
        <v>34</v>
      </c>
      <c r="E106" s="3" t="s">
        <v>41</v>
      </c>
      <c r="F106" s="3">
        <v>21856</v>
      </c>
      <c r="G106" s="3">
        <v>1203</v>
      </c>
      <c r="H106" s="3">
        <v>634</v>
      </c>
      <c r="I106" s="3">
        <v>2807</v>
      </c>
      <c r="J106" s="3">
        <v>3647</v>
      </c>
      <c r="K106" s="3">
        <v>104178</v>
      </c>
      <c r="L106" s="3" t="s">
        <v>29</v>
      </c>
    </row>
    <row r="107" spans="1:12" x14ac:dyDescent="0.3">
      <c r="A107" s="3" t="s">
        <v>142</v>
      </c>
      <c r="B107" s="3" t="s">
        <v>40</v>
      </c>
      <c r="C107" s="2">
        <v>45692</v>
      </c>
      <c r="D107" s="3" t="s">
        <v>34</v>
      </c>
      <c r="E107" s="3" t="s">
        <v>37</v>
      </c>
      <c r="F107" s="3">
        <v>23833</v>
      </c>
      <c r="G107" s="3">
        <v>555</v>
      </c>
      <c r="H107" s="3">
        <v>523</v>
      </c>
      <c r="I107" s="3">
        <v>1330</v>
      </c>
      <c r="J107" s="3">
        <v>69141</v>
      </c>
      <c r="K107" s="3">
        <v>73997</v>
      </c>
      <c r="L107" s="3" t="s">
        <v>29</v>
      </c>
    </row>
    <row r="108" spans="1:12" x14ac:dyDescent="0.3">
      <c r="A108" s="3" t="s">
        <v>143</v>
      </c>
      <c r="B108" s="3" t="s">
        <v>40</v>
      </c>
      <c r="C108" s="2">
        <v>45464</v>
      </c>
      <c r="D108" s="3" t="s">
        <v>27</v>
      </c>
      <c r="E108" s="3" t="s">
        <v>28</v>
      </c>
      <c r="F108" s="3">
        <v>21216</v>
      </c>
      <c r="G108" s="3">
        <v>1207</v>
      </c>
      <c r="H108" s="3">
        <v>859</v>
      </c>
      <c r="I108" s="3">
        <v>328</v>
      </c>
      <c r="J108" s="3">
        <v>91296</v>
      </c>
      <c r="K108" s="3">
        <v>196683</v>
      </c>
      <c r="L108" s="3" t="s">
        <v>25</v>
      </c>
    </row>
    <row r="109" spans="1:12" x14ac:dyDescent="0.3">
      <c r="A109" s="3" t="s">
        <v>144</v>
      </c>
      <c r="B109" s="3" t="s">
        <v>18</v>
      </c>
      <c r="C109" s="2">
        <v>45928</v>
      </c>
      <c r="D109" s="3" t="s">
        <v>34</v>
      </c>
      <c r="E109" s="3" t="s">
        <v>37</v>
      </c>
      <c r="F109" s="3">
        <v>21963</v>
      </c>
      <c r="G109" s="3">
        <v>1356</v>
      </c>
      <c r="H109" s="3">
        <v>349</v>
      </c>
      <c r="I109" s="3">
        <v>1206</v>
      </c>
      <c r="J109" s="3">
        <v>51755</v>
      </c>
      <c r="K109" s="3">
        <v>159273</v>
      </c>
      <c r="L109" s="3" t="s">
        <v>20</v>
      </c>
    </row>
    <row r="110" spans="1:12" x14ac:dyDescent="0.3">
      <c r="A110" s="3" t="s">
        <v>145</v>
      </c>
      <c r="B110" s="3" t="s">
        <v>40</v>
      </c>
      <c r="C110" s="2">
        <v>45512</v>
      </c>
      <c r="D110" s="3" t="s">
        <v>34</v>
      </c>
      <c r="E110" s="3" t="s">
        <v>37</v>
      </c>
      <c r="F110" s="3">
        <v>24355</v>
      </c>
      <c r="G110" s="3">
        <v>1087</v>
      </c>
      <c r="H110" s="3">
        <v>686</v>
      </c>
      <c r="I110" s="3">
        <v>2426</v>
      </c>
      <c r="J110" s="3">
        <v>24963</v>
      </c>
      <c r="K110" s="3">
        <v>212307</v>
      </c>
      <c r="L110" s="3" t="s">
        <v>16</v>
      </c>
    </row>
    <row r="111" spans="1:12" x14ac:dyDescent="0.3">
      <c r="A111" s="3" t="s">
        <v>146</v>
      </c>
      <c r="B111" s="3" t="s">
        <v>13</v>
      </c>
      <c r="C111" s="2">
        <v>45502</v>
      </c>
      <c r="D111" s="3" t="s">
        <v>27</v>
      </c>
      <c r="E111" s="3" t="s">
        <v>37</v>
      </c>
      <c r="F111" s="3">
        <v>6164</v>
      </c>
      <c r="G111" s="3">
        <v>326</v>
      </c>
      <c r="H111" s="3">
        <v>615</v>
      </c>
      <c r="I111" s="3">
        <v>2806</v>
      </c>
      <c r="J111" s="3">
        <v>38579</v>
      </c>
      <c r="K111" s="3">
        <v>206129</v>
      </c>
      <c r="L111" s="3" t="s">
        <v>45</v>
      </c>
    </row>
    <row r="112" spans="1:12" x14ac:dyDescent="0.3">
      <c r="A112" s="3" t="s">
        <v>147</v>
      </c>
      <c r="B112" s="3" t="s">
        <v>18</v>
      </c>
      <c r="C112" s="2">
        <v>45619</v>
      </c>
      <c r="D112" s="3" t="s">
        <v>23</v>
      </c>
      <c r="E112" s="3" t="s">
        <v>32</v>
      </c>
      <c r="F112" s="3">
        <v>9941</v>
      </c>
      <c r="G112" s="3">
        <v>1329</v>
      </c>
      <c r="H112" s="3">
        <v>238</v>
      </c>
      <c r="I112" s="3">
        <v>869</v>
      </c>
      <c r="J112" s="3">
        <v>40281</v>
      </c>
      <c r="K112" s="3">
        <v>172311</v>
      </c>
      <c r="L112" s="3" t="s">
        <v>25</v>
      </c>
    </row>
    <row r="113" spans="1:12" x14ac:dyDescent="0.3">
      <c r="A113" s="3" t="s">
        <v>148</v>
      </c>
      <c r="B113" s="3" t="s">
        <v>13</v>
      </c>
      <c r="C113" s="2">
        <v>45570</v>
      </c>
      <c r="D113" s="3" t="s">
        <v>34</v>
      </c>
      <c r="E113" s="3" t="s">
        <v>19</v>
      </c>
      <c r="F113" s="3">
        <v>16388</v>
      </c>
      <c r="G113" s="3">
        <v>1208</v>
      </c>
      <c r="H113" s="3">
        <v>417</v>
      </c>
      <c r="I113" s="3">
        <v>2306</v>
      </c>
      <c r="J113" s="3">
        <v>16865</v>
      </c>
      <c r="K113" s="3">
        <v>236733</v>
      </c>
      <c r="L113" s="3" t="s">
        <v>16</v>
      </c>
    </row>
    <row r="114" spans="1:12" x14ac:dyDescent="0.3">
      <c r="A114" s="3" t="s">
        <v>149</v>
      </c>
      <c r="B114" s="3" t="s">
        <v>18</v>
      </c>
      <c r="C114" s="2">
        <v>45929</v>
      </c>
      <c r="D114" s="3" t="s">
        <v>27</v>
      </c>
      <c r="E114" s="3" t="s">
        <v>55</v>
      </c>
      <c r="F114" s="3">
        <v>7569</v>
      </c>
      <c r="G114" s="3">
        <v>803</v>
      </c>
      <c r="H114" s="3">
        <v>804</v>
      </c>
      <c r="I114" s="3">
        <v>1753</v>
      </c>
      <c r="J114" s="3">
        <v>43582</v>
      </c>
      <c r="K114" s="3">
        <v>166945</v>
      </c>
      <c r="L114" s="3" t="s">
        <v>20</v>
      </c>
    </row>
    <row r="115" spans="1:12" x14ac:dyDescent="0.3">
      <c r="A115" s="3" t="s">
        <v>150</v>
      </c>
      <c r="B115" s="3" t="s">
        <v>40</v>
      </c>
      <c r="C115" s="2">
        <v>45610</v>
      </c>
      <c r="D115" s="3" t="s">
        <v>14</v>
      </c>
      <c r="E115" s="3" t="s">
        <v>24</v>
      </c>
      <c r="F115" s="3">
        <v>6300</v>
      </c>
      <c r="G115" s="3">
        <v>1213</v>
      </c>
      <c r="H115" s="3">
        <v>720</v>
      </c>
      <c r="I115" s="3">
        <v>1037</v>
      </c>
      <c r="J115" s="3">
        <v>39569</v>
      </c>
      <c r="K115" s="3">
        <v>85272</v>
      </c>
      <c r="L115" s="3" t="s">
        <v>29</v>
      </c>
    </row>
    <row r="116" spans="1:12" x14ac:dyDescent="0.3">
      <c r="A116" s="3" t="s">
        <v>151</v>
      </c>
      <c r="B116" s="3" t="s">
        <v>13</v>
      </c>
      <c r="C116" s="2">
        <v>45930</v>
      </c>
      <c r="D116" s="3" t="s">
        <v>23</v>
      </c>
      <c r="E116" s="3" t="s">
        <v>15</v>
      </c>
      <c r="F116" s="3">
        <v>8269</v>
      </c>
      <c r="G116" s="3">
        <v>250</v>
      </c>
      <c r="H116" s="3">
        <v>638</v>
      </c>
      <c r="I116" s="3">
        <v>815</v>
      </c>
      <c r="J116" s="3">
        <v>41991</v>
      </c>
      <c r="K116" s="3">
        <v>129393</v>
      </c>
      <c r="L116" s="3" t="s">
        <v>20</v>
      </c>
    </row>
    <row r="117" spans="1:12" x14ac:dyDescent="0.3">
      <c r="A117" s="3" t="s">
        <v>152</v>
      </c>
      <c r="B117" s="3" t="s">
        <v>18</v>
      </c>
      <c r="C117" s="2">
        <v>45734</v>
      </c>
      <c r="D117" s="3" t="s">
        <v>14</v>
      </c>
      <c r="E117" s="3" t="s">
        <v>37</v>
      </c>
      <c r="F117" s="3">
        <v>5818</v>
      </c>
      <c r="G117" s="3">
        <v>1252</v>
      </c>
      <c r="H117" s="3">
        <v>687</v>
      </c>
      <c r="I117" s="3">
        <v>2300</v>
      </c>
      <c r="J117" s="3">
        <v>25081</v>
      </c>
      <c r="K117" s="3">
        <v>101212</v>
      </c>
      <c r="L117" s="3" t="s">
        <v>45</v>
      </c>
    </row>
    <row r="118" spans="1:12" x14ac:dyDescent="0.3">
      <c r="A118" s="3" t="s">
        <v>153</v>
      </c>
      <c r="B118" s="3" t="s">
        <v>22</v>
      </c>
      <c r="C118" s="2">
        <v>45600</v>
      </c>
      <c r="D118" s="3" t="s">
        <v>14</v>
      </c>
      <c r="E118" s="3" t="s">
        <v>50</v>
      </c>
      <c r="F118" s="3">
        <v>14015</v>
      </c>
      <c r="G118" s="3">
        <v>978</v>
      </c>
      <c r="H118" s="3">
        <v>196</v>
      </c>
      <c r="I118" s="3">
        <v>2744</v>
      </c>
      <c r="J118" s="3">
        <v>20190</v>
      </c>
      <c r="K118" s="3">
        <v>186470</v>
      </c>
      <c r="L118" s="3" t="s">
        <v>25</v>
      </c>
    </row>
    <row r="119" spans="1:12" x14ac:dyDescent="0.3">
      <c r="A119" s="3" t="s">
        <v>154</v>
      </c>
      <c r="B119" s="3" t="s">
        <v>40</v>
      </c>
      <c r="C119" s="2">
        <v>45600</v>
      </c>
      <c r="D119" s="3" t="s">
        <v>27</v>
      </c>
      <c r="E119" s="3" t="s">
        <v>32</v>
      </c>
      <c r="F119" s="3">
        <v>14234</v>
      </c>
      <c r="G119" s="3">
        <v>1013</v>
      </c>
      <c r="H119" s="3">
        <v>437</v>
      </c>
      <c r="I119" s="3">
        <v>338</v>
      </c>
      <c r="J119" s="3">
        <v>67754</v>
      </c>
      <c r="K119" s="3">
        <v>160030</v>
      </c>
      <c r="L119" s="3" t="s">
        <v>25</v>
      </c>
    </row>
    <row r="120" spans="1:12" x14ac:dyDescent="0.3">
      <c r="A120" s="3" t="s">
        <v>155</v>
      </c>
      <c r="B120" s="3" t="s">
        <v>18</v>
      </c>
      <c r="C120" s="2">
        <v>45695</v>
      </c>
      <c r="D120" s="3" t="s">
        <v>34</v>
      </c>
      <c r="E120" s="3" t="s">
        <v>115</v>
      </c>
      <c r="F120" s="3">
        <v>20290</v>
      </c>
      <c r="G120" s="3">
        <v>619</v>
      </c>
      <c r="H120" s="3">
        <v>927</v>
      </c>
      <c r="I120" s="3">
        <v>1186</v>
      </c>
      <c r="J120" s="3">
        <v>8924</v>
      </c>
      <c r="K120" s="3">
        <v>96503</v>
      </c>
      <c r="L120" s="3" t="s">
        <v>45</v>
      </c>
    </row>
    <row r="121" spans="1:12" x14ac:dyDescent="0.3">
      <c r="A121" s="3" t="s">
        <v>156</v>
      </c>
      <c r="B121" s="3" t="s">
        <v>22</v>
      </c>
      <c r="C121" s="2">
        <v>45586</v>
      </c>
      <c r="D121" s="3" t="s">
        <v>27</v>
      </c>
      <c r="E121" s="3" t="s">
        <v>28</v>
      </c>
      <c r="F121" s="3">
        <v>8254</v>
      </c>
      <c r="G121" s="3">
        <v>1405</v>
      </c>
      <c r="H121" s="3">
        <v>165</v>
      </c>
      <c r="I121" s="3">
        <v>2504</v>
      </c>
      <c r="J121" s="3">
        <v>8081</v>
      </c>
      <c r="K121" s="3">
        <v>177710</v>
      </c>
      <c r="L121" s="3" t="s">
        <v>16</v>
      </c>
    </row>
    <row r="122" spans="1:12" x14ac:dyDescent="0.3">
      <c r="A122" s="3" t="s">
        <v>157</v>
      </c>
      <c r="B122" s="3" t="s">
        <v>18</v>
      </c>
      <c r="C122" s="2">
        <v>45502</v>
      </c>
      <c r="D122" s="3" t="s">
        <v>27</v>
      </c>
      <c r="E122" s="3" t="s">
        <v>15</v>
      </c>
      <c r="F122" s="3">
        <v>19144</v>
      </c>
      <c r="G122" s="3">
        <v>1182</v>
      </c>
      <c r="H122" s="3">
        <v>860</v>
      </c>
      <c r="I122" s="3">
        <v>1398</v>
      </c>
      <c r="J122" s="3">
        <v>4185</v>
      </c>
      <c r="K122" s="3">
        <v>46570</v>
      </c>
      <c r="L122" s="3" t="s">
        <v>16</v>
      </c>
    </row>
    <row r="123" spans="1:12" x14ac:dyDescent="0.3">
      <c r="A123" s="3" t="s">
        <v>158</v>
      </c>
      <c r="B123" s="3" t="s">
        <v>22</v>
      </c>
      <c r="C123" s="2">
        <v>45567</v>
      </c>
      <c r="D123" s="3" t="s">
        <v>27</v>
      </c>
      <c r="E123" s="3" t="s">
        <v>55</v>
      </c>
      <c r="F123" s="3">
        <v>9350</v>
      </c>
      <c r="G123" s="3">
        <v>1024</v>
      </c>
      <c r="H123" s="3">
        <v>550</v>
      </c>
      <c r="I123" s="3">
        <v>2123</v>
      </c>
      <c r="J123" s="3">
        <v>53916</v>
      </c>
      <c r="K123" s="3">
        <v>108785</v>
      </c>
      <c r="L123" s="3" t="s">
        <v>25</v>
      </c>
    </row>
    <row r="124" spans="1:12" x14ac:dyDescent="0.3">
      <c r="A124" s="3" t="s">
        <v>159</v>
      </c>
      <c r="B124" s="3" t="s">
        <v>40</v>
      </c>
      <c r="C124" s="2">
        <v>45457</v>
      </c>
      <c r="D124" s="3" t="s">
        <v>27</v>
      </c>
      <c r="E124" s="3" t="s">
        <v>50</v>
      </c>
      <c r="F124" s="3">
        <v>17183</v>
      </c>
      <c r="G124" s="3">
        <v>1224</v>
      </c>
      <c r="H124" s="3">
        <v>943</v>
      </c>
      <c r="I124" s="3">
        <v>2010</v>
      </c>
      <c r="J124" s="3">
        <v>21481</v>
      </c>
      <c r="K124" s="3">
        <v>49110</v>
      </c>
      <c r="L124" s="3" t="s">
        <v>25</v>
      </c>
    </row>
    <row r="125" spans="1:12" x14ac:dyDescent="0.3">
      <c r="A125" s="3" t="s">
        <v>160</v>
      </c>
      <c r="B125" s="3" t="s">
        <v>13</v>
      </c>
      <c r="C125" s="2">
        <v>45753</v>
      </c>
      <c r="D125" s="3" t="s">
        <v>23</v>
      </c>
      <c r="E125" s="3" t="s">
        <v>55</v>
      </c>
      <c r="F125" s="3">
        <v>8238</v>
      </c>
      <c r="G125" s="3">
        <v>766</v>
      </c>
      <c r="H125" s="3">
        <v>235</v>
      </c>
      <c r="I125" s="3">
        <v>1273</v>
      </c>
      <c r="J125" s="3">
        <v>4706</v>
      </c>
      <c r="K125" s="3">
        <v>119141</v>
      </c>
      <c r="L125" s="3" t="s">
        <v>29</v>
      </c>
    </row>
    <row r="126" spans="1:12" x14ac:dyDescent="0.3">
      <c r="A126" s="3" t="s">
        <v>161</v>
      </c>
      <c r="B126" s="3" t="s">
        <v>22</v>
      </c>
      <c r="C126" s="2">
        <v>45543</v>
      </c>
      <c r="D126" s="3" t="s">
        <v>34</v>
      </c>
      <c r="E126" s="3" t="s">
        <v>15</v>
      </c>
      <c r="F126" s="3">
        <v>8090</v>
      </c>
      <c r="G126" s="3">
        <v>570</v>
      </c>
      <c r="H126" s="3">
        <v>399</v>
      </c>
      <c r="I126" s="3">
        <v>1862</v>
      </c>
      <c r="J126" s="3">
        <v>34088</v>
      </c>
      <c r="K126" s="3">
        <v>52115</v>
      </c>
      <c r="L126" s="3" t="s">
        <v>16</v>
      </c>
    </row>
    <row r="127" spans="1:12" x14ac:dyDescent="0.3">
      <c r="A127" s="3" t="s">
        <v>162</v>
      </c>
      <c r="B127" s="3" t="s">
        <v>18</v>
      </c>
      <c r="C127" s="2">
        <v>45744</v>
      </c>
      <c r="D127" s="3" t="s">
        <v>14</v>
      </c>
      <c r="E127" s="3" t="s">
        <v>37</v>
      </c>
      <c r="F127" s="3">
        <v>13637</v>
      </c>
      <c r="G127" s="3">
        <v>1135</v>
      </c>
      <c r="H127" s="3">
        <v>540</v>
      </c>
      <c r="I127" s="3">
        <v>1288</v>
      </c>
      <c r="J127" s="3">
        <v>45183</v>
      </c>
      <c r="K127" s="3">
        <v>79062</v>
      </c>
      <c r="L127" s="3" t="s">
        <v>45</v>
      </c>
    </row>
    <row r="128" spans="1:12" x14ac:dyDescent="0.3">
      <c r="A128" s="3" t="s">
        <v>163</v>
      </c>
      <c r="B128" s="3" t="s">
        <v>40</v>
      </c>
      <c r="C128" s="2">
        <v>45684</v>
      </c>
      <c r="D128" s="3" t="s">
        <v>14</v>
      </c>
      <c r="E128" s="3" t="s">
        <v>50</v>
      </c>
      <c r="F128" s="3">
        <v>24415</v>
      </c>
      <c r="G128" s="3">
        <v>860</v>
      </c>
      <c r="H128" s="3">
        <v>931</v>
      </c>
      <c r="I128" s="3">
        <v>320</v>
      </c>
      <c r="J128" s="3">
        <v>65049</v>
      </c>
      <c r="K128" s="3">
        <v>62911</v>
      </c>
      <c r="L128" s="3" t="s">
        <v>16</v>
      </c>
    </row>
    <row r="129" spans="1:12" x14ac:dyDescent="0.3">
      <c r="A129" s="3" t="s">
        <v>164</v>
      </c>
      <c r="B129" s="3" t="s">
        <v>22</v>
      </c>
      <c r="C129" s="2">
        <v>45667</v>
      </c>
      <c r="D129" s="3" t="s">
        <v>34</v>
      </c>
      <c r="E129" s="3" t="s">
        <v>55</v>
      </c>
      <c r="F129" s="3">
        <v>14647</v>
      </c>
      <c r="G129" s="3">
        <v>1168</v>
      </c>
      <c r="H129" s="3">
        <v>484</v>
      </c>
      <c r="I129" s="3">
        <v>2650</v>
      </c>
      <c r="J129" s="3">
        <v>27217</v>
      </c>
      <c r="K129" s="3">
        <v>144061</v>
      </c>
      <c r="L129" s="3" t="s">
        <v>29</v>
      </c>
    </row>
    <row r="130" spans="1:12" x14ac:dyDescent="0.3">
      <c r="A130" s="3" t="s">
        <v>165</v>
      </c>
      <c r="B130" s="3" t="s">
        <v>18</v>
      </c>
      <c r="C130" s="2">
        <v>45494</v>
      </c>
      <c r="D130" s="3" t="s">
        <v>14</v>
      </c>
      <c r="E130" s="3" t="s">
        <v>28</v>
      </c>
      <c r="F130" s="3">
        <v>11911</v>
      </c>
      <c r="G130" s="3">
        <v>1360</v>
      </c>
      <c r="H130" s="3">
        <v>778</v>
      </c>
      <c r="I130" s="3">
        <v>1168</v>
      </c>
      <c r="J130" s="3">
        <v>16483</v>
      </c>
      <c r="K130" s="3">
        <v>72556</v>
      </c>
      <c r="L130" s="3" t="s">
        <v>25</v>
      </c>
    </row>
    <row r="131" spans="1:12" x14ac:dyDescent="0.3">
      <c r="A131" s="3" t="s">
        <v>166</v>
      </c>
      <c r="B131" s="3" t="s">
        <v>18</v>
      </c>
      <c r="C131" s="2">
        <v>45564</v>
      </c>
      <c r="D131" s="3" t="s">
        <v>34</v>
      </c>
      <c r="E131" s="3" t="s">
        <v>19</v>
      </c>
      <c r="F131" s="3">
        <v>10472</v>
      </c>
      <c r="G131" s="3">
        <v>401</v>
      </c>
      <c r="H131" s="3">
        <v>668</v>
      </c>
      <c r="I131" s="3">
        <v>383</v>
      </c>
      <c r="J131" s="3">
        <v>37571</v>
      </c>
      <c r="K131" s="3">
        <v>249203</v>
      </c>
      <c r="L131" s="3" t="s">
        <v>25</v>
      </c>
    </row>
    <row r="132" spans="1:12" x14ac:dyDescent="0.3">
      <c r="A132" s="3" t="s">
        <v>167</v>
      </c>
      <c r="B132" s="3" t="s">
        <v>18</v>
      </c>
      <c r="C132" s="2">
        <v>45586</v>
      </c>
      <c r="D132" s="3" t="s">
        <v>14</v>
      </c>
      <c r="E132" s="3" t="s">
        <v>41</v>
      </c>
      <c r="F132" s="3">
        <v>20271</v>
      </c>
      <c r="G132" s="3">
        <v>512</v>
      </c>
      <c r="H132" s="3">
        <v>286</v>
      </c>
      <c r="I132" s="3">
        <v>1982</v>
      </c>
      <c r="J132" s="3">
        <v>43225</v>
      </c>
      <c r="K132" s="3">
        <v>168335</v>
      </c>
      <c r="L132" s="3" t="s">
        <v>29</v>
      </c>
    </row>
    <row r="133" spans="1:12" x14ac:dyDescent="0.3">
      <c r="A133" s="3" t="s">
        <v>168</v>
      </c>
      <c r="B133" s="3" t="s">
        <v>22</v>
      </c>
      <c r="C133" s="2">
        <v>45720</v>
      </c>
      <c r="D133" s="3" t="s">
        <v>27</v>
      </c>
      <c r="E133" s="3" t="s">
        <v>19</v>
      </c>
      <c r="F133" s="3">
        <v>5266</v>
      </c>
      <c r="G133" s="3">
        <v>316</v>
      </c>
      <c r="H133" s="3">
        <v>837</v>
      </c>
      <c r="I133" s="3">
        <v>2276</v>
      </c>
      <c r="J133" s="3">
        <v>20967</v>
      </c>
      <c r="K133" s="3">
        <v>41969</v>
      </c>
      <c r="L133" s="3" t="s">
        <v>45</v>
      </c>
    </row>
    <row r="134" spans="1:12" x14ac:dyDescent="0.3">
      <c r="A134" s="3" t="s">
        <v>169</v>
      </c>
      <c r="B134" s="3" t="s">
        <v>22</v>
      </c>
      <c r="C134" s="2">
        <v>45694</v>
      </c>
      <c r="D134" s="3" t="s">
        <v>14</v>
      </c>
      <c r="E134" s="3" t="s">
        <v>15</v>
      </c>
      <c r="F134" s="3">
        <v>2666</v>
      </c>
      <c r="G134" s="3">
        <v>1136</v>
      </c>
      <c r="H134" s="3">
        <v>989</v>
      </c>
      <c r="I134" s="3">
        <v>1710</v>
      </c>
      <c r="J134" s="3">
        <v>36467</v>
      </c>
      <c r="K134" s="3">
        <v>83753</v>
      </c>
      <c r="L134" s="3" t="s">
        <v>25</v>
      </c>
    </row>
    <row r="135" spans="1:12" x14ac:dyDescent="0.3">
      <c r="A135" s="3" t="s">
        <v>170</v>
      </c>
      <c r="B135" s="3" t="s">
        <v>22</v>
      </c>
      <c r="C135" s="2">
        <v>45931</v>
      </c>
      <c r="D135" s="3" t="s">
        <v>34</v>
      </c>
      <c r="E135" s="3" t="s">
        <v>32</v>
      </c>
      <c r="F135" s="3">
        <v>6188</v>
      </c>
      <c r="G135" s="3">
        <v>774</v>
      </c>
      <c r="H135" s="3">
        <v>647</v>
      </c>
      <c r="I135" s="3">
        <v>1830</v>
      </c>
      <c r="J135" s="3">
        <v>55436</v>
      </c>
      <c r="K135" s="3">
        <v>175542</v>
      </c>
      <c r="L135" s="3" t="s">
        <v>20</v>
      </c>
    </row>
    <row r="136" spans="1:12" x14ac:dyDescent="0.3">
      <c r="A136" s="3" t="s">
        <v>171</v>
      </c>
      <c r="B136" s="3" t="s">
        <v>13</v>
      </c>
      <c r="C136" s="2">
        <v>45624</v>
      </c>
      <c r="D136" s="3" t="s">
        <v>34</v>
      </c>
      <c r="E136" s="3" t="s">
        <v>41</v>
      </c>
      <c r="F136" s="3">
        <v>19055</v>
      </c>
      <c r="G136" s="3">
        <v>443</v>
      </c>
      <c r="H136" s="3">
        <v>976</v>
      </c>
      <c r="I136" s="3">
        <v>869</v>
      </c>
      <c r="J136" s="3">
        <v>75437</v>
      </c>
      <c r="K136" s="3">
        <v>161863</v>
      </c>
      <c r="L136" s="3" t="s">
        <v>25</v>
      </c>
    </row>
    <row r="137" spans="1:12" x14ac:dyDescent="0.3">
      <c r="A137" s="3" t="s">
        <v>172</v>
      </c>
      <c r="B137" s="3" t="s">
        <v>22</v>
      </c>
      <c r="C137" s="2">
        <v>45932</v>
      </c>
      <c r="D137" s="3" t="s">
        <v>34</v>
      </c>
      <c r="E137" s="3" t="s">
        <v>24</v>
      </c>
      <c r="F137" s="3">
        <v>12161</v>
      </c>
      <c r="G137" s="3">
        <v>736</v>
      </c>
      <c r="H137" s="3">
        <v>876</v>
      </c>
      <c r="I137" s="3">
        <v>1233</v>
      </c>
      <c r="J137" s="3">
        <v>21337</v>
      </c>
      <c r="K137" s="3">
        <v>50225</v>
      </c>
      <c r="L137" s="3" t="s">
        <v>20</v>
      </c>
    </row>
    <row r="138" spans="1:12" x14ac:dyDescent="0.3">
      <c r="A138" s="3" t="s">
        <v>173</v>
      </c>
      <c r="B138" s="3" t="s">
        <v>22</v>
      </c>
      <c r="C138" s="2">
        <v>45504</v>
      </c>
      <c r="D138" s="3" t="s">
        <v>34</v>
      </c>
      <c r="E138" s="3" t="s">
        <v>28</v>
      </c>
      <c r="F138" s="3">
        <v>13314</v>
      </c>
      <c r="G138" s="3">
        <v>274</v>
      </c>
      <c r="H138" s="3">
        <v>626</v>
      </c>
      <c r="I138" s="3">
        <v>2280</v>
      </c>
      <c r="J138" s="3">
        <v>14639</v>
      </c>
      <c r="K138" s="3">
        <v>163008</v>
      </c>
      <c r="L138" s="3" t="s">
        <v>29</v>
      </c>
    </row>
    <row r="139" spans="1:12" x14ac:dyDescent="0.3">
      <c r="A139" s="3" t="s">
        <v>174</v>
      </c>
      <c r="B139" s="3" t="s">
        <v>22</v>
      </c>
      <c r="C139" s="2">
        <v>45745</v>
      </c>
      <c r="D139" s="3" t="s">
        <v>34</v>
      </c>
      <c r="E139" s="3" t="s">
        <v>24</v>
      </c>
      <c r="F139" s="3">
        <v>23508</v>
      </c>
      <c r="G139" s="3">
        <v>585</v>
      </c>
      <c r="H139" s="3">
        <v>743</v>
      </c>
      <c r="I139" s="3">
        <v>2155</v>
      </c>
      <c r="J139" s="3">
        <v>3704</v>
      </c>
      <c r="K139" s="3">
        <v>194268</v>
      </c>
      <c r="L139" s="3" t="s">
        <v>29</v>
      </c>
    </row>
    <row r="140" spans="1:12" x14ac:dyDescent="0.3">
      <c r="A140" s="3" t="s">
        <v>175</v>
      </c>
      <c r="B140" s="3" t="s">
        <v>13</v>
      </c>
      <c r="C140" s="2">
        <v>45594</v>
      </c>
      <c r="D140" s="3" t="s">
        <v>23</v>
      </c>
      <c r="E140" s="3" t="s">
        <v>50</v>
      </c>
      <c r="F140" s="3">
        <v>23969</v>
      </c>
      <c r="G140" s="3">
        <v>1433</v>
      </c>
      <c r="H140" s="3">
        <v>372</v>
      </c>
      <c r="I140" s="3">
        <v>1092</v>
      </c>
      <c r="J140" s="3">
        <v>32147</v>
      </c>
      <c r="K140" s="3">
        <v>145823</v>
      </c>
      <c r="L140" s="3" t="s">
        <v>25</v>
      </c>
    </row>
    <row r="141" spans="1:12" x14ac:dyDescent="0.3">
      <c r="A141" s="3" t="s">
        <v>176</v>
      </c>
      <c r="B141" s="3" t="s">
        <v>22</v>
      </c>
      <c r="C141" s="2">
        <v>45488</v>
      </c>
      <c r="D141" s="3" t="s">
        <v>23</v>
      </c>
      <c r="E141" s="3" t="s">
        <v>35</v>
      </c>
      <c r="F141" s="3">
        <v>14891</v>
      </c>
      <c r="G141" s="3">
        <v>674</v>
      </c>
      <c r="H141" s="3">
        <v>521</v>
      </c>
      <c r="I141" s="3">
        <v>1091</v>
      </c>
      <c r="J141" s="3">
        <v>18101</v>
      </c>
      <c r="K141" s="3">
        <v>53669</v>
      </c>
      <c r="L141" s="3" t="s">
        <v>16</v>
      </c>
    </row>
    <row r="142" spans="1:12" x14ac:dyDescent="0.3">
      <c r="A142" s="3" t="s">
        <v>177</v>
      </c>
      <c r="B142" s="3" t="s">
        <v>18</v>
      </c>
      <c r="C142" s="2">
        <v>45933</v>
      </c>
      <c r="D142" s="3" t="s">
        <v>14</v>
      </c>
      <c r="E142" s="3" t="s">
        <v>41</v>
      </c>
      <c r="F142" s="3">
        <v>6777</v>
      </c>
      <c r="G142" s="3">
        <v>617</v>
      </c>
      <c r="H142" s="3">
        <v>551</v>
      </c>
      <c r="I142" s="3">
        <v>2109</v>
      </c>
      <c r="J142" s="3">
        <v>18559</v>
      </c>
      <c r="K142" s="3">
        <v>208452</v>
      </c>
      <c r="L142" s="3" t="s">
        <v>20</v>
      </c>
    </row>
    <row r="143" spans="1:12" x14ac:dyDescent="0.3">
      <c r="A143" s="3" t="s">
        <v>178</v>
      </c>
      <c r="B143" s="3" t="s">
        <v>22</v>
      </c>
      <c r="C143" s="2">
        <v>45741</v>
      </c>
      <c r="D143" s="3" t="s">
        <v>34</v>
      </c>
      <c r="E143" s="3" t="s">
        <v>24</v>
      </c>
      <c r="F143" s="3">
        <v>5900</v>
      </c>
      <c r="G143" s="3">
        <v>546</v>
      </c>
      <c r="H143" s="3">
        <v>592</v>
      </c>
      <c r="I143" s="3">
        <v>1594</v>
      </c>
      <c r="J143" s="3">
        <v>38627</v>
      </c>
      <c r="K143" s="3">
        <v>164398</v>
      </c>
      <c r="L143" s="3" t="s">
        <v>45</v>
      </c>
    </row>
    <row r="144" spans="1:12" x14ac:dyDescent="0.3">
      <c r="A144" s="3" t="s">
        <v>179</v>
      </c>
      <c r="B144" s="3" t="s">
        <v>18</v>
      </c>
      <c r="C144" s="2">
        <v>45567</v>
      </c>
      <c r="D144" s="3" t="s">
        <v>14</v>
      </c>
      <c r="E144" s="3" t="s">
        <v>24</v>
      </c>
      <c r="F144" s="3">
        <v>15716</v>
      </c>
      <c r="G144" s="3">
        <v>839</v>
      </c>
      <c r="H144" s="3">
        <v>639</v>
      </c>
      <c r="I144" s="3">
        <v>2839</v>
      </c>
      <c r="J144" s="3">
        <v>349</v>
      </c>
      <c r="K144" s="3">
        <v>150677</v>
      </c>
      <c r="L144" s="3" t="s">
        <v>25</v>
      </c>
    </row>
    <row r="145" spans="1:12" x14ac:dyDescent="0.3">
      <c r="A145" s="3" t="s">
        <v>180</v>
      </c>
      <c r="B145" s="3" t="s">
        <v>18</v>
      </c>
      <c r="C145" s="2">
        <v>45593</v>
      </c>
      <c r="D145" s="3" t="s">
        <v>34</v>
      </c>
      <c r="E145" s="3" t="s">
        <v>55</v>
      </c>
      <c r="F145" s="3">
        <v>8981</v>
      </c>
      <c r="G145" s="3">
        <v>1138</v>
      </c>
      <c r="H145" s="3">
        <v>764</v>
      </c>
      <c r="I145" s="3">
        <v>2555</v>
      </c>
      <c r="J145" s="3">
        <v>92810</v>
      </c>
      <c r="K145" s="3">
        <v>88320</v>
      </c>
      <c r="L145" s="3" t="s">
        <v>45</v>
      </c>
    </row>
    <row r="146" spans="1:12" x14ac:dyDescent="0.3">
      <c r="A146" s="3" t="s">
        <v>181</v>
      </c>
      <c r="B146" s="3" t="s">
        <v>18</v>
      </c>
      <c r="C146" s="2">
        <v>45516</v>
      </c>
      <c r="D146" s="3" t="s">
        <v>34</v>
      </c>
      <c r="E146" s="3" t="s">
        <v>19</v>
      </c>
      <c r="F146" s="3">
        <v>8376</v>
      </c>
      <c r="G146" s="3">
        <v>1154</v>
      </c>
      <c r="H146" s="3">
        <v>422</v>
      </c>
      <c r="I146" s="3">
        <v>1907</v>
      </c>
      <c r="J146" s="3">
        <v>36874</v>
      </c>
      <c r="K146" s="3">
        <v>218486</v>
      </c>
      <c r="L146" s="3" t="s">
        <v>25</v>
      </c>
    </row>
    <row r="147" spans="1:12" x14ac:dyDescent="0.3">
      <c r="A147" s="3" t="s">
        <v>182</v>
      </c>
      <c r="B147" s="3" t="s">
        <v>13</v>
      </c>
      <c r="C147" s="2">
        <v>45448</v>
      </c>
      <c r="D147" s="3" t="s">
        <v>23</v>
      </c>
      <c r="E147" s="3" t="s">
        <v>55</v>
      </c>
      <c r="F147" s="3">
        <v>18907</v>
      </c>
      <c r="G147" s="3">
        <v>1075</v>
      </c>
      <c r="H147" s="3">
        <v>675</v>
      </c>
      <c r="I147" s="3">
        <v>1383</v>
      </c>
      <c r="J147" s="3">
        <v>17875</v>
      </c>
      <c r="K147" s="3">
        <v>186649</v>
      </c>
      <c r="L147" s="3" t="s">
        <v>16</v>
      </c>
    </row>
    <row r="148" spans="1:12" x14ac:dyDescent="0.3">
      <c r="A148" s="3" t="s">
        <v>183</v>
      </c>
      <c r="B148" s="3" t="s">
        <v>13</v>
      </c>
      <c r="C148" s="2">
        <v>45586</v>
      </c>
      <c r="D148" s="3" t="s">
        <v>23</v>
      </c>
      <c r="E148" s="3" t="s">
        <v>41</v>
      </c>
      <c r="F148" s="3">
        <v>20777</v>
      </c>
      <c r="G148" s="3">
        <v>962</v>
      </c>
      <c r="H148" s="3">
        <v>308</v>
      </c>
      <c r="I148" s="3">
        <v>2777</v>
      </c>
      <c r="J148" s="3">
        <v>25529</v>
      </c>
      <c r="K148" s="3">
        <v>165354</v>
      </c>
      <c r="L148" s="3" t="s">
        <v>16</v>
      </c>
    </row>
    <row r="149" spans="1:12" x14ac:dyDescent="0.3">
      <c r="A149" s="3" t="s">
        <v>184</v>
      </c>
      <c r="B149" s="3" t="s">
        <v>13</v>
      </c>
      <c r="C149" s="2">
        <v>45762</v>
      </c>
      <c r="D149" s="3" t="s">
        <v>27</v>
      </c>
      <c r="E149" s="3" t="s">
        <v>41</v>
      </c>
      <c r="F149" s="3">
        <v>20977</v>
      </c>
      <c r="G149" s="3">
        <v>1402</v>
      </c>
      <c r="H149" s="3">
        <v>301</v>
      </c>
      <c r="I149" s="3">
        <v>1284</v>
      </c>
      <c r="J149" s="3">
        <v>24620</v>
      </c>
      <c r="K149" s="3">
        <v>128009</v>
      </c>
      <c r="L149" s="3" t="s">
        <v>16</v>
      </c>
    </row>
    <row r="150" spans="1:12" x14ac:dyDescent="0.3">
      <c r="A150" s="3" t="s">
        <v>185</v>
      </c>
      <c r="B150" s="3" t="s">
        <v>22</v>
      </c>
      <c r="C150" s="2">
        <v>45459</v>
      </c>
      <c r="D150" s="3" t="s">
        <v>23</v>
      </c>
      <c r="E150" s="3" t="s">
        <v>15</v>
      </c>
      <c r="F150" s="3">
        <v>12160</v>
      </c>
      <c r="G150" s="3">
        <v>1405</v>
      </c>
      <c r="H150" s="3">
        <v>769</v>
      </c>
      <c r="I150" s="3">
        <v>1980</v>
      </c>
      <c r="J150" s="3">
        <v>33174</v>
      </c>
      <c r="K150" s="3">
        <v>226481</v>
      </c>
      <c r="L150" s="3" t="s">
        <v>16</v>
      </c>
    </row>
    <row r="151" spans="1:12" x14ac:dyDescent="0.3">
      <c r="A151" s="3" t="s">
        <v>186</v>
      </c>
      <c r="B151" s="3" t="s">
        <v>18</v>
      </c>
      <c r="C151" s="2">
        <v>45526</v>
      </c>
      <c r="D151" s="3" t="s">
        <v>27</v>
      </c>
      <c r="E151" s="3" t="s">
        <v>55</v>
      </c>
      <c r="F151" s="3">
        <v>16124</v>
      </c>
      <c r="G151" s="3">
        <v>863</v>
      </c>
      <c r="H151" s="3">
        <v>337</v>
      </c>
      <c r="I151" s="3">
        <v>819</v>
      </c>
      <c r="J151" s="3">
        <v>85788</v>
      </c>
      <c r="K151" s="3">
        <v>68625</v>
      </c>
      <c r="L151" s="3" t="s">
        <v>29</v>
      </c>
    </row>
    <row r="152" spans="1:12" x14ac:dyDescent="0.3">
      <c r="A152" s="3" t="s">
        <v>187</v>
      </c>
      <c r="B152" s="3" t="s">
        <v>13</v>
      </c>
      <c r="C152" s="2">
        <v>45499</v>
      </c>
      <c r="D152" s="3" t="s">
        <v>27</v>
      </c>
      <c r="E152" s="3" t="s">
        <v>64</v>
      </c>
      <c r="F152" s="3">
        <v>18282</v>
      </c>
      <c r="G152" s="3">
        <v>224</v>
      </c>
      <c r="H152" s="3">
        <v>962</v>
      </c>
      <c r="I152" s="3">
        <v>890</v>
      </c>
      <c r="J152" s="3">
        <v>35105</v>
      </c>
      <c r="K152" s="3">
        <v>64089</v>
      </c>
      <c r="L152" s="3" t="s">
        <v>29</v>
      </c>
    </row>
    <row r="153" spans="1:12" x14ac:dyDescent="0.3">
      <c r="A153" s="3" t="s">
        <v>188</v>
      </c>
      <c r="B153" s="3" t="s">
        <v>13</v>
      </c>
      <c r="C153" s="2">
        <v>45934</v>
      </c>
      <c r="D153" s="3" t="s">
        <v>27</v>
      </c>
      <c r="E153" s="3" t="s">
        <v>115</v>
      </c>
      <c r="F153" s="3">
        <v>12488</v>
      </c>
      <c r="G153" s="3">
        <v>1403</v>
      </c>
      <c r="H153" s="3">
        <v>247</v>
      </c>
      <c r="I153" s="3">
        <v>1350</v>
      </c>
      <c r="J153" s="3">
        <v>28370</v>
      </c>
      <c r="K153" s="3">
        <v>76487</v>
      </c>
      <c r="L153" s="3" t="s">
        <v>20</v>
      </c>
    </row>
    <row r="154" spans="1:12" x14ac:dyDescent="0.3">
      <c r="A154" s="3" t="s">
        <v>189</v>
      </c>
      <c r="B154" s="3" t="s">
        <v>22</v>
      </c>
      <c r="C154" s="2">
        <v>45658</v>
      </c>
      <c r="D154" s="3" t="s">
        <v>27</v>
      </c>
      <c r="E154" s="3" t="s">
        <v>19</v>
      </c>
      <c r="F154" s="3">
        <v>24574</v>
      </c>
      <c r="G154" s="3">
        <v>909</v>
      </c>
      <c r="H154" s="3">
        <v>280</v>
      </c>
      <c r="I154" s="3">
        <v>2009</v>
      </c>
      <c r="J154" s="3">
        <v>6221</v>
      </c>
      <c r="K154" s="3">
        <v>236910</v>
      </c>
      <c r="L154" s="3" t="s">
        <v>45</v>
      </c>
    </row>
    <row r="155" spans="1:12" x14ac:dyDescent="0.3">
      <c r="A155" s="3" t="s">
        <v>190</v>
      </c>
      <c r="B155" s="3" t="s">
        <v>13</v>
      </c>
      <c r="C155" s="2">
        <v>45574</v>
      </c>
      <c r="D155" s="3" t="s">
        <v>27</v>
      </c>
      <c r="E155" s="3" t="s">
        <v>41</v>
      </c>
      <c r="F155" s="3">
        <v>7240</v>
      </c>
      <c r="G155" s="3">
        <v>1384</v>
      </c>
      <c r="H155" s="3">
        <v>954</v>
      </c>
      <c r="I155" s="3">
        <v>2335</v>
      </c>
      <c r="J155" s="3">
        <v>6757</v>
      </c>
      <c r="K155" s="3">
        <v>150448</v>
      </c>
      <c r="L155" s="3" t="s">
        <v>25</v>
      </c>
    </row>
    <row r="156" spans="1:12" x14ac:dyDescent="0.3">
      <c r="A156" s="3" t="s">
        <v>191</v>
      </c>
      <c r="B156" s="3" t="s">
        <v>22</v>
      </c>
      <c r="C156" s="2">
        <v>45647</v>
      </c>
      <c r="D156" s="3" t="s">
        <v>14</v>
      </c>
      <c r="E156" s="3" t="s">
        <v>15</v>
      </c>
      <c r="F156" s="3">
        <v>12453</v>
      </c>
      <c r="G156" s="3">
        <v>376</v>
      </c>
      <c r="H156" s="3">
        <v>320</v>
      </c>
      <c r="I156" s="3">
        <v>2546</v>
      </c>
      <c r="J156" s="3">
        <v>22617</v>
      </c>
      <c r="K156" s="3">
        <v>90138</v>
      </c>
      <c r="L156" s="3" t="s">
        <v>25</v>
      </c>
    </row>
    <row r="157" spans="1:12" x14ac:dyDescent="0.3">
      <c r="A157" s="3" t="s">
        <v>192</v>
      </c>
      <c r="B157" s="3" t="s">
        <v>40</v>
      </c>
      <c r="C157" s="2">
        <v>45587</v>
      </c>
      <c r="D157" s="3" t="s">
        <v>23</v>
      </c>
      <c r="E157" s="3" t="s">
        <v>35</v>
      </c>
      <c r="F157" s="3">
        <v>12478</v>
      </c>
      <c r="G157" s="3">
        <v>484</v>
      </c>
      <c r="H157" s="3">
        <v>332</v>
      </c>
      <c r="I157" s="3">
        <v>2734</v>
      </c>
      <c r="J157" s="3">
        <v>43338</v>
      </c>
      <c r="K157" s="3">
        <v>213895</v>
      </c>
      <c r="L157" s="3" t="s">
        <v>29</v>
      </c>
    </row>
    <row r="158" spans="1:12" x14ac:dyDescent="0.3">
      <c r="A158" s="3" t="s">
        <v>193</v>
      </c>
      <c r="B158" s="3" t="s">
        <v>13</v>
      </c>
      <c r="C158" s="2">
        <v>45496</v>
      </c>
      <c r="D158" s="3" t="s">
        <v>27</v>
      </c>
      <c r="E158" s="3" t="s">
        <v>55</v>
      </c>
      <c r="F158" s="3">
        <v>24877</v>
      </c>
      <c r="G158" s="3">
        <v>262</v>
      </c>
      <c r="H158" s="3">
        <v>513</v>
      </c>
      <c r="I158" s="3">
        <v>648</v>
      </c>
      <c r="J158" s="3">
        <v>47544</v>
      </c>
      <c r="K158" s="3">
        <v>208280</v>
      </c>
      <c r="L158" s="3" t="s">
        <v>25</v>
      </c>
    </row>
    <row r="159" spans="1:12" x14ac:dyDescent="0.3">
      <c r="A159" s="3" t="s">
        <v>194</v>
      </c>
      <c r="B159" s="3" t="s">
        <v>40</v>
      </c>
      <c r="C159" s="2">
        <v>45515</v>
      </c>
      <c r="D159" s="3" t="s">
        <v>34</v>
      </c>
      <c r="E159" s="3" t="s">
        <v>19</v>
      </c>
      <c r="F159" s="3">
        <v>14394</v>
      </c>
      <c r="G159" s="3">
        <v>1202</v>
      </c>
      <c r="H159" s="3">
        <v>188</v>
      </c>
      <c r="I159" s="3">
        <v>1259</v>
      </c>
      <c r="J159" s="3">
        <v>21925</v>
      </c>
      <c r="K159" s="3">
        <v>94061</v>
      </c>
      <c r="L159" s="3" t="s">
        <v>29</v>
      </c>
    </row>
    <row r="160" spans="1:12" x14ac:dyDescent="0.3">
      <c r="A160" s="3" t="s">
        <v>195</v>
      </c>
      <c r="B160" s="3" t="s">
        <v>22</v>
      </c>
      <c r="C160" s="2">
        <v>45935</v>
      </c>
      <c r="D160" s="3" t="s">
        <v>23</v>
      </c>
      <c r="E160" s="3" t="s">
        <v>35</v>
      </c>
      <c r="F160" s="3">
        <v>21262</v>
      </c>
      <c r="G160" s="3">
        <v>861</v>
      </c>
      <c r="H160" s="3">
        <v>676</v>
      </c>
      <c r="I160" s="3">
        <v>2263</v>
      </c>
      <c r="J160" s="3">
        <v>12085</v>
      </c>
      <c r="K160" s="3">
        <v>201731</v>
      </c>
      <c r="L160" s="3" t="s">
        <v>20</v>
      </c>
    </row>
    <row r="161" spans="1:12" x14ac:dyDescent="0.3">
      <c r="A161" s="3" t="s">
        <v>196</v>
      </c>
      <c r="B161" s="3" t="s">
        <v>18</v>
      </c>
      <c r="C161" s="2">
        <v>45528</v>
      </c>
      <c r="D161" s="3" t="s">
        <v>23</v>
      </c>
      <c r="E161" s="3" t="s">
        <v>55</v>
      </c>
      <c r="F161" s="3">
        <v>22527</v>
      </c>
      <c r="G161" s="3">
        <v>865</v>
      </c>
      <c r="H161" s="3">
        <v>646</v>
      </c>
      <c r="I161" s="3">
        <v>992</v>
      </c>
      <c r="J161" s="3">
        <v>18654</v>
      </c>
      <c r="K161" s="3">
        <v>141376</v>
      </c>
      <c r="L161" s="3" t="s">
        <v>45</v>
      </c>
    </row>
    <row r="162" spans="1:12" x14ac:dyDescent="0.3">
      <c r="A162" s="3" t="s">
        <v>197</v>
      </c>
      <c r="B162" s="3" t="s">
        <v>13</v>
      </c>
      <c r="C162" s="2">
        <v>45936</v>
      </c>
      <c r="D162" s="3" t="s">
        <v>27</v>
      </c>
      <c r="E162" s="3" t="s">
        <v>24</v>
      </c>
      <c r="F162" s="3">
        <v>22028</v>
      </c>
      <c r="G162" s="3">
        <v>355</v>
      </c>
      <c r="H162" s="3">
        <v>665</v>
      </c>
      <c r="I162" s="3">
        <v>1859</v>
      </c>
      <c r="J162" s="3">
        <v>50565</v>
      </c>
      <c r="K162" s="3">
        <v>202962</v>
      </c>
      <c r="L162" s="3" t="s">
        <v>20</v>
      </c>
    </row>
    <row r="163" spans="1:12" x14ac:dyDescent="0.3">
      <c r="A163" s="3" t="s">
        <v>198</v>
      </c>
      <c r="B163" s="3" t="s">
        <v>22</v>
      </c>
      <c r="C163" s="2">
        <v>45748</v>
      </c>
      <c r="D163" s="3" t="s">
        <v>14</v>
      </c>
      <c r="E163" s="3" t="s">
        <v>35</v>
      </c>
      <c r="F163" s="3">
        <v>6432</v>
      </c>
      <c r="G163" s="3">
        <v>1272</v>
      </c>
      <c r="H163" s="3">
        <v>498</v>
      </c>
      <c r="I163" s="3">
        <v>677</v>
      </c>
      <c r="J163" s="3">
        <v>47305</v>
      </c>
      <c r="K163" s="3">
        <v>119134</v>
      </c>
      <c r="L163" s="3" t="s">
        <v>16</v>
      </c>
    </row>
    <row r="164" spans="1:12" x14ac:dyDescent="0.3">
      <c r="A164" s="3" t="s">
        <v>199</v>
      </c>
      <c r="B164" s="3" t="s">
        <v>18</v>
      </c>
      <c r="C164" s="2">
        <v>45755</v>
      </c>
      <c r="D164" s="3" t="s">
        <v>27</v>
      </c>
      <c r="E164" s="3" t="s">
        <v>15</v>
      </c>
      <c r="F164" s="3">
        <v>15568</v>
      </c>
      <c r="G164" s="3">
        <v>1166</v>
      </c>
      <c r="H164" s="3">
        <v>546</v>
      </c>
      <c r="I164" s="3">
        <v>826</v>
      </c>
      <c r="J164" s="3">
        <v>21836</v>
      </c>
      <c r="K164" s="3">
        <v>87055</v>
      </c>
      <c r="L164" s="3" t="s">
        <v>16</v>
      </c>
    </row>
    <row r="165" spans="1:12" x14ac:dyDescent="0.3">
      <c r="A165" s="3" t="s">
        <v>200</v>
      </c>
      <c r="B165" s="3" t="s">
        <v>18</v>
      </c>
      <c r="C165" s="2">
        <v>45715</v>
      </c>
      <c r="D165" s="3" t="s">
        <v>14</v>
      </c>
      <c r="E165" s="3" t="s">
        <v>19</v>
      </c>
      <c r="F165" s="3">
        <v>16178</v>
      </c>
      <c r="G165" s="3">
        <v>1048</v>
      </c>
      <c r="H165" s="3">
        <v>871</v>
      </c>
      <c r="I165" s="3">
        <v>2553</v>
      </c>
      <c r="J165" s="3">
        <v>39025</v>
      </c>
      <c r="K165" s="3">
        <v>59508</v>
      </c>
      <c r="L165" s="3" t="s">
        <v>16</v>
      </c>
    </row>
    <row r="166" spans="1:12" x14ac:dyDescent="0.3">
      <c r="A166" s="3" t="s">
        <v>201</v>
      </c>
      <c r="B166" s="3" t="s">
        <v>40</v>
      </c>
      <c r="C166" s="2">
        <v>45937</v>
      </c>
      <c r="D166" s="3" t="s">
        <v>34</v>
      </c>
      <c r="E166" s="3" t="s">
        <v>37</v>
      </c>
      <c r="F166" s="3">
        <v>19660</v>
      </c>
      <c r="G166" s="3">
        <v>1307</v>
      </c>
      <c r="H166" s="3">
        <v>310</v>
      </c>
      <c r="I166" s="3">
        <v>2802</v>
      </c>
      <c r="J166" s="3">
        <v>22171</v>
      </c>
      <c r="K166" s="3">
        <v>213359</v>
      </c>
      <c r="L166" s="3" t="s">
        <v>20</v>
      </c>
    </row>
    <row r="167" spans="1:12" x14ac:dyDescent="0.3">
      <c r="A167" s="3" t="s">
        <v>202</v>
      </c>
      <c r="B167" s="3" t="s">
        <v>22</v>
      </c>
      <c r="C167" s="2">
        <v>45704</v>
      </c>
      <c r="D167" s="3" t="s">
        <v>23</v>
      </c>
      <c r="E167" s="3" t="s">
        <v>50</v>
      </c>
      <c r="F167" s="3">
        <v>24195</v>
      </c>
      <c r="G167" s="3">
        <v>888</v>
      </c>
      <c r="H167" s="3">
        <v>165</v>
      </c>
      <c r="I167" s="3">
        <v>1559</v>
      </c>
      <c r="J167" s="3">
        <v>11596</v>
      </c>
      <c r="K167" s="3">
        <v>249988</v>
      </c>
      <c r="L167" s="3" t="s">
        <v>25</v>
      </c>
    </row>
    <row r="168" spans="1:12" x14ac:dyDescent="0.3">
      <c r="A168" s="3" t="s">
        <v>203</v>
      </c>
      <c r="B168" s="3" t="s">
        <v>18</v>
      </c>
      <c r="C168" s="2">
        <v>45624</v>
      </c>
      <c r="D168" s="3" t="s">
        <v>34</v>
      </c>
      <c r="E168" s="3" t="s">
        <v>50</v>
      </c>
      <c r="F168" s="3">
        <v>2302</v>
      </c>
      <c r="G168" s="3">
        <v>347</v>
      </c>
      <c r="H168" s="3">
        <v>642</v>
      </c>
      <c r="I168" s="3">
        <v>2175</v>
      </c>
      <c r="J168" s="3">
        <v>56378</v>
      </c>
      <c r="K168" s="3">
        <v>198056</v>
      </c>
      <c r="L168" s="3" t="s">
        <v>45</v>
      </c>
    </row>
    <row r="169" spans="1:12" x14ac:dyDescent="0.3">
      <c r="A169" s="3" t="s">
        <v>204</v>
      </c>
      <c r="B169" s="3" t="s">
        <v>13</v>
      </c>
      <c r="C169" s="2">
        <v>45608</v>
      </c>
      <c r="D169" s="3" t="s">
        <v>14</v>
      </c>
      <c r="E169" s="3" t="s">
        <v>19</v>
      </c>
      <c r="F169" s="3">
        <v>19022</v>
      </c>
      <c r="G169" s="3">
        <v>541</v>
      </c>
      <c r="H169" s="3">
        <v>575</v>
      </c>
      <c r="I169" s="3">
        <v>2063</v>
      </c>
      <c r="J169" s="3">
        <v>42743</v>
      </c>
      <c r="K169" s="3">
        <v>150169</v>
      </c>
      <c r="L169" s="3" t="s">
        <v>16</v>
      </c>
    </row>
    <row r="170" spans="1:12" x14ac:dyDescent="0.3">
      <c r="A170" s="3" t="s">
        <v>205</v>
      </c>
      <c r="B170" s="3" t="s">
        <v>13</v>
      </c>
      <c r="C170" s="2">
        <v>45629</v>
      </c>
      <c r="D170" s="3" t="s">
        <v>14</v>
      </c>
      <c r="E170" s="3" t="s">
        <v>35</v>
      </c>
      <c r="F170" s="3">
        <v>2055</v>
      </c>
      <c r="G170" s="3">
        <v>675</v>
      </c>
      <c r="H170" s="3">
        <v>257</v>
      </c>
      <c r="I170" s="3">
        <v>820</v>
      </c>
      <c r="J170" s="3">
        <v>33534</v>
      </c>
      <c r="K170" s="3">
        <v>48125</v>
      </c>
      <c r="L170" s="3" t="s">
        <v>16</v>
      </c>
    </row>
    <row r="171" spans="1:12" x14ac:dyDescent="0.3">
      <c r="A171" s="3" t="s">
        <v>206</v>
      </c>
      <c r="B171" s="3" t="s">
        <v>40</v>
      </c>
      <c r="C171" s="2">
        <v>45775</v>
      </c>
      <c r="D171" s="3" t="s">
        <v>34</v>
      </c>
      <c r="E171" s="3" t="s">
        <v>55</v>
      </c>
      <c r="F171" s="3">
        <v>15013</v>
      </c>
      <c r="G171" s="3">
        <v>1286</v>
      </c>
      <c r="H171" s="3">
        <v>599</v>
      </c>
      <c r="I171" s="3">
        <v>2001</v>
      </c>
      <c r="J171" s="3">
        <v>67839</v>
      </c>
      <c r="K171" s="3">
        <v>76059</v>
      </c>
      <c r="L171" s="3" t="s">
        <v>16</v>
      </c>
    </row>
    <row r="172" spans="1:12" x14ac:dyDescent="0.3">
      <c r="A172" s="3" t="s">
        <v>207</v>
      </c>
      <c r="B172" s="3" t="s">
        <v>18</v>
      </c>
      <c r="C172" s="2">
        <v>45657</v>
      </c>
      <c r="D172" s="3" t="s">
        <v>14</v>
      </c>
      <c r="E172" s="3" t="s">
        <v>15</v>
      </c>
      <c r="F172" s="3">
        <v>10717</v>
      </c>
      <c r="G172" s="3">
        <v>760</v>
      </c>
      <c r="H172" s="3">
        <v>460</v>
      </c>
      <c r="I172" s="3">
        <v>1316</v>
      </c>
      <c r="J172" s="3">
        <v>18164</v>
      </c>
      <c r="K172" s="3">
        <v>240641</v>
      </c>
      <c r="L172" s="3" t="s">
        <v>45</v>
      </c>
    </row>
    <row r="173" spans="1:12" x14ac:dyDescent="0.3">
      <c r="A173" s="3" t="s">
        <v>208</v>
      </c>
      <c r="B173" s="3" t="s">
        <v>22</v>
      </c>
      <c r="C173" s="2">
        <v>45518</v>
      </c>
      <c r="D173" s="3" t="s">
        <v>34</v>
      </c>
      <c r="E173" s="3" t="s">
        <v>115</v>
      </c>
      <c r="F173" s="3">
        <v>10150</v>
      </c>
      <c r="G173" s="3">
        <v>526</v>
      </c>
      <c r="H173" s="3">
        <v>888</v>
      </c>
      <c r="I173" s="3">
        <v>1313</v>
      </c>
      <c r="J173" s="3">
        <v>51605</v>
      </c>
      <c r="K173" s="3">
        <v>143409</v>
      </c>
      <c r="L173" s="3" t="s">
        <v>16</v>
      </c>
    </row>
    <row r="174" spans="1:12" x14ac:dyDescent="0.3">
      <c r="A174" s="3" t="s">
        <v>209</v>
      </c>
      <c r="B174" s="3" t="s">
        <v>13</v>
      </c>
      <c r="C174" s="2">
        <v>45631</v>
      </c>
      <c r="D174" s="3" t="s">
        <v>23</v>
      </c>
      <c r="E174" s="3" t="s">
        <v>50</v>
      </c>
      <c r="F174" s="3">
        <v>4125</v>
      </c>
      <c r="G174" s="3">
        <v>1364</v>
      </c>
      <c r="H174" s="3">
        <v>319</v>
      </c>
      <c r="I174" s="3">
        <v>2848</v>
      </c>
      <c r="J174" s="3">
        <v>15379</v>
      </c>
      <c r="K174" s="3">
        <v>188159</v>
      </c>
      <c r="L174" s="3" t="s">
        <v>45</v>
      </c>
    </row>
    <row r="175" spans="1:12" x14ac:dyDescent="0.3">
      <c r="A175" s="3" t="s">
        <v>210</v>
      </c>
      <c r="B175" s="3" t="s">
        <v>18</v>
      </c>
      <c r="C175" s="2">
        <v>45465</v>
      </c>
      <c r="D175" s="3" t="s">
        <v>34</v>
      </c>
      <c r="E175" s="3" t="s">
        <v>15</v>
      </c>
      <c r="F175" s="3">
        <v>13479</v>
      </c>
      <c r="G175" s="3">
        <v>1189</v>
      </c>
      <c r="H175" s="3">
        <v>695</v>
      </c>
      <c r="I175" s="3">
        <v>416</v>
      </c>
      <c r="J175" s="3">
        <v>30229</v>
      </c>
      <c r="K175" s="3">
        <v>45704</v>
      </c>
      <c r="L175" s="3" t="s">
        <v>16</v>
      </c>
    </row>
    <row r="176" spans="1:12" x14ac:dyDescent="0.3">
      <c r="A176" s="3" t="s">
        <v>211</v>
      </c>
      <c r="B176" s="3" t="s">
        <v>18</v>
      </c>
      <c r="C176" s="2">
        <v>45938</v>
      </c>
      <c r="D176" s="3" t="s">
        <v>23</v>
      </c>
      <c r="E176" s="3" t="s">
        <v>50</v>
      </c>
      <c r="F176" s="3">
        <v>17745</v>
      </c>
      <c r="G176" s="3">
        <v>414</v>
      </c>
      <c r="H176" s="3">
        <v>563</v>
      </c>
      <c r="I176" s="3">
        <v>2733</v>
      </c>
      <c r="J176" s="3">
        <v>995</v>
      </c>
      <c r="K176" s="3">
        <v>231648</v>
      </c>
      <c r="L176" s="3" t="s">
        <v>20</v>
      </c>
    </row>
    <row r="177" spans="1:12" x14ac:dyDescent="0.3">
      <c r="A177" s="3" t="s">
        <v>212</v>
      </c>
      <c r="B177" s="3" t="s">
        <v>40</v>
      </c>
      <c r="C177" s="2">
        <v>45939</v>
      </c>
      <c r="D177" s="3" t="s">
        <v>34</v>
      </c>
      <c r="E177" s="3" t="s">
        <v>24</v>
      </c>
      <c r="F177" s="3">
        <v>18748</v>
      </c>
      <c r="G177" s="3">
        <v>634</v>
      </c>
      <c r="H177" s="3">
        <v>400</v>
      </c>
      <c r="I177" s="3">
        <v>1667</v>
      </c>
      <c r="J177" s="3">
        <v>75813</v>
      </c>
      <c r="K177" s="3">
        <v>244456</v>
      </c>
      <c r="L177" s="3" t="s">
        <v>20</v>
      </c>
    </row>
    <row r="178" spans="1:12" x14ac:dyDescent="0.3">
      <c r="A178" s="3" t="s">
        <v>213</v>
      </c>
      <c r="B178" s="3" t="s">
        <v>13</v>
      </c>
      <c r="C178" s="2">
        <v>45483</v>
      </c>
      <c r="D178" s="3" t="s">
        <v>14</v>
      </c>
      <c r="E178" s="3" t="s">
        <v>55</v>
      </c>
      <c r="F178" s="3">
        <v>8809</v>
      </c>
      <c r="G178" s="3">
        <v>1151</v>
      </c>
      <c r="H178" s="3">
        <v>908</v>
      </c>
      <c r="I178" s="3">
        <v>883</v>
      </c>
      <c r="J178" s="3">
        <v>42921</v>
      </c>
      <c r="K178" s="3">
        <v>151279</v>
      </c>
      <c r="L178" s="3" t="s">
        <v>45</v>
      </c>
    </row>
    <row r="179" spans="1:12" x14ac:dyDescent="0.3">
      <c r="A179" s="3" t="s">
        <v>214</v>
      </c>
      <c r="B179" s="3" t="s">
        <v>13</v>
      </c>
      <c r="C179" s="2">
        <v>45940</v>
      </c>
      <c r="D179" s="3" t="s">
        <v>34</v>
      </c>
      <c r="E179" s="3" t="s">
        <v>24</v>
      </c>
      <c r="F179" s="3">
        <v>6621</v>
      </c>
      <c r="G179" s="3">
        <v>922</v>
      </c>
      <c r="H179" s="3">
        <v>930</v>
      </c>
      <c r="I179" s="3">
        <v>694</v>
      </c>
      <c r="J179" s="3">
        <v>839</v>
      </c>
      <c r="K179" s="3">
        <v>243532</v>
      </c>
      <c r="L179" s="3" t="s">
        <v>20</v>
      </c>
    </row>
    <row r="180" spans="1:12" x14ac:dyDescent="0.3">
      <c r="A180" s="3" t="s">
        <v>215</v>
      </c>
      <c r="B180" s="3" t="s">
        <v>22</v>
      </c>
      <c r="C180" s="2">
        <v>45488</v>
      </c>
      <c r="D180" s="3" t="s">
        <v>14</v>
      </c>
      <c r="E180" s="3" t="s">
        <v>50</v>
      </c>
      <c r="F180" s="3">
        <v>17034</v>
      </c>
      <c r="G180" s="3">
        <v>231</v>
      </c>
      <c r="H180" s="3">
        <v>290</v>
      </c>
      <c r="I180" s="3">
        <v>1387</v>
      </c>
      <c r="J180" s="3">
        <v>63550</v>
      </c>
      <c r="K180" s="3">
        <v>198280</v>
      </c>
      <c r="L180" s="3" t="s">
        <v>45</v>
      </c>
    </row>
    <row r="181" spans="1:12" x14ac:dyDescent="0.3">
      <c r="A181" s="3" t="s">
        <v>216</v>
      </c>
      <c r="B181" s="3" t="s">
        <v>13</v>
      </c>
      <c r="C181" s="2">
        <v>45941</v>
      </c>
      <c r="D181" s="3" t="s">
        <v>34</v>
      </c>
      <c r="E181" s="3" t="s">
        <v>37</v>
      </c>
      <c r="F181" s="3">
        <v>15623</v>
      </c>
      <c r="G181" s="3">
        <v>869</v>
      </c>
      <c r="H181" s="3">
        <v>423</v>
      </c>
      <c r="I181" s="3">
        <v>371</v>
      </c>
      <c r="J181" s="3">
        <v>47579</v>
      </c>
      <c r="K181" s="3">
        <v>158516</v>
      </c>
      <c r="L181" s="3" t="s">
        <v>20</v>
      </c>
    </row>
    <row r="182" spans="1:12" x14ac:dyDescent="0.3">
      <c r="A182" s="3" t="s">
        <v>217</v>
      </c>
      <c r="B182" s="3" t="s">
        <v>22</v>
      </c>
      <c r="C182" s="2">
        <v>45942</v>
      </c>
      <c r="D182" s="3" t="s">
        <v>34</v>
      </c>
      <c r="E182" s="3" t="s">
        <v>37</v>
      </c>
      <c r="F182" s="3">
        <v>7126</v>
      </c>
      <c r="G182" s="3">
        <v>484</v>
      </c>
      <c r="H182" s="3">
        <v>565</v>
      </c>
      <c r="I182" s="3">
        <v>573</v>
      </c>
      <c r="J182" s="3">
        <v>7389</v>
      </c>
      <c r="K182" s="3">
        <v>237096</v>
      </c>
      <c r="L182" s="3" t="s">
        <v>20</v>
      </c>
    </row>
    <row r="183" spans="1:12" x14ac:dyDescent="0.3">
      <c r="A183" s="3" t="s">
        <v>218</v>
      </c>
      <c r="B183" s="3" t="s">
        <v>13</v>
      </c>
      <c r="C183" s="2">
        <v>45504</v>
      </c>
      <c r="D183" s="3" t="s">
        <v>27</v>
      </c>
      <c r="E183" s="3" t="s">
        <v>24</v>
      </c>
      <c r="F183" s="3">
        <v>7122</v>
      </c>
      <c r="G183" s="3">
        <v>628</v>
      </c>
      <c r="H183" s="3">
        <v>757</v>
      </c>
      <c r="I183" s="3">
        <v>2313</v>
      </c>
      <c r="J183" s="3">
        <v>50924</v>
      </c>
      <c r="K183" s="3">
        <v>210954</v>
      </c>
      <c r="L183" s="3" t="s">
        <v>45</v>
      </c>
    </row>
    <row r="184" spans="1:12" x14ac:dyDescent="0.3">
      <c r="A184" s="3" t="s">
        <v>219</v>
      </c>
      <c r="B184" s="3" t="s">
        <v>40</v>
      </c>
      <c r="C184" s="2">
        <v>45643</v>
      </c>
      <c r="D184" s="3" t="s">
        <v>14</v>
      </c>
      <c r="E184" s="3" t="s">
        <v>37</v>
      </c>
      <c r="F184" s="3">
        <v>20030</v>
      </c>
      <c r="G184" s="3">
        <v>485</v>
      </c>
      <c r="H184" s="3">
        <v>888</v>
      </c>
      <c r="I184" s="3">
        <v>1643</v>
      </c>
      <c r="J184" s="3">
        <v>4322</v>
      </c>
      <c r="K184" s="3">
        <v>196995</v>
      </c>
      <c r="L184" s="3" t="s">
        <v>25</v>
      </c>
    </row>
    <row r="185" spans="1:12" x14ac:dyDescent="0.3">
      <c r="A185" s="3" t="s">
        <v>220</v>
      </c>
      <c r="B185" s="3" t="s">
        <v>13</v>
      </c>
      <c r="C185" s="2">
        <v>45943</v>
      </c>
      <c r="D185" s="3" t="s">
        <v>27</v>
      </c>
      <c r="E185" s="3" t="s">
        <v>50</v>
      </c>
      <c r="F185" s="3">
        <v>19302</v>
      </c>
      <c r="G185" s="3">
        <v>1367</v>
      </c>
      <c r="H185" s="3">
        <v>188</v>
      </c>
      <c r="I185" s="3">
        <v>637</v>
      </c>
      <c r="J185" s="3">
        <v>31404</v>
      </c>
      <c r="K185" s="3">
        <v>154044</v>
      </c>
      <c r="L185" s="3" t="s">
        <v>20</v>
      </c>
    </row>
    <row r="186" spans="1:12" x14ac:dyDescent="0.3">
      <c r="A186" s="3" t="s">
        <v>221</v>
      </c>
      <c r="B186" s="3" t="s">
        <v>22</v>
      </c>
      <c r="C186" s="2">
        <v>45668</v>
      </c>
      <c r="D186" s="3" t="s">
        <v>14</v>
      </c>
      <c r="E186" s="3" t="s">
        <v>19</v>
      </c>
      <c r="F186" s="3">
        <v>21181</v>
      </c>
      <c r="G186" s="3">
        <v>1242</v>
      </c>
      <c r="H186" s="3">
        <v>963</v>
      </c>
      <c r="I186" s="3">
        <v>1689</v>
      </c>
      <c r="J186" s="3">
        <v>49329</v>
      </c>
      <c r="K186" s="3">
        <v>69165</v>
      </c>
      <c r="L186" s="3" t="s">
        <v>16</v>
      </c>
    </row>
    <row r="187" spans="1:12" x14ac:dyDescent="0.3">
      <c r="A187" s="3" t="s">
        <v>222</v>
      </c>
      <c r="B187" s="3" t="s">
        <v>22</v>
      </c>
      <c r="C187" s="2">
        <v>45528</v>
      </c>
      <c r="D187" s="3" t="s">
        <v>27</v>
      </c>
      <c r="E187" s="3" t="s">
        <v>24</v>
      </c>
      <c r="F187" s="3">
        <v>24890</v>
      </c>
      <c r="G187" s="3">
        <v>217</v>
      </c>
      <c r="H187" s="3">
        <v>178</v>
      </c>
      <c r="I187" s="3">
        <v>906</v>
      </c>
      <c r="J187" s="3">
        <v>54826</v>
      </c>
      <c r="K187" s="3">
        <v>107203</v>
      </c>
      <c r="L187" s="3" t="s">
        <v>25</v>
      </c>
    </row>
    <row r="188" spans="1:12" x14ac:dyDescent="0.3">
      <c r="A188" s="3" t="s">
        <v>223</v>
      </c>
      <c r="B188" s="3" t="s">
        <v>40</v>
      </c>
      <c r="C188" s="2">
        <v>45648</v>
      </c>
      <c r="D188" s="3" t="s">
        <v>23</v>
      </c>
      <c r="E188" s="3" t="s">
        <v>115</v>
      </c>
      <c r="F188" s="3">
        <v>7870</v>
      </c>
      <c r="G188" s="3">
        <v>968</v>
      </c>
      <c r="H188" s="3">
        <v>626</v>
      </c>
      <c r="I188" s="3">
        <v>465</v>
      </c>
      <c r="J188" s="3">
        <v>27184</v>
      </c>
      <c r="K188" s="3">
        <v>44114</v>
      </c>
      <c r="L188" s="3" t="s">
        <v>45</v>
      </c>
    </row>
    <row r="189" spans="1:12" x14ac:dyDescent="0.3">
      <c r="A189" s="3" t="s">
        <v>224</v>
      </c>
      <c r="B189" s="3" t="s">
        <v>13</v>
      </c>
      <c r="C189" s="2">
        <v>45449</v>
      </c>
      <c r="D189" s="3" t="s">
        <v>34</v>
      </c>
      <c r="E189" s="3" t="s">
        <v>115</v>
      </c>
      <c r="F189" s="3">
        <v>3531</v>
      </c>
      <c r="G189" s="3">
        <v>789</v>
      </c>
      <c r="H189" s="3">
        <v>467</v>
      </c>
      <c r="I189" s="3">
        <v>1867</v>
      </c>
      <c r="J189" s="3">
        <v>40816</v>
      </c>
      <c r="K189" s="3">
        <v>236037</v>
      </c>
      <c r="L189" s="3" t="s">
        <v>25</v>
      </c>
    </row>
    <row r="190" spans="1:12" x14ac:dyDescent="0.3">
      <c r="A190" s="3" t="s">
        <v>225</v>
      </c>
      <c r="B190" s="3" t="s">
        <v>13</v>
      </c>
      <c r="C190" s="2">
        <v>45740</v>
      </c>
      <c r="D190" s="3" t="s">
        <v>14</v>
      </c>
      <c r="E190" s="3" t="s">
        <v>32</v>
      </c>
      <c r="F190" s="3">
        <v>10172</v>
      </c>
      <c r="G190" s="3">
        <v>1398</v>
      </c>
      <c r="H190" s="3">
        <v>394</v>
      </c>
      <c r="I190" s="3">
        <v>2358</v>
      </c>
      <c r="J190" s="3">
        <v>59610</v>
      </c>
      <c r="K190" s="3">
        <v>76321</v>
      </c>
      <c r="L190" s="3" t="s">
        <v>29</v>
      </c>
    </row>
    <row r="191" spans="1:12" x14ac:dyDescent="0.3">
      <c r="A191" s="3" t="s">
        <v>226</v>
      </c>
      <c r="B191" s="3" t="s">
        <v>40</v>
      </c>
      <c r="C191" s="2">
        <v>45569</v>
      </c>
      <c r="D191" s="3" t="s">
        <v>14</v>
      </c>
      <c r="E191" s="3" t="s">
        <v>35</v>
      </c>
      <c r="F191" s="3">
        <v>21729</v>
      </c>
      <c r="G191" s="3">
        <v>1209</v>
      </c>
      <c r="H191" s="3">
        <v>897</v>
      </c>
      <c r="I191" s="3">
        <v>1624</v>
      </c>
      <c r="J191" s="3">
        <v>38771</v>
      </c>
      <c r="K191" s="3">
        <v>113297</v>
      </c>
      <c r="L191" s="3" t="s">
        <v>29</v>
      </c>
    </row>
    <row r="192" spans="1:12" x14ac:dyDescent="0.3">
      <c r="A192" s="3" t="s">
        <v>227</v>
      </c>
      <c r="B192" s="3" t="s">
        <v>13</v>
      </c>
      <c r="C192" s="2">
        <v>45944</v>
      </c>
      <c r="D192" s="3" t="s">
        <v>34</v>
      </c>
      <c r="E192" s="3" t="s">
        <v>55</v>
      </c>
      <c r="F192" s="3">
        <v>9673</v>
      </c>
      <c r="G192" s="3">
        <v>393</v>
      </c>
      <c r="H192" s="3">
        <v>846</v>
      </c>
      <c r="I192" s="3">
        <v>1028</v>
      </c>
      <c r="J192" s="3">
        <v>55556</v>
      </c>
      <c r="K192" s="3">
        <v>136652</v>
      </c>
      <c r="L192" s="3" t="s">
        <v>20</v>
      </c>
    </row>
    <row r="193" spans="1:12" x14ac:dyDescent="0.3">
      <c r="A193" s="3" t="s">
        <v>228</v>
      </c>
      <c r="B193" s="3" t="s">
        <v>13</v>
      </c>
      <c r="C193" s="2">
        <v>45945</v>
      </c>
      <c r="D193" s="3" t="s">
        <v>14</v>
      </c>
      <c r="E193" s="3" t="s">
        <v>37</v>
      </c>
      <c r="F193" s="3">
        <v>8882</v>
      </c>
      <c r="G193" s="3">
        <v>701</v>
      </c>
      <c r="H193" s="3">
        <v>421</v>
      </c>
      <c r="I193" s="3">
        <v>2343</v>
      </c>
      <c r="J193" s="3">
        <v>13588</v>
      </c>
      <c r="K193" s="3">
        <v>139304</v>
      </c>
      <c r="L193" s="3" t="s">
        <v>20</v>
      </c>
    </row>
    <row r="194" spans="1:12" x14ac:dyDescent="0.3">
      <c r="A194" s="3" t="s">
        <v>229</v>
      </c>
      <c r="B194" s="3" t="s">
        <v>22</v>
      </c>
      <c r="C194" s="2">
        <v>45546</v>
      </c>
      <c r="D194" s="3" t="s">
        <v>14</v>
      </c>
      <c r="E194" s="3" t="s">
        <v>37</v>
      </c>
      <c r="F194" s="3">
        <v>3906</v>
      </c>
      <c r="G194" s="3">
        <v>1187</v>
      </c>
      <c r="H194" s="3">
        <v>589</v>
      </c>
      <c r="I194" s="3">
        <v>401</v>
      </c>
      <c r="J194" s="3">
        <v>52687</v>
      </c>
      <c r="K194" s="3">
        <v>196498</v>
      </c>
      <c r="L194" s="3" t="s">
        <v>16</v>
      </c>
    </row>
    <row r="195" spans="1:12" x14ac:dyDescent="0.3">
      <c r="A195" s="3" t="s">
        <v>230</v>
      </c>
      <c r="B195" s="3" t="s">
        <v>13</v>
      </c>
      <c r="C195" s="2">
        <v>45567</v>
      </c>
      <c r="D195" s="3" t="s">
        <v>27</v>
      </c>
      <c r="E195" s="3" t="s">
        <v>35</v>
      </c>
      <c r="F195" s="3">
        <v>5086</v>
      </c>
      <c r="G195" s="3">
        <v>1336</v>
      </c>
      <c r="H195" s="3">
        <v>897</v>
      </c>
      <c r="I195" s="3">
        <v>1715</v>
      </c>
      <c r="J195" s="3">
        <v>60592</v>
      </c>
      <c r="K195" s="3">
        <v>57772</v>
      </c>
      <c r="L195" s="3" t="s">
        <v>25</v>
      </c>
    </row>
    <row r="196" spans="1:12" x14ac:dyDescent="0.3">
      <c r="A196" s="3" t="s">
        <v>231</v>
      </c>
      <c r="B196" s="3" t="s">
        <v>13</v>
      </c>
      <c r="C196" s="2">
        <v>45519</v>
      </c>
      <c r="D196" s="3" t="s">
        <v>14</v>
      </c>
      <c r="E196" s="3" t="s">
        <v>41</v>
      </c>
      <c r="F196" s="3">
        <v>15503</v>
      </c>
      <c r="G196" s="3">
        <v>313</v>
      </c>
      <c r="H196" s="3">
        <v>388</v>
      </c>
      <c r="I196" s="3">
        <v>1078</v>
      </c>
      <c r="J196" s="3">
        <v>11500</v>
      </c>
      <c r="K196" s="3">
        <v>143754</v>
      </c>
      <c r="L196" s="3" t="s">
        <v>29</v>
      </c>
    </row>
    <row r="197" spans="1:12" x14ac:dyDescent="0.3">
      <c r="A197" s="3" t="s">
        <v>232</v>
      </c>
      <c r="B197" s="3" t="s">
        <v>40</v>
      </c>
      <c r="C197" s="2">
        <v>45918</v>
      </c>
      <c r="D197" s="3" t="s">
        <v>23</v>
      </c>
      <c r="E197" s="3" t="s">
        <v>64</v>
      </c>
      <c r="F197" s="3">
        <v>10152</v>
      </c>
      <c r="G197" s="3">
        <v>1445</v>
      </c>
      <c r="H197" s="3">
        <v>526</v>
      </c>
      <c r="I197" s="3">
        <v>513</v>
      </c>
      <c r="J197" s="3">
        <v>18959</v>
      </c>
      <c r="K197" s="3">
        <v>43712</v>
      </c>
      <c r="L197" s="3" t="s">
        <v>20</v>
      </c>
    </row>
    <row r="198" spans="1:12" x14ac:dyDescent="0.3">
      <c r="A198" s="3" t="s">
        <v>233</v>
      </c>
      <c r="B198" s="3" t="s">
        <v>40</v>
      </c>
      <c r="C198" s="2">
        <v>45587</v>
      </c>
      <c r="D198" s="3" t="s">
        <v>23</v>
      </c>
      <c r="E198" s="3" t="s">
        <v>24</v>
      </c>
      <c r="F198" s="3">
        <v>7750</v>
      </c>
      <c r="G198" s="3">
        <v>1146</v>
      </c>
      <c r="H198" s="3">
        <v>415</v>
      </c>
      <c r="I198" s="3">
        <v>1411</v>
      </c>
      <c r="J198" s="3">
        <v>85339</v>
      </c>
      <c r="K198" s="3">
        <v>172439</v>
      </c>
      <c r="L198" s="3" t="s">
        <v>25</v>
      </c>
    </row>
    <row r="199" spans="1:12" x14ac:dyDescent="0.3">
      <c r="A199" s="3" t="s">
        <v>234</v>
      </c>
      <c r="B199" s="3" t="s">
        <v>18</v>
      </c>
      <c r="C199" s="2">
        <v>45919</v>
      </c>
      <c r="D199" s="3" t="s">
        <v>34</v>
      </c>
      <c r="E199" s="3" t="s">
        <v>28</v>
      </c>
      <c r="F199" s="3">
        <v>14772</v>
      </c>
      <c r="G199" s="3">
        <v>1030</v>
      </c>
      <c r="H199" s="3">
        <v>508</v>
      </c>
      <c r="I199" s="3">
        <v>1876</v>
      </c>
      <c r="J199" s="3">
        <v>8882</v>
      </c>
      <c r="K199" s="3">
        <v>155142</v>
      </c>
      <c r="L199" s="3" t="s">
        <v>20</v>
      </c>
    </row>
    <row r="200" spans="1:12" x14ac:dyDescent="0.3">
      <c r="A200" s="3" t="s">
        <v>235</v>
      </c>
      <c r="B200" s="3" t="s">
        <v>22</v>
      </c>
      <c r="C200" s="2">
        <v>45920</v>
      </c>
      <c r="D200" s="3" t="s">
        <v>14</v>
      </c>
      <c r="E200" s="3" t="s">
        <v>37</v>
      </c>
      <c r="F200" s="3">
        <v>12267</v>
      </c>
      <c r="G200" s="3">
        <v>1487</v>
      </c>
      <c r="H200" s="3">
        <v>489</v>
      </c>
      <c r="I200" s="3">
        <v>2748</v>
      </c>
      <c r="J200" s="3">
        <v>34685</v>
      </c>
      <c r="K200" s="3">
        <v>131736</v>
      </c>
      <c r="L200" s="3" t="s">
        <v>20</v>
      </c>
    </row>
    <row r="201" spans="1:12" x14ac:dyDescent="0.3">
      <c r="A201" s="3" t="s">
        <v>236</v>
      </c>
      <c r="B201" s="3" t="s">
        <v>13</v>
      </c>
      <c r="C201" s="2">
        <v>45754</v>
      </c>
      <c r="D201" s="3" t="s">
        <v>34</v>
      </c>
      <c r="E201" s="3" t="s">
        <v>55</v>
      </c>
      <c r="F201" s="3">
        <v>3062</v>
      </c>
      <c r="G201" s="3">
        <v>1124</v>
      </c>
      <c r="H201" s="3">
        <v>538</v>
      </c>
      <c r="I201" s="3">
        <v>2935</v>
      </c>
      <c r="J201" s="3">
        <v>69749</v>
      </c>
      <c r="K201" s="3">
        <v>91924</v>
      </c>
      <c r="L201" s="3" t="s">
        <v>29</v>
      </c>
    </row>
    <row r="202" spans="1:12" x14ac:dyDescent="0.3">
      <c r="A202" s="3" t="s">
        <v>237</v>
      </c>
      <c r="B202" s="3" t="s">
        <v>13</v>
      </c>
      <c r="C202" s="2">
        <v>45672</v>
      </c>
      <c r="D202" s="3" t="s">
        <v>23</v>
      </c>
      <c r="E202" s="3" t="s">
        <v>32</v>
      </c>
      <c r="F202" s="3">
        <v>20360</v>
      </c>
      <c r="G202" s="3">
        <v>254</v>
      </c>
      <c r="H202" s="3">
        <v>726</v>
      </c>
      <c r="I202" s="3">
        <v>1995</v>
      </c>
      <c r="J202" s="3">
        <v>14280</v>
      </c>
      <c r="K202" s="3">
        <v>43726</v>
      </c>
      <c r="L202" s="3" t="s">
        <v>29</v>
      </c>
    </row>
    <row r="203" spans="1:12" x14ac:dyDescent="0.3">
      <c r="A203" s="3" t="s">
        <v>238</v>
      </c>
      <c r="B203" s="3" t="s">
        <v>18</v>
      </c>
      <c r="C203" s="2">
        <v>45921</v>
      </c>
      <c r="D203" s="3" t="s">
        <v>14</v>
      </c>
      <c r="E203" s="3" t="s">
        <v>115</v>
      </c>
      <c r="F203" s="3">
        <v>19680</v>
      </c>
      <c r="G203" s="3">
        <v>999</v>
      </c>
      <c r="H203" s="3">
        <v>838</v>
      </c>
      <c r="I203" s="3">
        <v>891</v>
      </c>
      <c r="J203" s="3">
        <v>29576</v>
      </c>
      <c r="K203" s="3">
        <v>129152</v>
      </c>
      <c r="L203" s="3" t="s">
        <v>20</v>
      </c>
    </row>
    <row r="204" spans="1:12" x14ac:dyDescent="0.3">
      <c r="A204" s="3" t="s">
        <v>239</v>
      </c>
      <c r="B204" s="3" t="s">
        <v>13</v>
      </c>
      <c r="C204" s="2">
        <v>45617</v>
      </c>
      <c r="D204" s="3" t="s">
        <v>14</v>
      </c>
      <c r="E204" s="3" t="s">
        <v>37</v>
      </c>
      <c r="F204" s="3">
        <v>8229</v>
      </c>
      <c r="G204" s="3">
        <v>977</v>
      </c>
      <c r="H204" s="3">
        <v>152</v>
      </c>
      <c r="I204" s="3">
        <v>1633</v>
      </c>
      <c r="J204" s="3">
        <v>71447</v>
      </c>
      <c r="K204" s="3">
        <v>67723</v>
      </c>
      <c r="L204" s="3" t="s">
        <v>45</v>
      </c>
    </row>
    <row r="205" spans="1:12" x14ac:dyDescent="0.3">
      <c r="A205" s="3" t="s">
        <v>240</v>
      </c>
      <c r="B205" s="3" t="s">
        <v>22</v>
      </c>
      <c r="C205" s="2">
        <v>45922</v>
      </c>
      <c r="D205" s="3" t="s">
        <v>34</v>
      </c>
      <c r="E205" s="3" t="s">
        <v>32</v>
      </c>
      <c r="F205" s="3">
        <v>18509</v>
      </c>
      <c r="G205" s="3">
        <v>361</v>
      </c>
      <c r="H205" s="3">
        <v>578</v>
      </c>
      <c r="I205" s="3">
        <v>1409</v>
      </c>
      <c r="J205" s="3">
        <v>10569</v>
      </c>
      <c r="K205" s="3">
        <v>166969</v>
      </c>
      <c r="L205" s="3" t="s">
        <v>20</v>
      </c>
    </row>
    <row r="206" spans="1:12" x14ac:dyDescent="0.3">
      <c r="A206" s="3" t="s">
        <v>241</v>
      </c>
      <c r="B206" s="3" t="s">
        <v>18</v>
      </c>
      <c r="C206" s="2">
        <v>45923</v>
      </c>
      <c r="D206" s="3" t="s">
        <v>23</v>
      </c>
      <c r="E206" s="3" t="s">
        <v>50</v>
      </c>
      <c r="F206" s="3">
        <v>17147</v>
      </c>
      <c r="G206" s="3">
        <v>286</v>
      </c>
      <c r="H206" s="3">
        <v>291</v>
      </c>
      <c r="I206" s="3">
        <v>2439</v>
      </c>
      <c r="J206" s="3">
        <v>45631</v>
      </c>
      <c r="K206" s="3">
        <v>140494</v>
      </c>
      <c r="L206" s="3" t="s">
        <v>20</v>
      </c>
    </row>
    <row r="207" spans="1:12" x14ac:dyDescent="0.3">
      <c r="A207" s="3" t="s">
        <v>242</v>
      </c>
      <c r="B207" s="3" t="s">
        <v>22</v>
      </c>
      <c r="C207" s="2">
        <v>45467</v>
      </c>
      <c r="D207" s="3" t="s">
        <v>14</v>
      </c>
      <c r="E207" s="3" t="s">
        <v>50</v>
      </c>
      <c r="F207" s="3">
        <v>6632</v>
      </c>
      <c r="G207" s="3">
        <v>254</v>
      </c>
      <c r="H207" s="3">
        <v>525</v>
      </c>
      <c r="I207" s="3">
        <v>1013</v>
      </c>
      <c r="J207" s="3">
        <v>13838</v>
      </c>
      <c r="K207" s="3">
        <v>180180</v>
      </c>
      <c r="L207" s="3" t="s">
        <v>16</v>
      </c>
    </row>
    <row r="208" spans="1:12" x14ac:dyDescent="0.3">
      <c r="A208" s="3" t="s">
        <v>243</v>
      </c>
      <c r="B208" s="3" t="s">
        <v>18</v>
      </c>
      <c r="C208" s="2">
        <v>45655</v>
      </c>
      <c r="D208" s="3" t="s">
        <v>34</v>
      </c>
      <c r="E208" s="3" t="s">
        <v>64</v>
      </c>
      <c r="F208" s="3">
        <v>8288</v>
      </c>
      <c r="G208" s="3">
        <v>1401</v>
      </c>
      <c r="H208" s="3">
        <v>819</v>
      </c>
      <c r="I208" s="3">
        <v>1235</v>
      </c>
      <c r="J208" s="3">
        <v>33446</v>
      </c>
      <c r="K208" s="3">
        <v>248786</v>
      </c>
      <c r="L208" s="3" t="s">
        <v>16</v>
      </c>
    </row>
    <row r="209" spans="1:12" x14ac:dyDescent="0.3">
      <c r="A209" s="3" t="s">
        <v>244</v>
      </c>
      <c r="B209" s="3" t="s">
        <v>18</v>
      </c>
      <c r="C209" s="2">
        <v>45467</v>
      </c>
      <c r="D209" s="3" t="s">
        <v>23</v>
      </c>
      <c r="E209" s="3" t="s">
        <v>19</v>
      </c>
      <c r="F209" s="3">
        <v>5596</v>
      </c>
      <c r="G209" s="3">
        <v>1231</v>
      </c>
      <c r="H209" s="3">
        <v>473</v>
      </c>
      <c r="I209" s="3">
        <v>2251</v>
      </c>
      <c r="J209" s="3">
        <v>43705</v>
      </c>
      <c r="K209" s="3">
        <v>75643</v>
      </c>
      <c r="L209" s="3" t="s">
        <v>16</v>
      </c>
    </row>
    <row r="210" spans="1:12" x14ac:dyDescent="0.3">
      <c r="A210" s="3" t="s">
        <v>245</v>
      </c>
      <c r="B210" s="3" t="s">
        <v>40</v>
      </c>
      <c r="C210" s="2">
        <v>45735</v>
      </c>
      <c r="D210" s="3" t="s">
        <v>34</v>
      </c>
      <c r="E210" s="3" t="s">
        <v>28</v>
      </c>
      <c r="F210" s="3">
        <v>13475</v>
      </c>
      <c r="G210" s="3">
        <v>1032</v>
      </c>
      <c r="H210" s="3">
        <v>295</v>
      </c>
      <c r="I210" s="3">
        <v>541</v>
      </c>
      <c r="J210" s="3">
        <v>43666</v>
      </c>
      <c r="K210" s="3">
        <v>202396</v>
      </c>
      <c r="L210" s="3" t="s">
        <v>45</v>
      </c>
    </row>
    <row r="211" spans="1:12" x14ac:dyDescent="0.3">
      <c r="A211" s="3" t="s">
        <v>246</v>
      </c>
      <c r="B211" s="3" t="s">
        <v>22</v>
      </c>
      <c r="C211" s="2">
        <v>45707</v>
      </c>
      <c r="D211" s="3" t="s">
        <v>27</v>
      </c>
      <c r="E211" s="3" t="s">
        <v>41</v>
      </c>
      <c r="F211" s="3">
        <v>8168</v>
      </c>
      <c r="G211" s="3">
        <v>512</v>
      </c>
      <c r="H211" s="3">
        <v>442</v>
      </c>
      <c r="I211" s="3">
        <v>2343</v>
      </c>
      <c r="J211" s="3">
        <v>2753</v>
      </c>
      <c r="K211" s="3">
        <v>143896</v>
      </c>
      <c r="L211" s="3" t="s">
        <v>45</v>
      </c>
    </row>
    <row r="212" spans="1:12" x14ac:dyDescent="0.3">
      <c r="A212" s="3" t="s">
        <v>247</v>
      </c>
      <c r="B212" s="3" t="s">
        <v>13</v>
      </c>
      <c r="C212" s="2">
        <v>45924</v>
      </c>
      <c r="D212" s="3" t="s">
        <v>14</v>
      </c>
      <c r="E212" s="3" t="s">
        <v>64</v>
      </c>
      <c r="F212" s="3">
        <v>11795</v>
      </c>
      <c r="G212" s="3">
        <v>958</v>
      </c>
      <c r="H212" s="3">
        <v>814</v>
      </c>
      <c r="I212" s="3">
        <v>301</v>
      </c>
      <c r="J212" s="3">
        <v>12564</v>
      </c>
      <c r="K212" s="3">
        <v>179999</v>
      </c>
      <c r="L212" s="3" t="s">
        <v>20</v>
      </c>
    </row>
    <row r="213" spans="1:12" x14ac:dyDescent="0.3">
      <c r="A213" s="3" t="s">
        <v>248</v>
      </c>
      <c r="B213" s="3" t="s">
        <v>13</v>
      </c>
      <c r="C213" s="2">
        <v>45719</v>
      </c>
      <c r="D213" s="3" t="s">
        <v>27</v>
      </c>
      <c r="E213" s="3" t="s">
        <v>15</v>
      </c>
      <c r="F213" s="3">
        <v>9561</v>
      </c>
      <c r="G213" s="3">
        <v>642</v>
      </c>
      <c r="H213" s="3">
        <v>581</v>
      </c>
      <c r="I213" s="3">
        <v>2572</v>
      </c>
      <c r="J213" s="3">
        <v>38552</v>
      </c>
      <c r="K213" s="3">
        <v>133680</v>
      </c>
      <c r="L213" s="3" t="s">
        <v>16</v>
      </c>
    </row>
    <row r="214" spans="1:12" x14ac:dyDescent="0.3">
      <c r="A214" s="3" t="s">
        <v>249</v>
      </c>
      <c r="B214" s="3" t="s">
        <v>22</v>
      </c>
      <c r="C214" s="2">
        <v>45778</v>
      </c>
      <c r="D214" s="3" t="s">
        <v>23</v>
      </c>
      <c r="E214" s="3" t="s">
        <v>41</v>
      </c>
      <c r="F214" s="3">
        <v>10258</v>
      </c>
      <c r="G214" s="3">
        <v>527</v>
      </c>
      <c r="H214" s="3">
        <v>854</v>
      </c>
      <c r="I214" s="3">
        <v>2068</v>
      </c>
      <c r="J214" s="3">
        <v>45632</v>
      </c>
      <c r="K214" s="3">
        <v>136546</v>
      </c>
      <c r="L214" s="3" t="s">
        <v>45</v>
      </c>
    </row>
    <row r="215" spans="1:12" x14ac:dyDescent="0.3">
      <c r="A215" s="3" t="s">
        <v>250</v>
      </c>
      <c r="B215" s="3" t="s">
        <v>13</v>
      </c>
      <c r="C215" s="2">
        <v>45649</v>
      </c>
      <c r="D215" s="3" t="s">
        <v>27</v>
      </c>
      <c r="E215" s="3" t="s">
        <v>24</v>
      </c>
      <c r="F215" s="3">
        <v>18616</v>
      </c>
      <c r="G215" s="3">
        <v>1277</v>
      </c>
      <c r="H215" s="3">
        <v>734</v>
      </c>
      <c r="I215" s="3">
        <v>2249</v>
      </c>
      <c r="J215" s="3">
        <v>3399</v>
      </c>
      <c r="K215" s="3">
        <v>193515</v>
      </c>
      <c r="L215" s="3" t="s">
        <v>29</v>
      </c>
    </row>
    <row r="216" spans="1:12" x14ac:dyDescent="0.3">
      <c r="A216" s="3" t="s">
        <v>251</v>
      </c>
      <c r="B216" s="3" t="s">
        <v>13</v>
      </c>
      <c r="C216" s="2">
        <v>45925</v>
      </c>
      <c r="D216" s="3" t="s">
        <v>27</v>
      </c>
      <c r="E216" s="3" t="s">
        <v>55</v>
      </c>
      <c r="F216" s="3">
        <v>8371</v>
      </c>
      <c r="G216" s="3">
        <v>960</v>
      </c>
      <c r="H216" s="3">
        <v>548</v>
      </c>
      <c r="I216" s="3">
        <v>2936</v>
      </c>
      <c r="J216" s="3">
        <v>82543</v>
      </c>
      <c r="K216" s="3">
        <v>119973</v>
      </c>
      <c r="L216" s="3" t="s">
        <v>20</v>
      </c>
    </row>
    <row r="217" spans="1:12" x14ac:dyDescent="0.3">
      <c r="A217" s="3" t="s">
        <v>252</v>
      </c>
      <c r="B217" s="3" t="s">
        <v>22</v>
      </c>
      <c r="C217" s="2">
        <v>45502</v>
      </c>
      <c r="D217" s="3" t="s">
        <v>23</v>
      </c>
      <c r="E217" s="3" t="s">
        <v>15</v>
      </c>
      <c r="F217" s="3">
        <v>22590</v>
      </c>
      <c r="G217" s="3">
        <v>1462</v>
      </c>
      <c r="H217" s="3">
        <v>966</v>
      </c>
      <c r="I217" s="3">
        <v>2463</v>
      </c>
      <c r="J217" s="3">
        <v>29689</v>
      </c>
      <c r="K217" s="3">
        <v>103449</v>
      </c>
      <c r="L217" s="3" t="s">
        <v>25</v>
      </c>
    </row>
    <row r="218" spans="1:12" x14ac:dyDescent="0.3">
      <c r="A218" s="3" t="s">
        <v>253</v>
      </c>
      <c r="B218" s="3" t="s">
        <v>18</v>
      </c>
      <c r="C218" s="2">
        <v>45926</v>
      </c>
      <c r="D218" s="3" t="s">
        <v>34</v>
      </c>
      <c r="E218" s="3" t="s">
        <v>15</v>
      </c>
      <c r="F218" s="3">
        <v>16369</v>
      </c>
      <c r="G218" s="3">
        <v>1452</v>
      </c>
      <c r="H218" s="3">
        <v>493</v>
      </c>
      <c r="I218" s="3">
        <v>1217</v>
      </c>
      <c r="J218" s="3">
        <v>91440</v>
      </c>
      <c r="K218" s="3">
        <v>149834</v>
      </c>
      <c r="L218" s="3" t="s">
        <v>20</v>
      </c>
    </row>
    <row r="219" spans="1:12" x14ac:dyDescent="0.3">
      <c r="A219" s="3" t="s">
        <v>254</v>
      </c>
      <c r="B219" s="3" t="s">
        <v>22</v>
      </c>
      <c r="C219" s="2">
        <v>45454</v>
      </c>
      <c r="D219" s="3" t="s">
        <v>27</v>
      </c>
      <c r="E219" s="3" t="s">
        <v>64</v>
      </c>
      <c r="F219" s="3">
        <v>14910</v>
      </c>
      <c r="G219" s="3">
        <v>778</v>
      </c>
      <c r="H219" s="3">
        <v>289</v>
      </c>
      <c r="I219" s="3">
        <v>2541</v>
      </c>
      <c r="J219" s="3">
        <v>14309</v>
      </c>
      <c r="K219" s="3">
        <v>247815</v>
      </c>
      <c r="L219" s="3" t="s">
        <v>25</v>
      </c>
    </row>
    <row r="220" spans="1:12" x14ac:dyDescent="0.3">
      <c r="A220" s="3" t="s">
        <v>255</v>
      </c>
      <c r="B220" s="3" t="s">
        <v>18</v>
      </c>
      <c r="C220" s="2">
        <v>45685</v>
      </c>
      <c r="D220" s="3" t="s">
        <v>34</v>
      </c>
      <c r="E220" s="3" t="s">
        <v>35</v>
      </c>
      <c r="F220" s="3">
        <v>9943</v>
      </c>
      <c r="G220" s="3">
        <v>1274</v>
      </c>
      <c r="H220" s="3">
        <v>336</v>
      </c>
      <c r="I220" s="3">
        <v>389</v>
      </c>
      <c r="J220" s="3">
        <v>6145</v>
      </c>
      <c r="K220" s="3">
        <v>231305</v>
      </c>
      <c r="L220" s="3" t="s">
        <v>16</v>
      </c>
    </row>
    <row r="221" spans="1:12" x14ac:dyDescent="0.3">
      <c r="A221" s="3" t="s">
        <v>256</v>
      </c>
      <c r="B221" s="3" t="s">
        <v>13</v>
      </c>
      <c r="C221" s="2">
        <v>45445</v>
      </c>
      <c r="D221" s="3" t="s">
        <v>27</v>
      </c>
      <c r="E221" s="3" t="s">
        <v>19</v>
      </c>
      <c r="F221" s="3">
        <v>14199</v>
      </c>
      <c r="G221" s="3">
        <v>1206</v>
      </c>
      <c r="H221" s="3">
        <v>954</v>
      </c>
      <c r="I221" s="3">
        <v>2009</v>
      </c>
      <c r="J221" s="3">
        <v>8</v>
      </c>
      <c r="K221" s="3">
        <v>65537</v>
      </c>
      <c r="L221" s="3" t="s">
        <v>25</v>
      </c>
    </row>
    <row r="222" spans="1:12" x14ac:dyDescent="0.3">
      <c r="A222" s="3" t="s">
        <v>257</v>
      </c>
      <c r="B222" s="3" t="s">
        <v>13</v>
      </c>
      <c r="C222" s="2">
        <v>45739</v>
      </c>
      <c r="D222" s="3" t="s">
        <v>34</v>
      </c>
      <c r="E222" s="3" t="s">
        <v>35</v>
      </c>
      <c r="F222" s="3">
        <v>17728</v>
      </c>
      <c r="G222" s="3">
        <v>1487</v>
      </c>
      <c r="H222" s="3">
        <v>210</v>
      </c>
      <c r="I222" s="3">
        <v>2469</v>
      </c>
      <c r="J222" s="3">
        <v>30565</v>
      </c>
      <c r="K222" s="3">
        <v>117576</v>
      </c>
      <c r="L222" s="3" t="s">
        <v>16</v>
      </c>
    </row>
    <row r="223" spans="1:12" x14ac:dyDescent="0.3">
      <c r="A223" s="3" t="s">
        <v>258</v>
      </c>
      <c r="B223" s="3" t="s">
        <v>13</v>
      </c>
      <c r="C223" s="2">
        <v>45573</v>
      </c>
      <c r="D223" s="3" t="s">
        <v>23</v>
      </c>
      <c r="E223" s="3" t="s">
        <v>64</v>
      </c>
      <c r="F223" s="3">
        <v>8738</v>
      </c>
      <c r="G223" s="3">
        <v>295</v>
      </c>
      <c r="H223" s="3">
        <v>529</v>
      </c>
      <c r="I223" s="3">
        <v>442</v>
      </c>
      <c r="J223" s="3">
        <v>25286</v>
      </c>
      <c r="K223" s="3">
        <v>147522</v>
      </c>
      <c r="L223" s="3" t="s">
        <v>29</v>
      </c>
    </row>
    <row r="224" spans="1:12" x14ac:dyDescent="0.3">
      <c r="A224" s="3" t="s">
        <v>259</v>
      </c>
      <c r="B224" s="3" t="s">
        <v>40</v>
      </c>
      <c r="C224" s="2">
        <v>45608</v>
      </c>
      <c r="D224" s="3" t="s">
        <v>27</v>
      </c>
      <c r="E224" s="3" t="s">
        <v>24</v>
      </c>
      <c r="F224" s="3">
        <v>17913</v>
      </c>
      <c r="G224" s="3">
        <v>1311</v>
      </c>
      <c r="H224" s="3">
        <v>859</v>
      </c>
      <c r="I224" s="3">
        <v>405</v>
      </c>
      <c r="J224" s="3">
        <v>59842</v>
      </c>
      <c r="K224" s="3">
        <v>62612</v>
      </c>
      <c r="L224" s="3" t="s">
        <v>25</v>
      </c>
    </row>
    <row r="225" spans="1:12" x14ac:dyDescent="0.3">
      <c r="A225" s="3" t="s">
        <v>260</v>
      </c>
      <c r="B225" s="3" t="s">
        <v>18</v>
      </c>
      <c r="C225" s="2">
        <v>45907</v>
      </c>
      <c r="D225" s="3" t="s">
        <v>23</v>
      </c>
      <c r="E225" s="3" t="s">
        <v>115</v>
      </c>
      <c r="F225" s="3">
        <v>4472</v>
      </c>
      <c r="G225" s="3">
        <v>1301</v>
      </c>
      <c r="H225" s="3">
        <v>956</v>
      </c>
      <c r="I225" s="3">
        <v>1186</v>
      </c>
      <c r="J225" s="3">
        <v>3363</v>
      </c>
      <c r="K225" s="3">
        <v>46471</v>
      </c>
      <c r="L225" s="3" t="s">
        <v>20</v>
      </c>
    </row>
    <row r="226" spans="1:12" x14ac:dyDescent="0.3">
      <c r="A226" s="3" t="s">
        <v>261</v>
      </c>
      <c r="B226" s="3" t="s">
        <v>40</v>
      </c>
      <c r="C226" s="2">
        <v>45463</v>
      </c>
      <c r="D226" s="3" t="s">
        <v>27</v>
      </c>
      <c r="E226" s="3" t="s">
        <v>37</v>
      </c>
      <c r="F226" s="3">
        <v>21123</v>
      </c>
      <c r="G226" s="3">
        <v>1343</v>
      </c>
      <c r="H226" s="3">
        <v>589</v>
      </c>
      <c r="I226" s="3">
        <v>727</v>
      </c>
      <c r="J226" s="3">
        <v>87833</v>
      </c>
      <c r="K226" s="3">
        <v>206703</v>
      </c>
      <c r="L226" s="3" t="s">
        <v>16</v>
      </c>
    </row>
    <row r="227" spans="1:12" x14ac:dyDescent="0.3">
      <c r="A227" s="3" t="s">
        <v>262</v>
      </c>
      <c r="B227" s="3" t="s">
        <v>40</v>
      </c>
      <c r="C227" s="2">
        <v>45908</v>
      </c>
      <c r="D227" s="3" t="s">
        <v>23</v>
      </c>
      <c r="E227" s="3" t="s">
        <v>37</v>
      </c>
      <c r="F227" s="3">
        <v>23785</v>
      </c>
      <c r="G227" s="3">
        <v>1013</v>
      </c>
      <c r="H227" s="3">
        <v>468</v>
      </c>
      <c r="I227" s="3">
        <v>1628</v>
      </c>
      <c r="J227" s="3">
        <v>8272</v>
      </c>
      <c r="K227" s="3">
        <v>71348</v>
      </c>
      <c r="L227" s="3" t="s">
        <v>20</v>
      </c>
    </row>
    <row r="228" spans="1:12" x14ac:dyDescent="0.3">
      <c r="A228" s="3" t="s">
        <v>263</v>
      </c>
      <c r="B228" s="3" t="s">
        <v>22</v>
      </c>
      <c r="C228" s="2">
        <v>45455</v>
      </c>
      <c r="D228" s="3" t="s">
        <v>23</v>
      </c>
      <c r="E228" s="3" t="s">
        <v>19</v>
      </c>
      <c r="F228" s="3">
        <v>17679</v>
      </c>
      <c r="G228" s="3">
        <v>690</v>
      </c>
      <c r="H228" s="3">
        <v>451</v>
      </c>
      <c r="I228" s="3">
        <v>2195</v>
      </c>
      <c r="J228" s="3">
        <v>4390</v>
      </c>
      <c r="K228" s="3">
        <v>235804</v>
      </c>
      <c r="L228" s="3" t="s">
        <v>45</v>
      </c>
    </row>
    <row r="229" spans="1:12" x14ac:dyDescent="0.3">
      <c r="A229" s="3" t="s">
        <v>264</v>
      </c>
      <c r="B229" s="3" t="s">
        <v>40</v>
      </c>
      <c r="C229" s="2">
        <v>45474</v>
      </c>
      <c r="D229" s="3" t="s">
        <v>27</v>
      </c>
      <c r="E229" s="3" t="s">
        <v>24</v>
      </c>
      <c r="F229" s="3">
        <v>3761</v>
      </c>
      <c r="G229" s="3">
        <v>651</v>
      </c>
      <c r="H229" s="3">
        <v>493</v>
      </c>
      <c r="I229" s="3">
        <v>2294</v>
      </c>
      <c r="J229" s="3">
        <v>71696</v>
      </c>
      <c r="K229" s="3">
        <v>41177</v>
      </c>
      <c r="L229" s="3" t="s">
        <v>16</v>
      </c>
    </row>
    <row r="230" spans="1:12" x14ac:dyDescent="0.3">
      <c r="A230" s="3" t="s">
        <v>265</v>
      </c>
      <c r="B230" s="3" t="s">
        <v>22</v>
      </c>
      <c r="C230" s="2">
        <v>45476</v>
      </c>
      <c r="D230" s="3" t="s">
        <v>27</v>
      </c>
      <c r="E230" s="3" t="s">
        <v>19</v>
      </c>
      <c r="F230" s="3">
        <v>12167</v>
      </c>
      <c r="G230" s="3">
        <v>364</v>
      </c>
      <c r="H230" s="3">
        <v>160</v>
      </c>
      <c r="I230" s="3">
        <v>616</v>
      </c>
      <c r="J230" s="3">
        <v>42228</v>
      </c>
      <c r="K230" s="3">
        <v>175832</v>
      </c>
      <c r="L230" s="3" t="s">
        <v>25</v>
      </c>
    </row>
    <row r="231" spans="1:12" x14ac:dyDescent="0.3">
      <c r="A231" s="3" t="s">
        <v>266</v>
      </c>
      <c r="B231" s="3" t="s">
        <v>22</v>
      </c>
      <c r="C231" s="2">
        <v>45488</v>
      </c>
      <c r="D231" s="3" t="s">
        <v>27</v>
      </c>
      <c r="E231" s="3" t="s">
        <v>32</v>
      </c>
      <c r="F231" s="3">
        <v>12554</v>
      </c>
      <c r="G231" s="3">
        <v>381</v>
      </c>
      <c r="H231" s="3">
        <v>211</v>
      </c>
      <c r="I231" s="3">
        <v>2286</v>
      </c>
      <c r="J231" s="3">
        <v>50567</v>
      </c>
      <c r="K231" s="3">
        <v>72779</v>
      </c>
      <c r="L231" s="3" t="s">
        <v>16</v>
      </c>
    </row>
    <row r="232" spans="1:12" x14ac:dyDescent="0.3">
      <c r="A232" s="3" t="s">
        <v>267</v>
      </c>
      <c r="B232" s="3" t="s">
        <v>40</v>
      </c>
      <c r="C232" s="2">
        <v>45909</v>
      </c>
      <c r="D232" s="3" t="s">
        <v>14</v>
      </c>
      <c r="E232" s="3" t="s">
        <v>35</v>
      </c>
      <c r="F232" s="3">
        <v>19260</v>
      </c>
      <c r="G232" s="3">
        <v>668</v>
      </c>
      <c r="H232" s="3">
        <v>994</v>
      </c>
      <c r="I232" s="3">
        <v>934</v>
      </c>
      <c r="J232" s="3">
        <v>20509</v>
      </c>
      <c r="K232" s="3">
        <v>61636</v>
      </c>
      <c r="L232" s="3" t="s">
        <v>20</v>
      </c>
    </row>
    <row r="233" spans="1:12" x14ac:dyDescent="0.3">
      <c r="A233" s="3" t="s">
        <v>268</v>
      </c>
      <c r="B233" s="3" t="s">
        <v>18</v>
      </c>
      <c r="C233" s="2">
        <v>45776</v>
      </c>
      <c r="D233" s="3" t="s">
        <v>34</v>
      </c>
      <c r="E233" s="3" t="s">
        <v>37</v>
      </c>
      <c r="F233" s="3">
        <v>16277</v>
      </c>
      <c r="G233" s="3">
        <v>1109</v>
      </c>
      <c r="H233" s="3">
        <v>375</v>
      </c>
      <c r="I233" s="3">
        <v>2225</v>
      </c>
      <c r="J233" s="3">
        <v>1044</v>
      </c>
      <c r="K233" s="3">
        <v>121889</v>
      </c>
      <c r="L233" s="3" t="s">
        <v>29</v>
      </c>
    </row>
    <row r="234" spans="1:12" x14ac:dyDescent="0.3">
      <c r="A234" s="3" t="s">
        <v>269</v>
      </c>
      <c r="B234" s="3" t="s">
        <v>18</v>
      </c>
      <c r="C234" s="2">
        <v>45724</v>
      </c>
      <c r="D234" s="3" t="s">
        <v>14</v>
      </c>
      <c r="E234" s="3" t="s">
        <v>15</v>
      </c>
      <c r="F234" s="3">
        <v>5812</v>
      </c>
      <c r="G234" s="3">
        <v>934</v>
      </c>
      <c r="H234" s="3">
        <v>302</v>
      </c>
      <c r="I234" s="3">
        <v>2356</v>
      </c>
      <c r="J234" s="3">
        <v>37437</v>
      </c>
      <c r="K234" s="3">
        <v>93551</v>
      </c>
      <c r="L234" s="3" t="s">
        <v>16</v>
      </c>
    </row>
    <row r="235" spans="1:12" x14ac:dyDescent="0.3">
      <c r="A235" s="3" t="s">
        <v>270</v>
      </c>
      <c r="B235" s="3" t="s">
        <v>18</v>
      </c>
      <c r="C235" s="2">
        <v>45444</v>
      </c>
      <c r="D235" s="3" t="s">
        <v>14</v>
      </c>
      <c r="E235" s="3" t="s">
        <v>35</v>
      </c>
      <c r="F235" s="3">
        <v>19844</v>
      </c>
      <c r="G235" s="3">
        <v>1022</v>
      </c>
      <c r="H235" s="3">
        <v>860</v>
      </c>
      <c r="I235" s="3">
        <v>2570</v>
      </c>
      <c r="J235" s="3">
        <v>23719</v>
      </c>
      <c r="K235" s="3">
        <v>182628</v>
      </c>
      <c r="L235" s="3" t="s">
        <v>25</v>
      </c>
    </row>
    <row r="236" spans="1:12" x14ac:dyDescent="0.3">
      <c r="A236" s="3" t="s">
        <v>271</v>
      </c>
      <c r="B236" s="3" t="s">
        <v>18</v>
      </c>
      <c r="C236" s="2">
        <v>45648</v>
      </c>
      <c r="D236" s="3" t="s">
        <v>23</v>
      </c>
      <c r="E236" s="3" t="s">
        <v>28</v>
      </c>
      <c r="F236" s="3">
        <v>20117</v>
      </c>
      <c r="G236" s="3">
        <v>1143</v>
      </c>
      <c r="H236" s="3">
        <v>713</v>
      </c>
      <c r="I236" s="3">
        <v>1739</v>
      </c>
      <c r="J236" s="3">
        <v>34444</v>
      </c>
      <c r="K236" s="3">
        <v>198670</v>
      </c>
      <c r="L236" s="3" t="s">
        <v>45</v>
      </c>
    </row>
    <row r="237" spans="1:12" x14ac:dyDescent="0.3">
      <c r="A237" s="3" t="s">
        <v>272</v>
      </c>
      <c r="B237" s="3" t="s">
        <v>18</v>
      </c>
      <c r="C237" s="2">
        <v>45523</v>
      </c>
      <c r="D237" s="3" t="s">
        <v>27</v>
      </c>
      <c r="E237" s="3" t="s">
        <v>55</v>
      </c>
      <c r="F237" s="3">
        <v>3605</v>
      </c>
      <c r="G237" s="3">
        <v>206</v>
      </c>
      <c r="H237" s="3">
        <v>921</v>
      </c>
      <c r="I237" s="3">
        <v>852</v>
      </c>
      <c r="J237" s="3">
        <v>11660</v>
      </c>
      <c r="K237" s="3">
        <v>182635</v>
      </c>
      <c r="L237" s="3" t="s">
        <v>29</v>
      </c>
    </row>
    <row r="238" spans="1:12" x14ac:dyDescent="0.3">
      <c r="A238" s="3" t="s">
        <v>273</v>
      </c>
      <c r="B238" s="3" t="s">
        <v>40</v>
      </c>
      <c r="C238" s="2">
        <v>45587</v>
      </c>
      <c r="D238" s="3" t="s">
        <v>34</v>
      </c>
      <c r="E238" s="3" t="s">
        <v>24</v>
      </c>
      <c r="F238" s="3">
        <v>7622</v>
      </c>
      <c r="G238" s="3">
        <v>529</v>
      </c>
      <c r="H238" s="3">
        <v>720</v>
      </c>
      <c r="I238" s="3">
        <v>1015</v>
      </c>
      <c r="J238" s="3">
        <v>71322</v>
      </c>
      <c r="K238" s="3">
        <v>86819</v>
      </c>
      <c r="L238" s="3" t="s">
        <v>45</v>
      </c>
    </row>
    <row r="239" spans="1:12" x14ac:dyDescent="0.3">
      <c r="A239" s="3" t="s">
        <v>274</v>
      </c>
      <c r="B239" s="3" t="s">
        <v>40</v>
      </c>
      <c r="C239" s="2">
        <v>45489</v>
      </c>
      <c r="D239" s="3" t="s">
        <v>23</v>
      </c>
      <c r="E239" s="3" t="s">
        <v>41</v>
      </c>
      <c r="F239" s="3">
        <v>8767</v>
      </c>
      <c r="G239" s="3">
        <v>974</v>
      </c>
      <c r="H239" s="3">
        <v>733</v>
      </c>
      <c r="I239" s="3">
        <v>1587</v>
      </c>
      <c r="J239" s="3">
        <v>74927</v>
      </c>
      <c r="K239" s="3">
        <v>113770</v>
      </c>
      <c r="L239" s="3" t="s">
        <v>16</v>
      </c>
    </row>
    <row r="240" spans="1:12" x14ac:dyDescent="0.3">
      <c r="A240" s="3" t="s">
        <v>275</v>
      </c>
      <c r="B240" s="3" t="s">
        <v>13</v>
      </c>
      <c r="C240" s="2">
        <v>45910</v>
      </c>
      <c r="D240" s="3" t="s">
        <v>14</v>
      </c>
      <c r="E240" s="3" t="s">
        <v>19</v>
      </c>
      <c r="F240" s="3">
        <v>13613</v>
      </c>
      <c r="G240" s="3">
        <v>350</v>
      </c>
      <c r="H240" s="3">
        <v>809</v>
      </c>
      <c r="I240" s="3">
        <v>2013</v>
      </c>
      <c r="J240" s="3">
        <v>20471</v>
      </c>
      <c r="K240" s="3">
        <v>198038</v>
      </c>
      <c r="L240" s="3" t="s">
        <v>20</v>
      </c>
    </row>
    <row r="241" spans="1:12" x14ac:dyDescent="0.3">
      <c r="A241" s="3" t="s">
        <v>276</v>
      </c>
      <c r="B241" s="3" t="s">
        <v>18</v>
      </c>
      <c r="C241" s="2">
        <v>45911</v>
      </c>
      <c r="D241" s="3" t="s">
        <v>27</v>
      </c>
      <c r="E241" s="3" t="s">
        <v>35</v>
      </c>
      <c r="F241" s="3">
        <v>21901</v>
      </c>
      <c r="G241" s="3">
        <v>1308</v>
      </c>
      <c r="H241" s="3">
        <v>724</v>
      </c>
      <c r="I241" s="3">
        <v>2183</v>
      </c>
      <c r="J241" s="3">
        <v>15996</v>
      </c>
      <c r="K241" s="3">
        <v>230961</v>
      </c>
      <c r="L241" s="3" t="s">
        <v>20</v>
      </c>
    </row>
    <row r="242" spans="1:12" x14ac:dyDescent="0.3">
      <c r="A242" s="3" t="s">
        <v>277</v>
      </c>
      <c r="B242" s="3" t="s">
        <v>40</v>
      </c>
      <c r="C242" s="2">
        <v>45675</v>
      </c>
      <c r="D242" s="3" t="s">
        <v>23</v>
      </c>
      <c r="E242" s="3" t="s">
        <v>55</v>
      </c>
      <c r="F242" s="3">
        <v>12589</v>
      </c>
      <c r="G242" s="3">
        <v>346</v>
      </c>
      <c r="H242" s="3">
        <v>459</v>
      </c>
      <c r="I242" s="3">
        <v>1407</v>
      </c>
      <c r="J242" s="3">
        <v>29254</v>
      </c>
      <c r="K242" s="3">
        <v>198059</v>
      </c>
      <c r="L242" s="3" t="s">
        <v>25</v>
      </c>
    </row>
    <row r="243" spans="1:12" x14ac:dyDescent="0.3">
      <c r="A243" s="3" t="s">
        <v>278</v>
      </c>
      <c r="B243" s="3" t="s">
        <v>13</v>
      </c>
      <c r="C243" s="2">
        <v>45912</v>
      </c>
      <c r="D243" s="3" t="s">
        <v>27</v>
      </c>
      <c r="E243" s="3" t="s">
        <v>35</v>
      </c>
      <c r="F243" s="3">
        <v>15918</v>
      </c>
      <c r="G243" s="3">
        <v>1114</v>
      </c>
      <c r="H243" s="3">
        <v>392</v>
      </c>
      <c r="I243" s="3">
        <v>1641</v>
      </c>
      <c r="J243" s="3">
        <v>28044</v>
      </c>
      <c r="K243" s="3">
        <v>118714</v>
      </c>
      <c r="L243" s="3" t="s">
        <v>20</v>
      </c>
    </row>
    <row r="244" spans="1:12" x14ac:dyDescent="0.3">
      <c r="A244" s="3" t="s">
        <v>279</v>
      </c>
      <c r="B244" s="3" t="s">
        <v>18</v>
      </c>
      <c r="C244" s="2">
        <v>45722</v>
      </c>
      <c r="D244" s="3" t="s">
        <v>23</v>
      </c>
      <c r="E244" s="3" t="s">
        <v>41</v>
      </c>
      <c r="F244" s="3">
        <v>22119</v>
      </c>
      <c r="G244" s="3">
        <v>899</v>
      </c>
      <c r="H244" s="3">
        <v>642</v>
      </c>
      <c r="I244" s="3">
        <v>410</v>
      </c>
      <c r="J244" s="3">
        <v>49490</v>
      </c>
      <c r="K244" s="3">
        <v>229420</v>
      </c>
      <c r="L244" s="3" t="s">
        <v>29</v>
      </c>
    </row>
    <row r="245" spans="1:12" x14ac:dyDescent="0.3">
      <c r="A245" s="3" t="s">
        <v>280</v>
      </c>
      <c r="B245" s="3" t="s">
        <v>22</v>
      </c>
      <c r="C245" s="2">
        <v>45913</v>
      </c>
      <c r="D245" s="3" t="s">
        <v>27</v>
      </c>
      <c r="E245" s="3" t="s">
        <v>55</v>
      </c>
      <c r="F245" s="3">
        <v>15046</v>
      </c>
      <c r="G245" s="3">
        <v>281</v>
      </c>
      <c r="H245" s="3">
        <v>515</v>
      </c>
      <c r="I245" s="3">
        <v>550</v>
      </c>
      <c r="J245" s="3">
        <v>22583</v>
      </c>
      <c r="K245" s="3">
        <v>64596</v>
      </c>
      <c r="L245" s="3" t="s">
        <v>20</v>
      </c>
    </row>
    <row r="246" spans="1:12" x14ac:dyDescent="0.3">
      <c r="A246" s="3" t="s">
        <v>281</v>
      </c>
      <c r="B246" s="3" t="s">
        <v>13</v>
      </c>
      <c r="C246" s="2">
        <v>45669</v>
      </c>
      <c r="D246" s="3" t="s">
        <v>14</v>
      </c>
      <c r="E246" s="3" t="s">
        <v>28</v>
      </c>
      <c r="F246" s="3">
        <v>4590</v>
      </c>
      <c r="G246" s="3">
        <v>713</v>
      </c>
      <c r="H246" s="3">
        <v>479</v>
      </c>
      <c r="I246" s="3">
        <v>2730</v>
      </c>
      <c r="J246" s="3">
        <v>41050</v>
      </c>
      <c r="K246" s="3">
        <v>204246</v>
      </c>
      <c r="L246" s="3" t="s">
        <v>25</v>
      </c>
    </row>
    <row r="247" spans="1:12" x14ac:dyDescent="0.3">
      <c r="A247" s="3" t="s">
        <v>282</v>
      </c>
      <c r="B247" s="3" t="s">
        <v>40</v>
      </c>
      <c r="C247" s="2">
        <v>45576</v>
      </c>
      <c r="D247" s="3" t="s">
        <v>34</v>
      </c>
      <c r="E247" s="3" t="s">
        <v>41</v>
      </c>
      <c r="F247" s="3">
        <v>19447</v>
      </c>
      <c r="G247" s="3">
        <v>1014</v>
      </c>
      <c r="H247" s="3">
        <v>256</v>
      </c>
      <c r="I247" s="3">
        <v>2354</v>
      </c>
      <c r="J247" s="3">
        <v>5472</v>
      </c>
      <c r="K247" s="3">
        <v>104106</v>
      </c>
      <c r="L247" s="3" t="s">
        <v>16</v>
      </c>
    </row>
    <row r="248" spans="1:12" x14ac:dyDescent="0.3">
      <c r="A248" s="3" t="s">
        <v>283</v>
      </c>
      <c r="B248" s="3" t="s">
        <v>22</v>
      </c>
      <c r="C248" s="2">
        <v>45531</v>
      </c>
      <c r="D248" s="3" t="s">
        <v>14</v>
      </c>
      <c r="E248" s="3" t="s">
        <v>64</v>
      </c>
      <c r="F248" s="3">
        <v>6324</v>
      </c>
      <c r="G248" s="3">
        <v>908</v>
      </c>
      <c r="H248" s="3">
        <v>375</v>
      </c>
      <c r="I248" s="3">
        <v>758</v>
      </c>
      <c r="J248" s="3">
        <v>34850</v>
      </c>
      <c r="K248" s="3">
        <v>241039</v>
      </c>
      <c r="L248" s="3" t="s">
        <v>16</v>
      </c>
    </row>
    <row r="249" spans="1:12" x14ac:dyDescent="0.3">
      <c r="A249" s="3" t="s">
        <v>284</v>
      </c>
      <c r="B249" s="3" t="s">
        <v>22</v>
      </c>
      <c r="C249" s="2">
        <v>45914</v>
      </c>
      <c r="D249" s="3" t="s">
        <v>34</v>
      </c>
      <c r="E249" s="3" t="s">
        <v>50</v>
      </c>
      <c r="F249" s="3">
        <v>12787</v>
      </c>
      <c r="G249" s="3">
        <v>945</v>
      </c>
      <c r="H249" s="3">
        <v>974</v>
      </c>
      <c r="I249" s="3">
        <v>1407</v>
      </c>
      <c r="J249" s="3">
        <v>4037</v>
      </c>
      <c r="K249" s="3">
        <v>99182</v>
      </c>
      <c r="L249" s="3" t="s">
        <v>20</v>
      </c>
    </row>
    <row r="250" spans="1:12" x14ac:dyDescent="0.3">
      <c r="A250" s="3" t="s">
        <v>285</v>
      </c>
      <c r="B250" s="3" t="s">
        <v>22</v>
      </c>
      <c r="C250" s="2">
        <v>45491</v>
      </c>
      <c r="D250" s="3" t="s">
        <v>27</v>
      </c>
      <c r="E250" s="3" t="s">
        <v>64</v>
      </c>
      <c r="F250" s="3">
        <v>11111</v>
      </c>
      <c r="G250" s="3">
        <v>1222</v>
      </c>
      <c r="H250" s="3">
        <v>367</v>
      </c>
      <c r="I250" s="3">
        <v>507</v>
      </c>
      <c r="J250" s="3">
        <v>14129</v>
      </c>
      <c r="K250" s="3">
        <v>127163</v>
      </c>
      <c r="L250" s="3" t="s">
        <v>45</v>
      </c>
    </row>
    <row r="251" spans="1:12" x14ac:dyDescent="0.3">
      <c r="A251" s="3" t="s">
        <v>286</v>
      </c>
      <c r="B251" s="3" t="s">
        <v>13</v>
      </c>
      <c r="C251" s="2">
        <v>45465</v>
      </c>
      <c r="D251" s="3" t="s">
        <v>23</v>
      </c>
      <c r="E251" s="3" t="s">
        <v>37</v>
      </c>
      <c r="F251" s="3">
        <v>7342</v>
      </c>
      <c r="G251" s="3">
        <v>906</v>
      </c>
      <c r="H251" s="3">
        <v>902</v>
      </c>
      <c r="I251" s="3">
        <v>1199</v>
      </c>
      <c r="J251" s="3">
        <v>68488</v>
      </c>
      <c r="K251" s="3">
        <v>79310</v>
      </c>
      <c r="L251" s="3" t="s">
        <v>16</v>
      </c>
    </row>
    <row r="252" spans="1:12" x14ac:dyDescent="0.3">
      <c r="A252" s="3" t="s">
        <v>287</v>
      </c>
      <c r="B252" s="3" t="s">
        <v>40</v>
      </c>
      <c r="C252" s="2">
        <v>45915</v>
      </c>
      <c r="D252" s="3" t="s">
        <v>14</v>
      </c>
      <c r="E252" s="3" t="s">
        <v>35</v>
      </c>
      <c r="F252" s="3">
        <v>18389</v>
      </c>
      <c r="G252" s="3">
        <v>670</v>
      </c>
      <c r="H252" s="3">
        <v>655</v>
      </c>
      <c r="I252" s="3">
        <v>321</v>
      </c>
      <c r="J252" s="3">
        <v>21869</v>
      </c>
      <c r="K252" s="3">
        <v>96088</v>
      </c>
      <c r="L252" s="3" t="s">
        <v>20</v>
      </c>
    </row>
    <row r="253" spans="1:12" x14ac:dyDescent="0.3">
      <c r="A253" s="3" t="s">
        <v>288</v>
      </c>
      <c r="B253" s="3" t="s">
        <v>22</v>
      </c>
      <c r="C253" s="2">
        <v>45775</v>
      </c>
      <c r="D253" s="3" t="s">
        <v>34</v>
      </c>
      <c r="E253" s="3" t="s">
        <v>50</v>
      </c>
      <c r="F253" s="3">
        <v>10659</v>
      </c>
      <c r="G253" s="3">
        <v>1342</v>
      </c>
      <c r="H253" s="3">
        <v>408</v>
      </c>
      <c r="I253" s="3">
        <v>709</v>
      </c>
      <c r="J253" s="3">
        <v>16309</v>
      </c>
      <c r="K253" s="3">
        <v>168803</v>
      </c>
      <c r="L253" s="3" t="s">
        <v>25</v>
      </c>
    </row>
    <row r="254" spans="1:12" x14ac:dyDescent="0.3">
      <c r="A254" s="3" t="s">
        <v>289</v>
      </c>
      <c r="B254" s="3" t="s">
        <v>18</v>
      </c>
      <c r="C254" s="2">
        <v>45916</v>
      </c>
      <c r="D254" s="3" t="s">
        <v>14</v>
      </c>
      <c r="E254" s="3" t="s">
        <v>64</v>
      </c>
      <c r="F254" s="3">
        <v>16043</v>
      </c>
      <c r="G254" s="3">
        <v>595</v>
      </c>
      <c r="H254" s="3">
        <v>923</v>
      </c>
      <c r="I254" s="3">
        <v>1194</v>
      </c>
      <c r="J254" s="3">
        <v>52613</v>
      </c>
      <c r="K254" s="3">
        <v>179978</v>
      </c>
      <c r="L254" s="3" t="s">
        <v>20</v>
      </c>
    </row>
    <row r="255" spans="1:12" x14ac:dyDescent="0.3">
      <c r="A255" s="3" t="s">
        <v>290</v>
      </c>
      <c r="B255" s="3" t="s">
        <v>22</v>
      </c>
      <c r="C255" s="2">
        <v>45671</v>
      </c>
      <c r="D255" s="3" t="s">
        <v>34</v>
      </c>
      <c r="E255" s="3" t="s">
        <v>50</v>
      </c>
      <c r="F255" s="3">
        <v>24350</v>
      </c>
      <c r="G255" s="3">
        <v>460</v>
      </c>
      <c r="H255" s="3">
        <v>666</v>
      </c>
      <c r="I255" s="3">
        <v>814</v>
      </c>
      <c r="J255" s="3">
        <v>21120</v>
      </c>
      <c r="K255" s="3">
        <v>76914</v>
      </c>
      <c r="L255" s="3" t="s">
        <v>16</v>
      </c>
    </row>
    <row r="256" spans="1:12" x14ac:dyDescent="0.3">
      <c r="A256" s="3" t="s">
        <v>291</v>
      </c>
      <c r="B256" s="3" t="s">
        <v>22</v>
      </c>
      <c r="C256" s="2">
        <v>45750</v>
      </c>
      <c r="D256" s="3" t="s">
        <v>14</v>
      </c>
      <c r="E256" s="3" t="s">
        <v>115</v>
      </c>
      <c r="F256" s="3">
        <v>10837</v>
      </c>
      <c r="G256" s="3">
        <v>1004</v>
      </c>
      <c r="H256" s="3">
        <v>922</v>
      </c>
      <c r="I256" s="3">
        <v>1108</v>
      </c>
      <c r="J256" s="3">
        <v>36807</v>
      </c>
      <c r="K256" s="3">
        <v>150350</v>
      </c>
      <c r="L256" s="3" t="s">
        <v>25</v>
      </c>
    </row>
    <row r="257" spans="1:12" x14ac:dyDescent="0.3">
      <c r="A257" s="3" t="s">
        <v>292</v>
      </c>
      <c r="B257" s="3" t="s">
        <v>13</v>
      </c>
      <c r="C257" s="2">
        <v>45917</v>
      </c>
      <c r="D257" s="3" t="s">
        <v>34</v>
      </c>
      <c r="E257" s="3" t="s">
        <v>35</v>
      </c>
      <c r="F257" s="3">
        <v>2117</v>
      </c>
      <c r="G257" s="3">
        <v>1133</v>
      </c>
      <c r="H257" s="3">
        <v>203</v>
      </c>
      <c r="I257" s="3">
        <v>1173</v>
      </c>
      <c r="J257" s="3">
        <v>40125</v>
      </c>
      <c r="K257" s="3">
        <v>85379</v>
      </c>
      <c r="L257" s="3" t="s">
        <v>20</v>
      </c>
    </row>
    <row r="258" spans="1:12" x14ac:dyDescent="0.3">
      <c r="A258" s="3" t="s">
        <v>293</v>
      </c>
      <c r="B258" s="3" t="s">
        <v>13</v>
      </c>
      <c r="C258" s="2">
        <v>45753</v>
      </c>
      <c r="D258" s="3" t="s">
        <v>34</v>
      </c>
      <c r="E258" s="3" t="s">
        <v>50</v>
      </c>
      <c r="F258" s="3">
        <v>15917</v>
      </c>
      <c r="G258" s="3">
        <v>1479</v>
      </c>
      <c r="H258" s="3">
        <v>196</v>
      </c>
      <c r="I258" s="3">
        <v>313</v>
      </c>
      <c r="J258" s="3">
        <v>48524</v>
      </c>
      <c r="K258" s="3">
        <v>249684</v>
      </c>
      <c r="L258" s="3" t="s">
        <v>29</v>
      </c>
    </row>
    <row r="259" spans="1:12" x14ac:dyDescent="0.3">
      <c r="A259" s="3" t="s">
        <v>294</v>
      </c>
      <c r="B259" s="3" t="s">
        <v>40</v>
      </c>
      <c r="C259" s="2">
        <v>45509</v>
      </c>
      <c r="D259" s="3" t="s">
        <v>27</v>
      </c>
      <c r="E259" s="3" t="s">
        <v>15</v>
      </c>
      <c r="F259" s="3">
        <v>20935</v>
      </c>
      <c r="G259" s="3">
        <v>1104</v>
      </c>
      <c r="H259" s="3">
        <v>876</v>
      </c>
      <c r="I259" s="3">
        <v>1270</v>
      </c>
      <c r="J259" s="3">
        <v>21454</v>
      </c>
      <c r="K259" s="3">
        <v>208722</v>
      </c>
      <c r="L259" s="3" t="s">
        <v>25</v>
      </c>
    </row>
    <row r="260" spans="1:12" x14ac:dyDescent="0.3">
      <c r="A260" s="3" t="s">
        <v>295</v>
      </c>
      <c r="B260" s="3" t="s">
        <v>18</v>
      </c>
      <c r="C260" s="2">
        <v>45698</v>
      </c>
      <c r="D260" s="3" t="s">
        <v>34</v>
      </c>
      <c r="E260" s="3" t="s">
        <v>19</v>
      </c>
      <c r="F260" s="3">
        <v>16309</v>
      </c>
      <c r="G260" s="3">
        <v>1449</v>
      </c>
      <c r="H260" s="3">
        <v>838</v>
      </c>
      <c r="I260" s="3">
        <v>2434</v>
      </c>
      <c r="J260" s="3">
        <v>2940</v>
      </c>
      <c r="K260" s="3">
        <v>217953</v>
      </c>
      <c r="L260" s="3" t="s">
        <v>29</v>
      </c>
    </row>
    <row r="261" spans="1:12" x14ac:dyDescent="0.3">
      <c r="A261" s="3" t="s">
        <v>296</v>
      </c>
      <c r="B261" s="3" t="s">
        <v>13</v>
      </c>
      <c r="C261" s="2">
        <v>45700</v>
      </c>
      <c r="D261" s="3" t="s">
        <v>27</v>
      </c>
      <c r="E261" s="3" t="s">
        <v>19</v>
      </c>
      <c r="F261" s="3">
        <v>15234</v>
      </c>
      <c r="G261" s="3">
        <v>1276</v>
      </c>
      <c r="H261" s="3">
        <v>670</v>
      </c>
      <c r="I261" s="3">
        <v>1860</v>
      </c>
      <c r="J261" s="3">
        <v>60397</v>
      </c>
      <c r="K261" s="3">
        <v>86413</v>
      </c>
      <c r="L261" s="3" t="s">
        <v>45</v>
      </c>
    </row>
    <row r="262" spans="1:12" x14ac:dyDescent="0.3">
      <c r="A262" s="3" t="s">
        <v>297</v>
      </c>
      <c r="B262" s="3" t="s">
        <v>22</v>
      </c>
      <c r="C262" s="2">
        <v>45592</v>
      </c>
      <c r="D262" s="3" t="s">
        <v>34</v>
      </c>
      <c r="E262" s="3" t="s">
        <v>15</v>
      </c>
      <c r="F262" s="3">
        <v>7560</v>
      </c>
      <c r="G262" s="3">
        <v>1139</v>
      </c>
      <c r="H262" s="3">
        <v>248</v>
      </c>
      <c r="I262" s="3">
        <v>1624</v>
      </c>
      <c r="J262" s="3">
        <v>72237</v>
      </c>
      <c r="K262" s="3">
        <v>177084</v>
      </c>
      <c r="L262" s="3" t="s">
        <v>25</v>
      </c>
    </row>
    <row r="263" spans="1:12" x14ac:dyDescent="0.3">
      <c r="A263" s="3" t="s">
        <v>298</v>
      </c>
      <c r="B263" s="3" t="s">
        <v>40</v>
      </c>
      <c r="C263" s="2">
        <v>45675</v>
      </c>
      <c r="D263" s="3" t="s">
        <v>23</v>
      </c>
      <c r="E263" s="3" t="s">
        <v>55</v>
      </c>
      <c r="F263" s="3">
        <v>22673</v>
      </c>
      <c r="G263" s="3">
        <v>1053</v>
      </c>
      <c r="H263" s="3">
        <v>169</v>
      </c>
      <c r="I263" s="3">
        <v>1566</v>
      </c>
      <c r="J263" s="3">
        <v>9417</v>
      </c>
      <c r="K263" s="3">
        <v>221187</v>
      </c>
      <c r="L263" s="3" t="s">
        <v>29</v>
      </c>
    </row>
    <row r="264" spans="1:12" x14ac:dyDescent="0.3">
      <c r="A264" s="3" t="s">
        <v>299</v>
      </c>
      <c r="B264" s="3" t="s">
        <v>22</v>
      </c>
      <c r="C264" s="2">
        <v>45524</v>
      </c>
      <c r="D264" s="3" t="s">
        <v>23</v>
      </c>
      <c r="E264" s="3" t="s">
        <v>32</v>
      </c>
      <c r="F264" s="3">
        <v>2846</v>
      </c>
      <c r="G264" s="3">
        <v>792</v>
      </c>
      <c r="H264" s="3">
        <v>902</v>
      </c>
      <c r="I264" s="3">
        <v>2469</v>
      </c>
      <c r="J264" s="3">
        <v>12130</v>
      </c>
      <c r="K264" s="3">
        <v>47151</v>
      </c>
      <c r="L264" s="3" t="s">
        <v>16</v>
      </c>
    </row>
    <row r="265" spans="1:12" x14ac:dyDescent="0.3">
      <c r="A265" s="3" t="s">
        <v>300</v>
      </c>
      <c r="B265" s="3" t="s">
        <v>22</v>
      </c>
      <c r="C265" s="2">
        <v>45687</v>
      </c>
      <c r="D265" s="3" t="s">
        <v>23</v>
      </c>
      <c r="E265" s="3" t="s">
        <v>55</v>
      </c>
      <c r="F265" s="3">
        <v>12954</v>
      </c>
      <c r="G265" s="3">
        <v>913</v>
      </c>
      <c r="H265" s="3">
        <v>722</v>
      </c>
      <c r="I265" s="3">
        <v>1049</v>
      </c>
      <c r="J265" s="3">
        <v>475</v>
      </c>
      <c r="K265" s="3">
        <v>97716</v>
      </c>
      <c r="L265" s="3" t="s">
        <v>16</v>
      </c>
    </row>
    <row r="266" spans="1:12" x14ac:dyDescent="0.3">
      <c r="A266" s="3" t="s">
        <v>301</v>
      </c>
      <c r="B266" s="3" t="s">
        <v>13</v>
      </c>
      <c r="C266" s="2">
        <v>45708</v>
      </c>
      <c r="D266" s="3" t="s">
        <v>34</v>
      </c>
      <c r="E266" s="3" t="s">
        <v>41</v>
      </c>
      <c r="F266" s="3">
        <v>15703</v>
      </c>
      <c r="G266" s="3">
        <v>1381</v>
      </c>
      <c r="H266" s="3">
        <v>639</v>
      </c>
      <c r="I266" s="3">
        <v>984</v>
      </c>
      <c r="J266" s="3">
        <v>10967</v>
      </c>
      <c r="K266" s="3">
        <v>133747</v>
      </c>
      <c r="L266" s="3" t="s">
        <v>45</v>
      </c>
    </row>
    <row r="267" spans="1:12" x14ac:dyDescent="0.3">
      <c r="A267" s="3" t="s">
        <v>302</v>
      </c>
      <c r="B267" s="3" t="s">
        <v>40</v>
      </c>
      <c r="C267" s="2">
        <v>45621</v>
      </c>
      <c r="D267" s="3" t="s">
        <v>27</v>
      </c>
      <c r="E267" s="3" t="s">
        <v>41</v>
      </c>
      <c r="F267" s="3">
        <v>17385</v>
      </c>
      <c r="G267" s="3">
        <v>831</v>
      </c>
      <c r="H267" s="3">
        <v>568</v>
      </c>
      <c r="I267" s="3">
        <v>2227</v>
      </c>
      <c r="J267" s="3">
        <v>49351</v>
      </c>
      <c r="K267" s="3">
        <v>207450</v>
      </c>
      <c r="L267" s="3" t="s">
        <v>25</v>
      </c>
    </row>
    <row r="268" spans="1:12" x14ac:dyDescent="0.3">
      <c r="A268" s="3" t="s">
        <v>303</v>
      </c>
      <c r="B268" s="3" t="s">
        <v>18</v>
      </c>
      <c r="C268" s="2">
        <v>45569</v>
      </c>
      <c r="D268" s="3" t="s">
        <v>27</v>
      </c>
      <c r="E268" s="3" t="s">
        <v>50</v>
      </c>
      <c r="F268" s="3">
        <v>15746</v>
      </c>
      <c r="G268" s="3">
        <v>258</v>
      </c>
      <c r="H268" s="3">
        <v>839</v>
      </c>
      <c r="I268" s="3">
        <v>2656</v>
      </c>
      <c r="J268" s="3">
        <v>66614</v>
      </c>
      <c r="K268" s="3">
        <v>213724</v>
      </c>
      <c r="L268" s="3" t="s">
        <v>25</v>
      </c>
    </row>
    <row r="269" spans="1:12" x14ac:dyDescent="0.3">
      <c r="A269" s="3" t="s">
        <v>304</v>
      </c>
      <c r="B269" s="3" t="s">
        <v>18</v>
      </c>
      <c r="C269" s="2">
        <v>45760</v>
      </c>
      <c r="D269" s="3" t="s">
        <v>34</v>
      </c>
      <c r="E269" s="3" t="s">
        <v>64</v>
      </c>
      <c r="F269" s="3">
        <v>24700</v>
      </c>
      <c r="G269" s="3">
        <v>327</v>
      </c>
      <c r="H269" s="3">
        <v>999</v>
      </c>
      <c r="I269" s="3">
        <v>994</v>
      </c>
      <c r="J269" s="3">
        <v>59400</v>
      </c>
      <c r="K269" s="3">
        <v>243502</v>
      </c>
      <c r="L269" s="3" t="s">
        <v>25</v>
      </c>
    </row>
    <row r="270" spans="1:12" x14ac:dyDescent="0.3">
      <c r="A270" s="3" t="s">
        <v>305</v>
      </c>
      <c r="B270" s="3" t="s">
        <v>13</v>
      </c>
      <c r="C270" s="2">
        <v>45601</v>
      </c>
      <c r="D270" s="3" t="s">
        <v>23</v>
      </c>
      <c r="E270" s="3" t="s">
        <v>64</v>
      </c>
      <c r="F270" s="3">
        <v>8469</v>
      </c>
      <c r="G270" s="3">
        <v>935</v>
      </c>
      <c r="H270" s="3">
        <v>211</v>
      </c>
      <c r="I270" s="3">
        <v>2635</v>
      </c>
      <c r="J270" s="3">
        <v>21890</v>
      </c>
      <c r="K270" s="3">
        <v>184539</v>
      </c>
      <c r="L270" s="3" t="s">
        <v>45</v>
      </c>
    </row>
    <row r="271" spans="1:12" x14ac:dyDescent="0.3">
      <c r="A271" s="3" t="s">
        <v>306</v>
      </c>
      <c r="B271" s="3" t="s">
        <v>13</v>
      </c>
      <c r="C271" s="2">
        <v>45672</v>
      </c>
      <c r="D271" s="3" t="s">
        <v>23</v>
      </c>
      <c r="E271" s="3" t="s">
        <v>19</v>
      </c>
      <c r="F271" s="3">
        <v>11333</v>
      </c>
      <c r="G271" s="3">
        <v>920</v>
      </c>
      <c r="H271" s="3">
        <v>294</v>
      </c>
      <c r="I271" s="3">
        <v>606</v>
      </c>
      <c r="J271" s="3">
        <v>59490</v>
      </c>
      <c r="K271" s="3">
        <v>202082</v>
      </c>
      <c r="L271" s="3" t="s">
        <v>25</v>
      </c>
    </row>
    <row r="272" spans="1:12" x14ac:dyDescent="0.3">
      <c r="A272" s="3" t="s">
        <v>307</v>
      </c>
      <c r="B272" s="3" t="s">
        <v>40</v>
      </c>
      <c r="C272" s="2">
        <v>45582</v>
      </c>
      <c r="D272" s="3" t="s">
        <v>27</v>
      </c>
      <c r="E272" s="3" t="s">
        <v>24</v>
      </c>
      <c r="F272" s="3">
        <v>18608</v>
      </c>
      <c r="G272" s="3">
        <v>1338</v>
      </c>
      <c r="H272" s="3">
        <v>365</v>
      </c>
      <c r="I272" s="3">
        <v>2289</v>
      </c>
      <c r="J272" s="3">
        <v>20785</v>
      </c>
      <c r="K272" s="3">
        <v>161999</v>
      </c>
      <c r="L272" s="3" t="s">
        <v>16</v>
      </c>
    </row>
    <row r="273" spans="1:12" x14ac:dyDescent="0.3">
      <c r="A273" s="3" t="s">
        <v>308</v>
      </c>
      <c r="B273" s="3" t="s">
        <v>18</v>
      </c>
      <c r="C273" s="2">
        <v>45743</v>
      </c>
      <c r="D273" s="3" t="s">
        <v>23</v>
      </c>
      <c r="E273" s="3" t="s">
        <v>55</v>
      </c>
      <c r="F273" s="3">
        <v>14819</v>
      </c>
      <c r="G273" s="3">
        <v>1432</v>
      </c>
      <c r="H273" s="3">
        <v>152</v>
      </c>
      <c r="I273" s="3">
        <v>961</v>
      </c>
      <c r="J273" s="3">
        <v>39154</v>
      </c>
      <c r="K273" s="3">
        <v>154793</v>
      </c>
      <c r="L273" s="3" t="s">
        <v>29</v>
      </c>
    </row>
    <row r="274" spans="1:12" x14ac:dyDescent="0.3">
      <c r="A274" s="3" t="s">
        <v>309</v>
      </c>
      <c r="B274" s="3" t="s">
        <v>18</v>
      </c>
      <c r="C274" s="2">
        <v>45577</v>
      </c>
      <c r="D274" s="3" t="s">
        <v>14</v>
      </c>
      <c r="E274" s="3" t="s">
        <v>115</v>
      </c>
      <c r="F274" s="3">
        <v>6208</v>
      </c>
      <c r="G274" s="3">
        <v>725</v>
      </c>
      <c r="H274" s="3">
        <v>309</v>
      </c>
      <c r="I274" s="3">
        <v>848</v>
      </c>
      <c r="J274" s="3">
        <v>39319</v>
      </c>
      <c r="K274" s="3">
        <v>225763</v>
      </c>
      <c r="L274" s="3" t="s">
        <v>16</v>
      </c>
    </row>
    <row r="275" spans="1:12" x14ac:dyDescent="0.3">
      <c r="A275" s="3" t="s">
        <v>310</v>
      </c>
      <c r="B275" s="3" t="s">
        <v>18</v>
      </c>
      <c r="C275" s="2">
        <v>45658</v>
      </c>
      <c r="D275" s="3" t="s">
        <v>27</v>
      </c>
      <c r="E275" s="3" t="s">
        <v>35</v>
      </c>
      <c r="F275" s="3">
        <v>8283</v>
      </c>
      <c r="G275" s="3">
        <v>720</v>
      </c>
      <c r="H275" s="3">
        <v>888</v>
      </c>
      <c r="I275" s="3">
        <v>611</v>
      </c>
      <c r="J275" s="3">
        <v>52791</v>
      </c>
      <c r="K275" s="3">
        <v>235229</v>
      </c>
      <c r="L275" s="3" t="s">
        <v>16</v>
      </c>
    </row>
    <row r="276" spans="1:12" x14ac:dyDescent="0.3">
      <c r="A276" s="3" t="s">
        <v>311</v>
      </c>
      <c r="B276" s="3" t="s">
        <v>22</v>
      </c>
      <c r="C276" s="2">
        <v>45509</v>
      </c>
      <c r="D276" s="3" t="s">
        <v>23</v>
      </c>
      <c r="E276" s="3" t="s">
        <v>37</v>
      </c>
      <c r="F276" s="3">
        <v>4048</v>
      </c>
      <c r="G276" s="3">
        <v>751</v>
      </c>
      <c r="H276" s="3">
        <v>930</v>
      </c>
      <c r="I276" s="3">
        <v>1382</v>
      </c>
      <c r="J276" s="3">
        <v>16844</v>
      </c>
      <c r="K276" s="3">
        <v>148177</v>
      </c>
      <c r="L276" s="3" t="s">
        <v>29</v>
      </c>
    </row>
    <row r="277" spans="1:12" x14ac:dyDescent="0.3">
      <c r="A277" s="3" t="s">
        <v>312</v>
      </c>
      <c r="B277" s="3" t="s">
        <v>18</v>
      </c>
      <c r="C277" s="2">
        <v>45450</v>
      </c>
      <c r="D277" s="3" t="s">
        <v>27</v>
      </c>
      <c r="E277" s="3" t="s">
        <v>28</v>
      </c>
      <c r="F277" s="3">
        <v>8233</v>
      </c>
      <c r="G277" s="3">
        <v>436</v>
      </c>
      <c r="H277" s="3">
        <v>269</v>
      </c>
      <c r="I277" s="3">
        <v>2037</v>
      </c>
      <c r="J277" s="3">
        <v>8875</v>
      </c>
      <c r="K277" s="3">
        <v>52289</v>
      </c>
      <c r="L277" s="3" t="s">
        <v>16</v>
      </c>
    </row>
    <row r="278" spans="1:12" x14ac:dyDescent="0.3">
      <c r="A278" s="3" t="s">
        <v>313</v>
      </c>
      <c r="B278" s="3" t="s">
        <v>22</v>
      </c>
      <c r="C278" s="2">
        <v>45753</v>
      </c>
      <c r="D278" s="3" t="s">
        <v>14</v>
      </c>
      <c r="E278" s="3" t="s">
        <v>64</v>
      </c>
      <c r="F278" s="3">
        <v>14941</v>
      </c>
      <c r="G278" s="3">
        <v>1424</v>
      </c>
      <c r="H278" s="3">
        <v>238</v>
      </c>
      <c r="I278" s="3">
        <v>1054</v>
      </c>
      <c r="J278" s="3">
        <v>20516</v>
      </c>
      <c r="K278" s="3">
        <v>216048</v>
      </c>
      <c r="L278" s="3" t="s">
        <v>45</v>
      </c>
    </row>
    <row r="279" spans="1:12" x14ac:dyDescent="0.3">
      <c r="A279" s="3" t="s">
        <v>314</v>
      </c>
      <c r="B279" s="3" t="s">
        <v>40</v>
      </c>
      <c r="C279" s="2">
        <v>45622</v>
      </c>
      <c r="D279" s="3" t="s">
        <v>27</v>
      </c>
      <c r="E279" s="3" t="s">
        <v>35</v>
      </c>
      <c r="F279" s="3">
        <v>14607</v>
      </c>
      <c r="G279" s="3">
        <v>1458</v>
      </c>
      <c r="H279" s="3">
        <v>478</v>
      </c>
      <c r="I279" s="3">
        <v>334</v>
      </c>
      <c r="J279" s="3">
        <v>49257</v>
      </c>
      <c r="K279" s="3">
        <v>214668</v>
      </c>
      <c r="L279" s="3" t="s">
        <v>29</v>
      </c>
    </row>
    <row r="280" spans="1:12" x14ac:dyDescent="0.3">
      <c r="A280" s="3" t="s">
        <v>315</v>
      </c>
      <c r="B280" s="3" t="s">
        <v>22</v>
      </c>
      <c r="C280" s="2">
        <v>45537</v>
      </c>
      <c r="D280" s="3" t="s">
        <v>27</v>
      </c>
      <c r="E280" s="3" t="s">
        <v>28</v>
      </c>
      <c r="F280" s="3">
        <v>11765</v>
      </c>
      <c r="G280" s="3">
        <v>693</v>
      </c>
      <c r="H280" s="3">
        <v>729</v>
      </c>
      <c r="I280" s="3">
        <v>744</v>
      </c>
      <c r="J280" s="3">
        <v>97772</v>
      </c>
      <c r="K280" s="3">
        <v>194243</v>
      </c>
      <c r="L280" s="3" t="s">
        <v>16</v>
      </c>
    </row>
    <row r="281" spans="1:12" x14ac:dyDescent="0.3">
      <c r="A281" s="3" t="s">
        <v>316</v>
      </c>
      <c r="B281" s="3" t="s">
        <v>40</v>
      </c>
      <c r="C281" s="2">
        <v>45918</v>
      </c>
      <c r="D281" s="3" t="s">
        <v>27</v>
      </c>
      <c r="E281" s="3" t="s">
        <v>35</v>
      </c>
      <c r="F281" s="3">
        <v>3828</v>
      </c>
      <c r="G281" s="3">
        <v>203</v>
      </c>
      <c r="H281" s="3">
        <v>506</v>
      </c>
      <c r="I281" s="3">
        <v>2440</v>
      </c>
      <c r="J281" s="3">
        <v>63650</v>
      </c>
      <c r="K281" s="3">
        <v>126365</v>
      </c>
      <c r="L281" s="3" t="s">
        <v>20</v>
      </c>
    </row>
    <row r="282" spans="1:12" x14ac:dyDescent="0.3">
      <c r="A282" s="3" t="s">
        <v>317</v>
      </c>
      <c r="B282" s="3" t="s">
        <v>18</v>
      </c>
      <c r="C282" s="2">
        <v>45738</v>
      </c>
      <c r="D282" s="3" t="s">
        <v>27</v>
      </c>
      <c r="E282" s="3" t="s">
        <v>50</v>
      </c>
      <c r="F282" s="3">
        <v>3917</v>
      </c>
      <c r="G282" s="3">
        <v>865</v>
      </c>
      <c r="H282" s="3">
        <v>759</v>
      </c>
      <c r="I282" s="3">
        <v>2282</v>
      </c>
      <c r="J282" s="3">
        <v>56125</v>
      </c>
      <c r="K282" s="3">
        <v>154014</v>
      </c>
      <c r="L282" s="3" t="s">
        <v>16</v>
      </c>
    </row>
    <row r="283" spans="1:12" x14ac:dyDescent="0.3">
      <c r="A283" s="3" t="s">
        <v>318</v>
      </c>
      <c r="B283" s="3" t="s">
        <v>18</v>
      </c>
      <c r="C283" s="2">
        <v>45568</v>
      </c>
      <c r="D283" s="3" t="s">
        <v>14</v>
      </c>
      <c r="E283" s="3" t="s">
        <v>28</v>
      </c>
      <c r="F283" s="3">
        <v>22618</v>
      </c>
      <c r="G283" s="3">
        <v>641</v>
      </c>
      <c r="H283" s="3">
        <v>416</v>
      </c>
      <c r="I283" s="3">
        <v>1530</v>
      </c>
      <c r="J283" s="3">
        <v>18395</v>
      </c>
      <c r="K283" s="3">
        <v>215211</v>
      </c>
      <c r="L283" s="3" t="s">
        <v>45</v>
      </c>
    </row>
    <row r="284" spans="1:12" x14ac:dyDescent="0.3">
      <c r="A284" s="3" t="s">
        <v>319</v>
      </c>
      <c r="B284" s="3" t="s">
        <v>40</v>
      </c>
      <c r="C284" s="2">
        <v>45786</v>
      </c>
      <c r="D284" s="3" t="s">
        <v>34</v>
      </c>
      <c r="E284" s="3" t="s">
        <v>37</v>
      </c>
      <c r="F284" s="3">
        <v>8988</v>
      </c>
      <c r="G284" s="3">
        <v>228</v>
      </c>
      <c r="H284" s="3">
        <v>766</v>
      </c>
      <c r="I284" s="3">
        <v>652</v>
      </c>
      <c r="J284" s="3">
        <v>63789</v>
      </c>
      <c r="K284" s="3">
        <v>219785</v>
      </c>
      <c r="L284" s="3" t="s">
        <v>25</v>
      </c>
    </row>
    <row r="285" spans="1:12" x14ac:dyDescent="0.3">
      <c r="A285" s="3" t="s">
        <v>320</v>
      </c>
      <c r="B285" s="3" t="s">
        <v>13</v>
      </c>
      <c r="C285" s="2">
        <v>45552</v>
      </c>
      <c r="D285" s="3" t="s">
        <v>27</v>
      </c>
      <c r="E285" s="3" t="s">
        <v>35</v>
      </c>
      <c r="F285" s="3">
        <v>20410</v>
      </c>
      <c r="G285" s="3">
        <v>1332</v>
      </c>
      <c r="H285" s="3">
        <v>472</v>
      </c>
      <c r="I285" s="3">
        <v>1202</v>
      </c>
      <c r="J285" s="3">
        <v>9418</v>
      </c>
      <c r="K285" s="3">
        <v>200806</v>
      </c>
      <c r="L285" s="3" t="s">
        <v>16</v>
      </c>
    </row>
    <row r="286" spans="1:12" x14ac:dyDescent="0.3">
      <c r="A286" s="3" t="s">
        <v>321</v>
      </c>
      <c r="B286" s="3" t="s">
        <v>40</v>
      </c>
      <c r="C286" s="2">
        <v>45491</v>
      </c>
      <c r="D286" s="3" t="s">
        <v>27</v>
      </c>
      <c r="E286" s="3" t="s">
        <v>15</v>
      </c>
      <c r="F286" s="3">
        <v>16594</v>
      </c>
      <c r="G286" s="3">
        <v>809</v>
      </c>
      <c r="H286" s="3">
        <v>784</v>
      </c>
      <c r="I286" s="3">
        <v>1655</v>
      </c>
      <c r="J286" s="3">
        <v>35505</v>
      </c>
      <c r="K286" s="3">
        <v>112588</v>
      </c>
      <c r="L286" s="3" t="s">
        <v>25</v>
      </c>
    </row>
    <row r="287" spans="1:12" x14ac:dyDescent="0.3">
      <c r="A287" s="3" t="s">
        <v>322</v>
      </c>
      <c r="B287" s="3" t="s">
        <v>13</v>
      </c>
      <c r="C287" s="2">
        <v>45919</v>
      </c>
      <c r="D287" s="3" t="s">
        <v>23</v>
      </c>
      <c r="E287" s="3" t="s">
        <v>37</v>
      </c>
      <c r="F287" s="3">
        <v>22128</v>
      </c>
      <c r="G287" s="3">
        <v>1004</v>
      </c>
      <c r="H287" s="3">
        <v>690</v>
      </c>
      <c r="I287" s="3">
        <v>2048</v>
      </c>
      <c r="J287" s="3">
        <v>19443</v>
      </c>
      <c r="K287" s="3">
        <v>103646</v>
      </c>
      <c r="L287" s="3" t="s">
        <v>20</v>
      </c>
    </row>
    <row r="288" spans="1:12" x14ac:dyDescent="0.3">
      <c r="A288" s="3" t="s">
        <v>323</v>
      </c>
      <c r="B288" s="3" t="s">
        <v>22</v>
      </c>
      <c r="C288" s="2">
        <v>45519</v>
      </c>
      <c r="D288" s="3" t="s">
        <v>27</v>
      </c>
      <c r="E288" s="3" t="s">
        <v>28</v>
      </c>
      <c r="F288" s="3">
        <v>14977</v>
      </c>
      <c r="G288" s="3">
        <v>274</v>
      </c>
      <c r="H288" s="3">
        <v>798</v>
      </c>
      <c r="I288" s="3">
        <v>458</v>
      </c>
      <c r="J288" s="3">
        <v>6636</v>
      </c>
      <c r="K288" s="3">
        <v>43654</v>
      </c>
      <c r="L288" s="3" t="s">
        <v>16</v>
      </c>
    </row>
    <row r="289" spans="1:12" x14ac:dyDescent="0.3">
      <c r="A289" s="3" t="s">
        <v>324</v>
      </c>
      <c r="B289" s="3" t="s">
        <v>22</v>
      </c>
      <c r="C289" s="2">
        <v>45764</v>
      </c>
      <c r="D289" s="3" t="s">
        <v>23</v>
      </c>
      <c r="E289" s="3" t="s">
        <v>37</v>
      </c>
      <c r="F289" s="3">
        <v>2009</v>
      </c>
      <c r="G289" s="3">
        <v>1037</v>
      </c>
      <c r="H289" s="3">
        <v>344</v>
      </c>
      <c r="I289" s="3">
        <v>2277</v>
      </c>
      <c r="J289" s="3">
        <v>85743</v>
      </c>
      <c r="K289" s="3">
        <v>58743</v>
      </c>
      <c r="L289" s="3" t="s">
        <v>29</v>
      </c>
    </row>
    <row r="290" spans="1:12" x14ac:dyDescent="0.3">
      <c r="A290" s="3" t="s">
        <v>325</v>
      </c>
      <c r="B290" s="3" t="s">
        <v>22</v>
      </c>
      <c r="C290" s="2">
        <v>45624</v>
      </c>
      <c r="D290" s="3" t="s">
        <v>34</v>
      </c>
      <c r="E290" s="3" t="s">
        <v>35</v>
      </c>
      <c r="F290" s="3">
        <v>18644</v>
      </c>
      <c r="G290" s="3">
        <v>1369</v>
      </c>
      <c r="H290" s="3">
        <v>887</v>
      </c>
      <c r="I290" s="3">
        <v>1256</v>
      </c>
      <c r="J290" s="3">
        <v>43415</v>
      </c>
      <c r="K290" s="3">
        <v>88368</v>
      </c>
      <c r="L290" s="3" t="s">
        <v>25</v>
      </c>
    </row>
    <row r="291" spans="1:12" x14ac:dyDescent="0.3">
      <c r="A291" s="3" t="s">
        <v>326</v>
      </c>
      <c r="B291" s="3" t="s">
        <v>18</v>
      </c>
      <c r="C291" s="2">
        <v>45920</v>
      </c>
      <c r="D291" s="3" t="s">
        <v>14</v>
      </c>
      <c r="E291" s="3" t="s">
        <v>32</v>
      </c>
      <c r="F291" s="3">
        <v>24422</v>
      </c>
      <c r="G291" s="3">
        <v>327</v>
      </c>
      <c r="H291" s="3">
        <v>481</v>
      </c>
      <c r="I291" s="3">
        <v>2371</v>
      </c>
      <c r="J291" s="3">
        <v>35340</v>
      </c>
      <c r="K291" s="3">
        <v>245244</v>
      </c>
      <c r="L291" s="3" t="s">
        <v>20</v>
      </c>
    </row>
    <row r="292" spans="1:12" x14ac:dyDescent="0.3">
      <c r="A292" s="3" t="s">
        <v>327</v>
      </c>
      <c r="B292" s="3" t="s">
        <v>22</v>
      </c>
      <c r="C292" s="2">
        <v>45602</v>
      </c>
      <c r="D292" s="3" t="s">
        <v>14</v>
      </c>
      <c r="E292" s="3" t="s">
        <v>35</v>
      </c>
      <c r="F292" s="3">
        <v>11865</v>
      </c>
      <c r="G292" s="3">
        <v>241</v>
      </c>
      <c r="H292" s="3">
        <v>319</v>
      </c>
      <c r="I292" s="3">
        <v>703</v>
      </c>
      <c r="J292" s="3">
        <v>69596</v>
      </c>
      <c r="K292" s="3">
        <v>177513</v>
      </c>
      <c r="L292" s="3" t="s">
        <v>29</v>
      </c>
    </row>
    <row r="293" spans="1:12" x14ac:dyDescent="0.3">
      <c r="A293" s="3" t="s">
        <v>328</v>
      </c>
      <c r="B293" s="3" t="s">
        <v>13</v>
      </c>
      <c r="C293" s="2">
        <v>45613</v>
      </c>
      <c r="D293" s="3" t="s">
        <v>34</v>
      </c>
      <c r="E293" s="3" t="s">
        <v>35</v>
      </c>
      <c r="F293" s="3">
        <v>4219</v>
      </c>
      <c r="G293" s="3">
        <v>240</v>
      </c>
      <c r="H293" s="3">
        <v>670</v>
      </c>
      <c r="I293" s="3">
        <v>815</v>
      </c>
      <c r="J293" s="3">
        <v>11978</v>
      </c>
      <c r="K293" s="3">
        <v>159735</v>
      </c>
      <c r="L293" s="3" t="s">
        <v>29</v>
      </c>
    </row>
    <row r="294" spans="1:12" x14ac:dyDescent="0.3">
      <c r="A294" s="3" t="s">
        <v>329</v>
      </c>
      <c r="B294" s="3" t="s">
        <v>22</v>
      </c>
      <c r="C294" s="2">
        <v>45791</v>
      </c>
      <c r="D294" s="3" t="s">
        <v>14</v>
      </c>
      <c r="E294" s="3" t="s">
        <v>50</v>
      </c>
      <c r="F294" s="3">
        <v>9041</v>
      </c>
      <c r="G294" s="3">
        <v>1133</v>
      </c>
      <c r="H294" s="3">
        <v>612</v>
      </c>
      <c r="I294" s="3">
        <v>1687</v>
      </c>
      <c r="J294" s="3">
        <v>28102</v>
      </c>
      <c r="K294" s="3">
        <v>195683</v>
      </c>
      <c r="L294" s="3" t="s">
        <v>29</v>
      </c>
    </row>
    <row r="295" spans="1:12" x14ac:dyDescent="0.3">
      <c r="A295" s="3" t="s">
        <v>330</v>
      </c>
      <c r="B295" s="3" t="s">
        <v>40</v>
      </c>
      <c r="C295" s="2">
        <v>45462</v>
      </c>
      <c r="D295" s="3" t="s">
        <v>34</v>
      </c>
      <c r="E295" s="3" t="s">
        <v>55</v>
      </c>
      <c r="F295" s="3">
        <v>20444</v>
      </c>
      <c r="G295" s="3">
        <v>233</v>
      </c>
      <c r="H295" s="3">
        <v>189</v>
      </c>
      <c r="I295" s="3">
        <v>2879</v>
      </c>
      <c r="J295" s="3">
        <v>28185</v>
      </c>
      <c r="K295" s="3">
        <v>159891</v>
      </c>
      <c r="L295" s="3" t="s">
        <v>29</v>
      </c>
    </row>
    <row r="296" spans="1:12" x14ac:dyDescent="0.3">
      <c r="A296" s="3" t="s">
        <v>331</v>
      </c>
      <c r="B296" s="3" t="s">
        <v>40</v>
      </c>
      <c r="C296" s="2">
        <v>45783</v>
      </c>
      <c r="D296" s="3" t="s">
        <v>34</v>
      </c>
      <c r="E296" s="3" t="s">
        <v>15</v>
      </c>
      <c r="F296" s="3">
        <v>7287</v>
      </c>
      <c r="G296" s="3">
        <v>1240</v>
      </c>
      <c r="H296" s="3">
        <v>686</v>
      </c>
      <c r="I296" s="3">
        <v>1255</v>
      </c>
      <c r="J296" s="3">
        <v>15403</v>
      </c>
      <c r="K296" s="3">
        <v>147971</v>
      </c>
      <c r="L296" s="3" t="s">
        <v>16</v>
      </c>
    </row>
    <row r="297" spans="1:12" x14ac:dyDescent="0.3">
      <c r="A297" s="3" t="s">
        <v>332</v>
      </c>
      <c r="B297" s="3" t="s">
        <v>18</v>
      </c>
      <c r="C297" s="2">
        <v>45699</v>
      </c>
      <c r="D297" s="3" t="s">
        <v>34</v>
      </c>
      <c r="E297" s="3" t="s">
        <v>115</v>
      </c>
      <c r="F297" s="3">
        <v>3619</v>
      </c>
      <c r="G297" s="3">
        <v>1376</v>
      </c>
      <c r="H297" s="3">
        <v>410</v>
      </c>
      <c r="I297" s="3">
        <v>2499</v>
      </c>
      <c r="J297" s="3">
        <v>58146</v>
      </c>
      <c r="K297" s="3">
        <v>52149</v>
      </c>
      <c r="L297" s="3" t="s">
        <v>16</v>
      </c>
    </row>
    <row r="298" spans="1:12" x14ac:dyDescent="0.3">
      <c r="A298" s="3" t="s">
        <v>333</v>
      </c>
      <c r="B298" s="3" t="s">
        <v>40</v>
      </c>
      <c r="C298" s="2">
        <v>45650</v>
      </c>
      <c r="D298" s="3" t="s">
        <v>14</v>
      </c>
      <c r="E298" s="3" t="s">
        <v>64</v>
      </c>
      <c r="F298" s="3">
        <v>10512</v>
      </c>
      <c r="G298" s="3">
        <v>1197</v>
      </c>
      <c r="H298" s="3">
        <v>544</v>
      </c>
      <c r="I298" s="3">
        <v>2012</v>
      </c>
      <c r="J298" s="3">
        <v>10245</v>
      </c>
      <c r="K298" s="3">
        <v>140102</v>
      </c>
      <c r="L298" s="3" t="s">
        <v>16</v>
      </c>
    </row>
    <row r="299" spans="1:12" x14ac:dyDescent="0.3">
      <c r="A299" s="3" t="s">
        <v>334</v>
      </c>
      <c r="B299" s="3" t="s">
        <v>13</v>
      </c>
      <c r="C299" s="2">
        <v>45924</v>
      </c>
      <c r="D299" s="3" t="s">
        <v>23</v>
      </c>
      <c r="E299" s="3" t="s">
        <v>41</v>
      </c>
      <c r="F299" s="3">
        <v>3342</v>
      </c>
      <c r="G299" s="3">
        <v>787</v>
      </c>
      <c r="H299" s="3">
        <v>375</v>
      </c>
      <c r="I299" s="3">
        <v>907</v>
      </c>
      <c r="J299" s="3">
        <v>85823</v>
      </c>
      <c r="K299" s="3">
        <v>99189</v>
      </c>
      <c r="L299" s="3" t="s">
        <v>20</v>
      </c>
    </row>
    <row r="300" spans="1:12" x14ac:dyDescent="0.3">
      <c r="A300" s="3" t="s">
        <v>335</v>
      </c>
      <c r="B300" s="3" t="s">
        <v>22</v>
      </c>
      <c r="C300" s="2">
        <v>45925</v>
      </c>
      <c r="D300" s="3" t="s">
        <v>34</v>
      </c>
      <c r="E300" s="3" t="s">
        <v>55</v>
      </c>
      <c r="F300" s="3">
        <v>12568</v>
      </c>
      <c r="G300" s="3">
        <v>541</v>
      </c>
      <c r="H300" s="3">
        <v>273</v>
      </c>
      <c r="I300" s="3">
        <v>2767</v>
      </c>
      <c r="J300" s="3">
        <v>22331</v>
      </c>
      <c r="K300" s="3">
        <v>192747</v>
      </c>
      <c r="L300" s="3" t="s">
        <v>20</v>
      </c>
    </row>
    <row r="301" spans="1:12" x14ac:dyDescent="0.3">
      <c r="A301" s="3" t="s">
        <v>336</v>
      </c>
      <c r="B301" s="3" t="s">
        <v>18</v>
      </c>
      <c r="C301" s="2">
        <v>45926</v>
      </c>
      <c r="D301" s="3" t="s">
        <v>27</v>
      </c>
      <c r="E301" s="3" t="s">
        <v>41</v>
      </c>
      <c r="F301" s="3">
        <v>21216</v>
      </c>
      <c r="G301" s="3">
        <v>226</v>
      </c>
      <c r="H301" s="3">
        <v>187</v>
      </c>
      <c r="I301" s="3">
        <v>1573</v>
      </c>
      <c r="J301" s="3">
        <v>62688</v>
      </c>
      <c r="K301" s="3">
        <v>111031</v>
      </c>
      <c r="L301" s="3" t="s">
        <v>20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CC90B-B4D4-4783-9331-D94146B099D6}">
  <dimension ref="A1:H201"/>
  <sheetViews>
    <sheetView topLeftCell="A71" workbookViewId="0">
      <selection activeCell="C20" sqref="C20"/>
    </sheetView>
  </sheetViews>
  <sheetFormatPr defaultRowHeight="14.4" x14ac:dyDescent="0.3"/>
  <cols>
    <col min="1" max="1" width="22" bestFit="1" customWidth="1"/>
    <col min="2" max="2" width="12.5546875" bestFit="1" customWidth="1"/>
    <col min="3" max="3" width="20" bestFit="1" customWidth="1"/>
    <col min="4" max="4" width="14.109375" bestFit="1" customWidth="1"/>
    <col min="5" max="5" width="20.77734375" bestFit="1" customWidth="1"/>
    <col min="6" max="6" width="23.21875" bestFit="1" customWidth="1"/>
    <col min="7" max="7" width="13.88671875" bestFit="1" customWidth="1"/>
    <col min="8" max="8" width="23.6640625" bestFit="1" customWidth="1"/>
  </cols>
  <sheetData>
    <row r="1" spans="1:8" ht="17.399999999999999" x14ac:dyDescent="0.45">
      <c r="A1" s="1" t="s">
        <v>337</v>
      </c>
      <c r="B1" s="1" t="s">
        <v>1</v>
      </c>
      <c r="C1" s="1" t="s">
        <v>338</v>
      </c>
      <c r="D1" s="1" t="s">
        <v>339</v>
      </c>
      <c r="E1" s="1" t="s">
        <v>340</v>
      </c>
      <c r="F1" s="1" t="s">
        <v>341</v>
      </c>
      <c r="G1" s="1" t="s">
        <v>342</v>
      </c>
      <c r="H1" s="14" t="s">
        <v>11</v>
      </c>
    </row>
    <row r="2" spans="1:8" x14ac:dyDescent="0.3">
      <c r="A2" s="2">
        <v>45446</v>
      </c>
      <c r="B2" s="3" t="s">
        <v>22</v>
      </c>
      <c r="C2" s="3">
        <v>4138</v>
      </c>
      <c r="D2" s="3">
        <v>361</v>
      </c>
      <c r="E2" s="3">
        <v>103777</v>
      </c>
      <c r="F2" s="4">
        <v>56.637790647253247</v>
      </c>
      <c r="G2" s="3">
        <v>23944</v>
      </c>
      <c r="H2" s="49" t="str">
        <f>'Task 3.1'!N25</f>
        <v>Health &amp; Fitness Awareness</v>
      </c>
    </row>
    <row r="3" spans="1:8" x14ac:dyDescent="0.3">
      <c r="A3" s="2">
        <v>45446</v>
      </c>
      <c r="B3" s="3" t="s">
        <v>40</v>
      </c>
      <c r="C3" s="3">
        <v>8693</v>
      </c>
      <c r="D3" s="3">
        <v>1261</v>
      </c>
      <c r="E3" s="3">
        <v>111209</v>
      </c>
      <c r="F3" s="4">
        <v>69.475492091467416</v>
      </c>
      <c r="G3" s="3">
        <v>29873</v>
      </c>
      <c r="H3" s="3" t="str">
        <f>'Task 3.1'!N26</f>
        <v>Health &amp; Fitness Awareness</v>
      </c>
    </row>
    <row r="4" spans="1:8" x14ac:dyDescent="0.3">
      <c r="A4" s="2">
        <v>45446</v>
      </c>
      <c r="B4" s="3" t="s">
        <v>13</v>
      </c>
      <c r="C4" s="3">
        <v>9264</v>
      </c>
      <c r="D4" s="3">
        <v>1141</v>
      </c>
      <c r="E4" s="3">
        <v>119332</v>
      </c>
      <c r="F4" s="4">
        <v>92.312204605638044</v>
      </c>
      <c r="G4" s="3">
        <v>50372</v>
      </c>
      <c r="H4" s="3" t="str">
        <f>'Task 3.1'!N27</f>
        <v>Sustainability Branding</v>
      </c>
    </row>
    <row r="5" spans="1:8" x14ac:dyDescent="0.3">
      <c r="A5" s="2">
        <v>45446</v>
      </c>
      <c r="B5" s="3" t="s">
        <v>13</v>
      </c>
      <c r="C5" s="3">
        <v>8842</v>
      </c>
      <c r="D5" s="3">
        <v>971</v>
      </c>
      <c r="E5" s="3">
        <v>127203</v>
      </c>
      <c r="F5" s="4">
        <v>16.351815601833291</v>
      </c>
      <c r="G5" s="3">
        <v>33928</v>
      </c>
      <c r="H5" s="3" t="str">
        <f>'Task 3.1'!N28</f>
        <v>Sustainability Branding</v>
      </c>
    </row>
    <row r="6" spans="1:8" x14ac:dyDescent="0.3">
      <c r="A6" s="2">
        <v>45453</v>
      </c>
      <c r="B6" s="3" t="s">
        <v>22</v>
      </c>
      <c r="C6" s="3">
        <v>7721</v>
      </c>
      <c r="D6" s="3">
        <v>506</v>
      </c>
      <c r="E6" s="3">
        <v>134418</v>
      </c>
      <c r="F6" s="4">
        <v>35.577824398518047</v>
      </c>
      <c r="G6" s="3">
        <v>25379</v>
      </c>
      <c r="H6" s="3" t="str">
        <f>'Task 3.1'!N29</f>
        <v>Health &amp; Fitness Awareness</v>
      </c>
    </row>
    <row r="7" spans="1:8" x14ac:dyDescent="0.3">
      <c r="A7" s="2">
        <v>45453</v>
      </c>
      <c r="B7" s="3" t="s">
        <v>13</v>
      </c>
      <c r="C7" s="3">
        <v>8002</v>
      </c>
      <c r="D7" s="3">
        <v>524</v>
      </c>
      <c r="E7" s="3">
        <v>141896</v>
      </c>
      <c r="F7" s="4">
        <v>52.064892597395271</v>
      </c>
      <c r="G7" s="3">
        <v>46751</v>
      </c>
      <c r="H7" s="3" t="str">
        <f>'Task 3.1'!N30</f>
        <v>Health &amp; Fitness Awareness</v>
      </c>
    </row>
    <row r="8" spans="1:8" x14ac:dyDescent="0.3">
      <c r="A8" s="2">
        <v>45453</v>
      </c>
      <c r="B8" s="3" t="s">
        <v>40</v>
      </c>
      <c r="C8" s="3">
        <v>5225</v>
      </c>
      <c r="D8" s="3">
        <v>291</v>
      </c>
      <c r="E8" s="3">
        <v>146830</v>
      </c>
      <c r="F8" s="4">
        <v>19.551862698358651</v>
      </c>
      <c r="G8" s="3">
        <v>44546</v>
      </c>
      <c r="H8" s="3" t="str">
        <f>'Task 3.1'!N31</f>
        <v>Product Launch</v>
      </c>
    </row>
    <row r="9" spans="1:8" x14ac:dyDescent="0.3">
      <c r="A9" s="2">
        <v>45453</v>
      </c>
      <c r="B9" s="3" t="s">
        <v>40</v>
      </c>
      <c r="C9" s="3">
        <v>3978</v>
      </c>
      <c r="D9" s="3">
        <v>543</v>
      </c>
      <c r="E9" s="3">
        <v>150265</v>
      </c>
      <c r="F9" s="4">
        <v>49.159817655475329</v>
      </c>
      <c r="G9" s="3">
        <v>34286</v>
      </c>
      <c r="H9" s="3" t="str">
        <f>'Task 3.1'!N32</f>
        <v>Health &amp; Fitness Awareness</v>
      </c>
    </row>
    <row r="10" spans="1:8" x14ac:dyDescent="0.3">
      <c r="A10" s="2">
        <v>45460</v>
      </c>
      <c r="B10" s="3" t="s">
        <v>22</v>
      </c>
      <c r="C10" s="3">
        <v>8373</v>
      </c>
      <c r="D10" s="3">
        <v>921</v>
      </c>
      <c r="E10" s="3">
        <v>157717</v>
      </c>
      <c r="F10" s="4">
        <v>12.2263294381709</v>
      </c>
      <c r="G10" s="3">
        <v>15110</v>
      </c>
      <c r="H10" s="3" t="str">
        <f>'Task 3.1'!N33</f>
        <v>Health &amp; Fitness Awareness</v>
      </c>
    </row>
    <row r="11" spans="1:8" x14ac:dyDescent="0.3">
      <c r="A11" s="2">
        <v>45460</v>
      </c>
      <c r="B11" s="3" t="s">
        <v>40</v>
      </c>
      <c r="C11" s="3">
        <v>6907</v>
      </c>
      <c r="D11" s="3">
        <v>834</v>
      </c>
      <c r="E11" s="3">
        <v>163790</v>
      </c>
      <c r="F11" s="4">
        <v>54.158984064961238</v>
      </c>
      <c r="G11" s="3">
        <v>22087</v>
      </c>
      <c r="H11" s="3" t="str">
        <f>'Task 3.1'!N34</f>
        <v>Product Launch</v>
      </c>
    </row>
    <row r="12" spans="1:8" x14ac:dyDescent="0.3">
      <c r="A12" s="2">
        <v>45460</v>
      </c>
      <c r="B12" s="3" t="s">
        <v>18</v>
      </c>
      <c r="C12" s="3">
        <v>7097</v>
      </c>
      <c r="D12" s="3">
        <v>369</v>
      </c>
      <c r="E12" s="3">
        <v>170518</v>
      </c>
      <c r="F12" s="4">
        <v>9.2506362964613711</v>
      </c>
      <c r="G12" s="3">
        <v>33762</v>
      </c>
      <c r="H12" s="3" t="str">
        <f>'Task 3.1'!N35</f>
        <v>Brand Engagement</v>
      </c>
    </row>
    <row r="13" spans="1:8" x14ac:dyDescent="0.3">
      <c r="A13" s="2">
        <v>45460</v>
      </c>
      <c r="B13" s="3" t="s">
        <v>22</v>
      </c>
      <c r="C13" s="3">
        <v>6656</v>
      </c>
      <c r="D13" s="3">
        <v>978</v>
      </c>
      <c r="E13" s="3">
        <v>176196</v>
      </c>
      <c r="F13" s="4">
        <v>60.425889350496043</v>
      </c>
      <c r="G13" s="3">
        <v>27081</v>
      </c>
      <c r="H13" s="3" t="str">
        <f>'Task 3.1'!N36</f>
        <v>Brand Engagement</v>
      </c>
    </row>
    <row r="14" spans="1:8" x14ac:dyDescent="0.3">
      <c r="A14" s="2">
        <v>45467</v>
      </c>
      <c r="B14" s="3" t="s">
        <v>40</v>
      </c>
      <c r="C14" s="3">
        <v>9984</v>
      </c>
      <c r="D14" s="3">
        <v>1330</v>
      </c>
      <c r="E14" s="3">
        <v>184850</v>
      </c>
      <c r="F14" s="4">
        <v>57.524479307546663</v>
      </c>
      <c r="G14" s="3">
        <v>44947</v>
      </c>
      <c r="H14" s="3" t="str">
        <f>'Task 3.1'!N37</f>
        <v>Brand Engagement</v>
      </c>
    </row>
    <row r="15" spans="1:8" x14ac:dyDescent="0.3">
      <c r="A15" s="2">
        <v>45467</v>
      </c>
      <c r="B15" s="3" t="s">
        <v>22</v>
      </c>
      <c r="C15" s="3">
        <v>5259</v>
      </c>
      <c r="D15" s="3">
        <v>374</v>
      </c>
      <c r="E15" s="3">
        <v>189735</v>
      </c>
      <c r="F15" s="4">
        <v>14.827522597306769</v>
      </c>
      <c r="G15" s="3">
        <v>19596</v>
      </c>
      <c r="H15" s="3" t="str">
        <f>'Task 3.1'!N38</f>
        <v>Brand Engagement</v>
      </c>
    </row>
    <row r="16" spans="1:8" x14ac:dyDescent="0.3">
      <c r="A16" s="2">
        <v>45467</v>
      </c>
      <c r="B16" s="3" t="s">
        <v>13</v>
      </c>
      <c r="C16" s="3">
        <v>9286</v>
      </c>
      <c r="D16" s="3">
        <v>633</v>
      </c>
      <c r="E16" s="3">
        <v>198388</v>
      </c>
      <c r="F16" s="4">
        <v>5.4343004617214756</v>
      </c>
      <c r="G16" s="3">
        <v>48019</v>
      </c>
      <c r="H16" s="3" t="str">
        <f>'Task 3.1'!N39</f>
        <v>Brand Engagement</v>
      </c>
    </row>
    <row r="17" spans="1:8" x14ac:dyDescent="0.3">
      <c r="A17" s="2">
        <v>45467</v>
      </c>
      <c r="B17" s="3" t="s">
        <v>40</v>
      </c>
      <c r="C17" s="3">
        <v>6901</v>
      </c>
      <c r="D17" s="3">
        <v>471</v>
      </c>
      <c r="E17" s="3">
        <v>204818</v>
      </c>
      <c r="F17" s="4">
        <v>60.827661631301943</v>
      </c>
      <c r="G17" s="3">
        <v>52003</v>
      </c>
      <c r="H17" s="3" t="str">
        <f>'Task 3.1'!N40</f>
        <v>Product Promotion</v>
      </c>
    </row>
    <row r="18" spans="1:8" x14ac:dyDescent="0.3">
      <c r="A18" s="2">
        <v>45474</v>
      </c>
      <c r="B18" s="3" t="s">
        <v>18</v>
      </c>
      <c r="C18" s="3">
        <v>5917</v>
      </c>
      <c r="D18" s="3">
        <v>475</v>
      </c>
      <c r="E18" s="3">
        <v>210260</v>
      </c>
      <c r="F18" s="4">
        <v>17.894035955483691</v>
      </c>
      <c r="G18" s="3">
        <v>28313</v>
      </c>
      <c r="H18" s="3" t="str">
        <f>'Task 3.1'!N41</f>
        <v>Product Promotion</v>
      </c>
    </row>
    <row r="19" spans="1:8" x14ac:dyDescent="0.3">
      <c r="A19" s="2">
        <v>45474</v>
      </c>
      <c r="B19" s="3" t="s">
        <v>40</v>
      </c>
      <c r="C19" s="3">
        <v>9429</v>
      </c>
      <c r="D19" s="3">
        <v>966</v>
      </c>
      <c r="E19" s="3">
        <v>218723</v>
      </c>
      <c r="F19" s="4">
        <v>7.6914636320825887</v>
      </c>
      <c r="G19" s="3">
        <v>57639</v>
      </c>
      <c r="H19" s="3" t="str">
        <f>'Task 3.1'!N42</f>
        <v>Product Launch</v>
      </c>
    </row>
    <row r="20" spans="1:8" x14ac:dyDescent="0.3">
      <c r="A20" s="2">
        <v>45474</v>
      </c>
      <c r="B20" s="3" t="s">
        <v>22</v>
      </c>
      <c r="C20" s="3">
        <v>3530</v>
      </c>
      <c r="D20" s="3">
        <v>328</v>
      </c>
      <c r="E20" s="3">
        <v>221925</v>
      </c>
      <c r="F20" s="4">
        <v>12.8372197814577</v>
      </c>
      <c r="G20" s="3">
        <v>11013</v>
      </c>
      <c r="H20" s="3" t="str">
        <f>'Task 3.1'!N43</f>
        <v>Product Launch</v>
      </c>
    </row>
    <row r="21" spans="1:8" x14ac:dyDescent="0.3">
      <c r="A21" s="2">
        <v>45474</v>
      </c>
      <c r="B21" s="3" t="s">
        <v>22</v>
      </c>
      <c r="C21" s="3">
        <v>2960</v>
      </c>
      <c r="D21" s="3">
        <v>234</v>
      </c>
      <c r="E21" s="3">
        <v>224651</v>
      </c>
      <c r="F21" s="4">
        <v>17.41278694508371</v>
      </c>
      <c r="G21" s="3">
        <v>59378</v>
      </c>
      <c r="H21" s="3" t="str">
        <f>'Task 3.1'!N44</f>
        <v>Sustainability Branding</v>
      </c>
    </row>
    <row r="22" spans="1:8" x14ac:dyDescent="0.3">
      <c r="A22" s="2">
        <v>45481</v>
      </c>
      <c r="B22" s="3" t="s">
        <v>40</v>
      </c>
      <c r="C22" s="3">
        <v>8045</v>
      </c>
      <c r="D22" s="3">
        <v>894</v>
      </c>
      <c r="E22" s="3">
        <v>231802</v>
      </c>
      <c r="F22" s="4">
        <v>47.634187798207087</v>
      </c>
      <c r="G22" s="3">
        <v>33705</v>
      </c>
      <c r="H22" s="3" t="str">
        <f>'Task 3.1'!N45</f>
        <v>Sustainability Branding</v>
      </c>
    </row>
    <row r="23" spans="1:8" x14ac:dyDescent="0.3">
      <c r="A23" s="2">
        <v>45481</v>
      </c>
      <c r="B23" s="3" t="s">
        <v>18</v>
      </c>
      <c r="C23" s="3">
        <v>2048</v>
      </c>
      <c r="D23" s="3">
        <v>130</v>
      </c>
      <c r="E23" s="3">
        <v>233720</v>
      </c>
      <c r="F23" s="4">
        <v>39.284614068115687</v>
      </c>
      <c r="G23" s="3">
        <v>11828</v>
      </c>
      <c r="H23" s="3" t="str">
        <f>'Task 3.1'!N46</f>
        <v>Brand Engagement</v>
      </c>
    </row>
    <row r="24" spans="1:8" x14ac:dyDescent="0.3">
      <c r="A24" s="2">
        <v>45481</v>
      </c>
      <c r="B24" s="3" t="s">
        <v>18</v>
      </c>
      <c r="C24" s="3">
        <v>6772</v>
      </c>
      <c r="D24" s="3">
        <v>536</v>
      </c>
      <c r="E24" s="3">
        <v>239956</v>
      </c>
      <c r="F24" s="4">
        <v>9.8205504342462788</v>
      </c>
      <c r="G24" s="3">
        <v>17909</v>
      </c>
      <c r="H24" s="3" t="str">
        <f>'Task 3.1'!N47</f>
        <v>Brand Engagement</v>
      </c>
    </row>
    <row r="25" spans="1:8" x14ac:dyDescent="0.3">
      <c r="A25" s="2">
        <v>45481</v>
      </c>
      <c r="B25" s="3" t="s">
        <v>18</v>
      </c>
      <c r="C25" s="3">
        <v>3529</v>
      </c>
      <c r="D25" s="3">
        <v>305</v>
      </c>
      <c r="E25" s="3">
        <v>243180</v>
      </c>
      <c r="F25" s="4">
        <v>41.606628834608109</v>
      </c>
      <c r="G25" s="3">
        <v>48356</v>
      </c>
      <c r="H25" s="3" t="str">
        <f>'Task 3.1'!N48</f>
        <v>Brand Engagement</v>
      </c>
    </row>
    <row r="26" spans="1:8" x14ac:dyDescent="0.3">
      <c r="A26" s="2">
        <v>45488</v>
      </c>
      <c r="B26" s="3" t="s">
        <v>22</v>
      </c>
      <c r="C26" s="3">
        <v>3964</v>
      </c>
      <c r="D26" s="3">
        <v>378</v>
      </c>
      <c r="E26" s="3">
        <v>246766</v>
      </c>
      <c r="F26" s="4">
        <v>13.6355899921383</v>
      </c>
      <c r="G26" s="3">
        <v>23109</v>
      </c>
      <c r="H26" s="3" t="str">
        <f>'Task 3.1'!N49</f>
        <v>Brand Engagement</v>
      </c>
    </row>
    <row r="27" spans="1:8" x14ac:dyDescent="0.3">
      <c r="A27" s="2">
        <v>45488</v>
      </c>
      <c r="B27" s="3" t="s">
        <v>40</v>
      </c>
      <c r="C27" s="3">
        <v>8137</v>
      </c>
      <c r="D27" s="3">
        <v>1045</v>
      </c>
      <c r="E27" s="3">
        <v>253858</v>
      </c>
      <c r="F27" s="4">
        <v>20.47246886054408</v>
      </c>
      <c r="G27" s="3">
        <v>12023</v>
      </c>
      <c r="H27" s="3" t="str">
        <f>'Task 3.1'!N50</f>
        <v>Product Promotion</v>
      </c>
    </row>
    <row r="28" spans="1:8" x14ac:dyDescent="0.3">
      <c r="A28" s="2">
        <v>45488</v>
      </c>
      <c r="B28" s="3" t="s">
        <v>13</v>
      </c>
      <c r="C28" s="3">
        <v>1963</v>
      </c>
      <c r="D28" s="3">
        <v>137</v>
      </c>
      <c r="E28" s="3">
        <v>255684</v>
      </c>
      <c r="F28" s="4">
        <v>11.2083665774941</v>
      </c>
      <c r="G28" s="3">
        <v>24537</v>
      </c>
      <c r="H28" s="3" t="str">
        <f>'Task 3.1'!N51</f>
        <v>Sustainability Branding</v>
      </c>
    </row>
    <row r="29" spans="1:8" x14ac:dyDescent="0.3">
      <c r="A29" s="2">
        <v>45488</v>
      </c>
      <c r="B29" s="3" t="s">
        <v>22</v>
      </c>
      <c r="C29" s="3">
        <v>1536</v>
      </c>
      <c r="D29" s="3">
        <v>155</v>
      </c>
      <c r="E29" s="3">
        <v>257065</v>
      </c>
      <c r="F29" s="4">
        <v>12.15762550327738</v>
      </c>
      <c r="G29" s="3">
        <v>36661</v>
      </c>
      <c r="H29" s="3" t="str">
        <f>'Task 3.1'!N52</f>
        <v>Sustainability Branding</v>
      </c>
    </row>
    <row r="30" spans="1:8" x14ac:dyDescent="0.3">
      <c r="A30" s="2">
        <v>45495</v>
      </c>
      <c r="B30" s="3" t="s">
        <v>18</v>
      </c>
      <c r="C30" s="3">
        <v>8340</v>
      </c>
      <c r="D30" s="3">
        <v>911</v>
      </c>
      <c r="E30" s="3">
        <v>264494</v>
      </c>
      <c r="F30" s="4">
        <v>37.302925586213682</v>
      </c>
      <c r="G30" s="3">
        <v>48659</v>
      </c>
      <c r="H30" s="3" t="str">
        <f>'Task 3.1'!N53</f>
        <v>Health &amp; Fitness Awareness</v>
      </c>
    </row>
    <row r="31" spans="1:8" x14ac:dyDescent="0.3">
      <c r="A31" s="2">
        <v>45495</v>
      </c>
      <c r="B31" s="3" t="s">
        <v>40</v>
      </c>
      <c r="C31" s="3">
        <v>8179</v>
      </c>
      <c r="D31" s="3">
        <v>446</v>
      </c>
      <c r="E31" s="3">
        <v>272227</v>
      </c>
      <c r="F31" s="4">
        <v>41.82171496581897</v>
      </c>
      <c r="G31" s="3">
        <v>43848</v>
      </c>
      <c r="H31" s="3" t="str">
        <f>'Task 3.1'!N54</f>
        <v>Health &amp; Fitness Awareness</v>
      </c>
    </row>
    <row r="32" spans="1:8" x14ac:dyDescent="0.3">
      <c r="A32" s="2">
        <v>45495</v>
      </c>
      <c r="B32" s="3" t="s">
        <v>18</v>
      </c>
      <c r="C32" s="3">
        <v>8967</v>
      </c>
      <c r="D32" s="3">
        <v>993</v>
      </c>
      <c r="E32" s="3">
        <v>280201</v>
      </c>
      <c r="F32" s="4">
        <v>52.792102811910027</v>
      </c>
      <c r="G32" s="3">
        <v>47804</v>
      </c>
      <c r="H32" s="3" t="str">
        <f>'Task 3.1'!N55</f>
        <v>Brand Engagement</v>
      </c>
    </row>
    <row r="33" spans="1:8" x14ac:dyDescent="0.3">
      <c r="A33" s="2">
        <v>45495</v>
      </c>
      <c r="B33" s="3" t="s">
        <v>13</v>
      </c>
      <c r="C33" s="3">
        <v>9734</v>
      </c>
      <c r="D33" s="3">
        <v>652</v>
      </c>
      <c r="E33" s="3">
        <v>289283</v>
      </c>
      <c r="F33" s="4">
        <v>49.647922622483861</v>
      </c>
      <c r="G33" s="3">
        <v>25379</v>
      </c>
      <c r="H33" s="3" t="str">
        <f>'Task 3.1'!N56</f>
        <v>Sustainability Branding</v>
      </c>
    </row>
    <row r="34" spans="1:8" x14ac:dyDescent="0.3">
      <c r="A34" s="2">
        <v>45502</v>
      </c>
      <c r="B34" s="3" t="s">
        <v>18</v>
      </c>
      <c r="C34" s="3">
        <v>1845</v>
      </c>
      <c r="D34" s="3">
        <v>104</v>
      </c>
      <c r="E34" s="3">
        <v>291024</v>
      </c>
      <c r="F34" s="4">
        <v>28.158158777282971</v>
      </c>
      <c r="G34" s="3">
        <v>37766</v>
      </c>
      <c r="H34" s="3" t="str">
        <f>'Task 3.1'!N57</f>
        <v>Sustainability Branding</v>
      </c>
    </row>
    <row r="35" spans="1:8" x14ac:dyDescent="0.3">
      <c r="A35" s="2">
        <v>45502</v>
      </c>
      <c r="B35" s="3" t="s">
        <v>18</v>
      </c>
      <c r="C35" s="3">
        <v>6777</v>
      </c>
      <c r="D35" s="3">
        <v>981</v>
      </c>
      <c r="E35" s="3">
        <v>296820</v>
      </c>
      <c r="F35" s="4">
        <v>23.920557913887201</v>
      </c>
      <c r="G35" s="3">
        <v>53590</v>
      </c>
      <c r="H35" s="3" t="str">
        <f>'Task 3.1'!N58</f>
        <v>Sustainability Branding</v>
      </c>
    </row>
    <row r="36" spans="1:8" x14ac:dyDescent="0.3">
      <c r="A36" s="2">
        <v>45502</v>
      </c>
      <c r="B36" s="3" t="s">
        <v>13</v>
      </c>
      <c r="C36" s="3">
        <v>4036</v>
      </c>
      <c r="D36" s="3">
        <v>591</v>
      </c>
      <c r="E36" s="3">
        <v>300265</v>
      </c>
      <c r="F36" s="4">
        <v>44.219272975538267</v>
      </c>
      <c r="G36" s="3">
        <v>12563</v>
      </c>
      <c r="H36" s="3" t="str">
        <f>'Task 3.1'!N59</f>
        <v>Sustainability Branding</v>
      </c>
    </row>
    <row r="37" spans="1:8" x14ac:dyDescent="0.3">
      <c r="A37" s="2">
        <v>45502</v>
      </c>
      <c r="B37" s="3" t="s">
        <v>40</v>
      </c>
      <c r="C37" s="3">
        <v>6947</v>
      </c>
      <c r="D37" s="3">
        <v>908</v>
      </c>
      <c r="E37" s="3">
        <v>306304</v>
      </c>
      <c r="F37" s="4">
        <v>14.117673944839121</v>
      </c>
      <c r="G37" s="3">
        <v>46060</v>
      </c>
      <c r="H37" s="3" t="str">
        <f>'Task 3.1'!N60</f>
        <v>Product Promotion</v>
      </c>
    </row>
    <row r="38" spans="1:8" x14ac:dyDescent="0.3">
      <c r="A38" s="2">
        <v>45509</v>
      </c>
      <c r="B38" s="3" t="s">
        <v>22</v>
      </c>
      <c r="C38" s="3">
        <v>3494</v>
      </c>
      <c r="D38" s="3">
        <v>281</v>
      </c>
      <c r="E38" s="3">
        <v>309517</v>
      </c>
      <c r="F38" s="4">
        <v>27.765518533715429</v>
      </c>
      <c r="G38" s="3">
        <v>39197</v>
      </c>
      <c r="H38" s="3" t="str">
        <f>'Task 3.1'!N61</f>
        <v>Brand Engagement</v>
      </c>
    </row>
    <row r="39" spans="1:8" x14ac:dyDescent="0.3">
      <c r="A39" s="2">
        <v>45509</v>
      </c>
      <c r="B39" s="3" t="s">
        <v>40</v>
      </c>
      <c r="C39" s="3">
        <v>3719</v>
      </c>
      <c r="D39" s="3">
        <v>222</v>
      </c>
      <c r="E39" s="3">
        <v>313014</v>
      </c>
      <c r="F39" s="4">
        <v>21.669318305251519</v>
      </c>
      <c r="G39" s="3">
        <v>13586</v>
      </c>
      <c r="H39" s="3" t="str">
        <f>'Task 3.1'!N62</f>
        <v>Brand Engagement</v>
      </c>
    </row>
    <row r="40" spans="1:8" x14ac:dyDescent="0.3">
      <c r="A40" s="2">
        <v>45509</v>
      </c>
      <c r="B40" s="3" t="s">
        <v>13</v>
      </c>
      <c r="C40" s="3">
        <v>2884</v>
      </c>
      <c r="D40" s="3">
        <v>341</v>
      </c>
      <c r="E40" s="3">
        <v>315557</v>
      </c>
      <c r="F40" s="4">
        <v>46.999749649033298</v>
      </c>
      <c r="G40" s="3">
        <v>26087</v>
      </c>
      <c r="H40" s="3" t="str">
        <f>'Task 3.1'!N63</f>
        <v>Product Launch</v>
      </c>
    </row>
    <row r="41" spans="1:8" x14ac:dyDescent="0.3">
      <c r="A41" s="2">
        <v>45509</v>
      </c>
      <c r="B41" s="3" t="s">
        <v>18</v>
      </c>
      <c r="C41" s="3">
        <v>5349</v>
      </c>
      <c r="D41" s="3">
        <v>502</v>
      </c>
      <c r="E41" s="3">
        <v>320404</v>
      </c>
      <c r="F41" s="4">
        <v>5.2152906954969351</v>
      </c>
      <c r="G41" s="3">
        <v>58868</v>
      </c>
      <c r="H41" s="3" t="str">
        <f>'Task 3.1'!N64</f>
        <v>Product Launch</v>
      </c>
    </row>
    <row r="42" spans="1:8" x14ac:dyDescent="0.3">
      <c r="A42" s="2">
        <v>45516</v>
      </c>
      <c r="B42" s="3" t="s">
        <v>40</v>
      </c>
      <c r="C42" s="3">
        <v>6179</v>
      </c>
      <c r="D42" s="3">
        <v>384</v>
      </c>
      <c r="E42" s="3">
        <v>326199</v>
      </c>
      <c r="F42" s="4">
        <v>14.71218489327067</v>
      </c>
      <c r="G42" s="3">
        <v>33225</v>
      </c>
      <c r="H42" s="3" t="str">
        <f>'Task 3.1'!N65</f>
        <v>Product Promotion</v>
      </c>
    </row>
    <row r="43" spans="1:8" x14ac:dyDescent="0.3">
      <c r="A43" s="2">
        <v>45516</v>
      </c>
      <c r="B43" s="3" t="s">
        <v>22</v>
      </c>
      <c r="C43" s="3">
        <v>7610</v>
      </c>
      <c r="D43" s="3">
        <v>757</v>
      </c>
      <c r="E43" s="3">
        <v>333052</v>
      </c>
      <c r="F43" s="4">
        <v>44.450416151231643</v>
      </c>
      <c r="G43" s="3">
        <v>39750</v>
      </c>
      <c r="H43" s="3" t="str">
        <f>'Task 3.1'!N66</f>
        <v>Product Promotion</v>
      </c>
    </row>
    <row r="44" spans="1:8" x14ac:dyDescent="0.3">
      <c r="A44" s="2">
        <v>45516</v>
      </c>
      <c r="B44" s="3" t="s">
        <v>13</v>
      </c>
      <c r="C44" s="3">
        <v>7430</v>
      </c>
      <c r="D44" s="3">
        <v>397</v>
      </c>
      <c r="E44" s="3">
        <v>340085</v>
      </c>
      <c r="F44" s="4">
        <v>28.065042562888689</v>
      </c>
      <c r="G44" s="3">
        <v>16643</v>
      </c>
      <c r="H44" s="3" t="str">
        <f>'Task 3.1'!N67</f>
        <v>Health &amp; Fitness Awareness</v>
      </c>
    </row>
    <row r="45" spans="1:8" x14ac:dyDescent="0.3">
      <c r="A45" s="2">
        <v>45516</v>
      </c>
      <c r="B45" s="3" t="s">
        <v>40</v>
      </c>
      <c r="C45" s="3">
        <v>8154</v>
      </c>
      <c r="D45" s="3">
        <v>1149</v>
      </c>
      <c r="E45" s="3">
        <v>347090</v>
      </c>
      <c r="F45" s="4">
        <v>26.003918292085629</v>
      </c>
      <c r="G45" s="3">
        <v>37523</v>
      </c>
      <c r="H45" s="3" t="str">
        <f>'Task 3.1'!N68</f>
        <v>Health &amp; Fitness Awareness</v>
      </c>
    </row>
    <row r="46" spans="1:8" x14ac:dyDescent="0.3">
      <c r="A46" s="2">
        <v>45523</v>
      </c>
      <c r="B46" s="3" t="s">
        <v>22</v>
      </c>
      <c r="C46" s="3">
        <v>7488</v>
      </c>
      <c r="D46" s="3">
        <v>568</v>
      </c>
      <c r="E46" s="3">
        <v>354010</v>
      </c>
      <c r="F46" s="4">
        <v>13.47730290104799</v>
      </c>
      <c r="G46" s="3">
        <v>46727</v>
      </c>
      <c r="H46" s="3" t="str">
        <f>'Task 3.1'!N69</f>
        <v>Product Promotion</v>
      </c>
    </row>
    <row r="47" spans="1:8" x14ac:dyDescent="0.3">
      <c r="A47" s="2">
        <v>45523</v>
      </c>
      <c r="B47" s="3" t="s">
        <v>13</v>
      </c>
      <c r="C47" s="3">
        <v>5737</v>
      </c>
      <c r="D47" s="3">
        <v>666</v>
      </c>
      <c r="E47" s="3">
        <v>359081</v>
      </c>
      <c r="F47" s="4">
        <v>4.6034181702735593</v>
      </c>
      <c r="G47" s="3">
        <v>21005</v>
      </c>
      <c r="H47" s="3" t="str">
        <f>'Task 3.1'!N70</f>
        <v>Product Promotion</v>
      </c>
    </row>
    <row r="48" spans="1:8" x14ac:dyDescent="0.3">
      <c r="A48" s="2">
        <v>45523</v>
      </c>
      <c r="B48" s="3" t="s">
        <v>22</v>
      </c>
      <c r="C48" s="3">
        <v>7525</v>
      </c>
      <c r="D48" s="3">
        <v>610</v>
      </c>
      <c r="E48" s="3">
        <v>365996</v>
      </c>
      <c r="F48" s="4">
        <v>5.7694619613329108</v>
      </c>
      <c r="G48" s="3">
        <v>53543</v>
      </c>
      <c r="H48" s="3" t="str">
        <f>'Task 3.1'!N71</f>
        <v>Product Promotion</v>
      </c>
    </row>
    <row r="49" spans="1:8" x14ac:dyDescent="0.3">
      <c r="A49" s="2">
        <v>45523</v>
      </c>
      <c r="B49" s="3" t="s">
        <v>13</v>
      </c>
      <c r="C49" s="3">
        <v>4850</v>
      </c>
      <c r="D49" s="3">
        <v>494</v>
      </c>
      <c r="E49" s="3">
        <v>370352</v>
      </c>
      <c r="F49" s="4">
        <v>20.46539508359615</v>
      </c>
      <c r="G49" s="3">
        <v>10161</v>
      </c>
      <c r="H49" s="3" t="str">
        <f>'Task 3.1'!N72</f>
        <v>Product Promotion</v>
      </c>
    </row>
    <row r="50" spans="1:8" x14ac:dyDescent="0.3">
      <c r="A50" s="2">
        <v>45530</v>
      </c>
      <c r="B50" s="3" t="s">
        <v>18</v>
      </c>
      <c r="C50" s="3">
        <v>1689</v>
      </c>
      <c r="D50" s="3">
        <v>176</v>
      </c>
      <c r="E50" s="3">
        <v>371865</v>
      </c>
      <c r="F50" s="4">
        <v>38.012181840183942</v>
      </c>
      <c r="G50" s="3">
        <v>26029</v>
      </c>
      <c r="H50" s="3" t="str">
        <f>'Task 3.1'!N73</f>
        <v>Product Launch</v>
      </c>
    </row>
    <row r="51" spans="1:8" x14ac:dyDescent="0.3">
      <c r="A51" s="2">
        <v>45530</v>
      </c>
      <c r="B51" s="3" t="s">
        <v>40</v>
      </c>
      <c r="C51" s="3">
        <v>6175</v>
      </c>
      <c r="D51" s="3">
        <v>422</v>
      </c>
      <c r="E51" s="3">
        <v>377618</v>
      </c>
      <c r="F51" s="4">
        <v>37.86101298137271</v>
      </c>
      <c r="G51" s="3">
        <v>59745</v>
      </c>
      <c r="H51" s="3" t="str">
        <f>'Task 3.1'!N74</f>
        <v>Product Launch</v>
      </c>
    </row>
    <row r="52" spans="1:8" x14ac:dyDescent="0.3">
      <c r="A52" s="2">
        <v>45530</v>
      </c>
      <c r="B52" s="3" t="s">
        <v>22</v>
      </c>
      <c r="C52" s="3">
        <v>9648</v>
      </c>
      <c r="D52" s="3">
        <v>1417</v>
      </c>
      <c r="E52" s="3">
        <v>385849</v>
      </c>
      <c r="F52" s="4">
        <v>3.6633501706626168</v>
      </c>
      <c r="G52" s="3">
        <v>24226</v>
      </c>
      <c r="H52" s="3" t="str">
        <f>'Task 3.1'!N75</f>
        <v>Brand Engagement</v>
      </c>
    </row>
    <row r="53" spans="1:8" x14ac:dyDescent="0.3">
      <c r="A53" s="2">
        <v>45530</v>
      </c>
      <c r="B53" s="3" t="s">
        <v>13</v>
      </c>
      <c r="C53" s="3">
        <v>6078</v>
      </c>
      <c r="D53" s="3">
        <v>775</v>
      </c>
      <c r="E53" s="3">
        <v>391152</v>
      </c>
      <c r="F53" s="4">
        <v>37.760512537325639</v>
      </c>
      <c r="G53" s="3">
        <v>38731</v>
      </c>
      <c r="H53" s="3" t="str">
        <f>'Task 3.1'!N76</f>
        <v>Brand Engagement</v>
      </c>
    </row>
    <row r="54" spans="1:8" x14ac:dyDescent="0.3">
      <c r="A54" s="2">
        <v>45537</v>
      </c>
      <c r="B54" s="3" t="s">
        <v>22</v>
      </c>
      <c r="C54" s="3">
        <v>6448</v>
      </c>
      <c r="D54" s="3">
        <v>928</v>
      </c>
      <c r="E54" s="3">
        <v>396672</v>
      </c>
      <c r="F54" s="4">
        <v>30.118586640851881</v>
      </c>
      <c r="G54" s="3">
        <v>53922</v>
      </c>
      <c r="H54" s="3" t="str">
        <f>'Task 3.1'!N77</f>
        <v>Product Launch</v>
      </c>
    </row>
    <row r="55" spans="1:8" x14ac:dyDescent="0.3">
      <c r="A55" s="2">
        <v>45537</v>
      </c>
      <c r="B55" s="3" t="s">
        <v>22</v>
      </c>
      <c r="C55" s="3">
        <v>2179</v>
      </c>
      <c r="D55" s="3">
        <v>303</v>
      </c>
      <c r="E55" s="3">
        <v>398548</v>
      </c>
      <c r="F55" s="4">
        <v>33.909842729106657</v>
      </c>
      <c r="G55" s="3">
        <v>54848</v>
      </c>
      <c r="H55" s="3" t="str">
        <f>'Task 3.1'!N78</f>
        <v>Product Launch</v>
      </c>
    </row>
    <row r="56" spans="1:8" x14ac:dyDescent="0.3">
      <c r="A56" s="2">
        <v>45537</v>
      </c>
      <c r="B56" s="3" t="s">
        <v>40</v>
      </c>
      <c r="C56" s="3">
        <v>7406</v>
      </c>
      <c r="D56" s="3">
        <v>813</v>
      </c>
      <c r="E56" s="3">
        <v>405141</v>
      </c>
      <c r="F56" s="4">
        <v>24.457411123534769</v>
      </c>
      <c r="G56" s="3">
        <v>13390</v>
      </c>
      <c r="H56" s="3" t="str">
        <f>'Task 3.1'!N79</f>
        <v>Sustainability Branding</v>
      </c>
    </row>
    <row r="57" spans="1:8" x14ac:dyDescent="0.3">
      <c r="A57" s="2">
        <v>45537</v>
      </c>
      <c r="B57" s="3" t="s">
        <v>18</v>
      </c>
      <c r="C57" s="3">
        <v>9591</v>
      </c>
      <c r="D57" s="3">
        <v>1363</v>
      </c>
      <c r="E57" s="3">
        <v>413369</v>
      </c>
      <c r="F57" s="4">
        <v>10.494255737609739</v>
      </c>
      <c r="G57" s="3">
        <v>15997</v>
      </c>
      <c r="H57" s="3" t="str">
        <f>'Task 3.1'!N80</f>
        <v>Sustainability Branding</v>
      </c>
    </row>
    <row r="58" spans="1:8" x14ac:dyDescent="0.3">
      <c r="A58" s="2">
        <v>45544</v>
      </c>
      <c r="B58" s="3" t="s">
        <v>22</v>
      </c>
      <c r="C58" s="3">
        <v>7907</v>
      </c>
      <c r="D58" s="3">
        <v>465</v>
      </c>
      <c r="E58" s="3">
        <v>420811</v>
      </c>
      <c r="F58" s="4">
        <v>33.257448118038738</v>
      </c>
      <c r="G58" s="3">
        <v>22693</v>
      </c>
      <c r="H58" s="3" t="str">
        <f>'Task 3.1'!N81</f>
        <v>Health &amp; Fitness Awareness</v>
      </c>
    </row>
    <row r="59" spans="1:8" x14ac:dyDescent="0.3">
      <c r="A59" s="2">
        <v>45544</v>
      </c>
      <c r="B59" s="3" t="s">
        <v>13</v>
      </c>
      <c r="C59" s="3">
        <v>9800</v>
      </c>
      <c r="D59" s="3">
        <v>682</v>
      </c>
      <c r="E59" s="3">
        <v>429929</v>
      </c>
      <c r="F59" s="4">
        <v>6.2966210699906267</v>
      </c>
      <c r="G59" s="3">
        <v>59815</v>
      </c>
      <c r="H59" s="3" t="str">
        <f>'Task 3.1'!N82</f>
        <v>Health &amp; Fitness Awareness</v>
      </c>
    </row>
    <row r="60" spans="1:8" x14ac:dyDescent="0.3">
      <c r="A60" s="2">
        <v>45544</v>
      </c>
      <c r="B60" s="3" t="s">
        <v>13</v>
      </c>
      <c r="C60" s="3">
        <v>2638</v>
      </c>
      <c r="D60" s="3">
        <v>143</v>
      </c>
      <c r="E60" s="3">
        <v>432424</v>
      </c>
      <c r="F60" s="4">
        <v>6.9547481175882924</v>
      </c>
      <c r="G60" s="3">
        <v>52092</v>
      </c>
      <c r="H60" s="3" t="str">
        <f>'Task 3.1'!N83</f>
        <v>Product Promotion</v>
      </c>
    </row>
    <row r="61" spans="1:8" x14ac:dyDescent="0.3">
      <c r="A61" s="2">
        <v>45544</v>
      </c>
      <c r="B61" s="3" t="s">
        <v>18</v>
      </c>
      <c r="C61" s="3">
        <v>6671</v>
      </c>
      <c r="D61" s="3">
        <v>550</v>
      </c>
      <c r="E61" s="3">
        <v>438545</v>
      </c>
      <c r="F61" s="4">
        <v>17.750287883797562</v>
      </c>
      <c r="G61" s="3">
        <v>10541</v>
      </c>
      <c r="H61" s="3" t="str">
        <f>'Task 3.1'!N84</f>
        <v>Product Promotion</v>
      </c>
    </row>
    <row r="62" spans="1:8" x14ac:dyDescent="0.3">
      <c r="A62" s="2">
        <v>45551</v>
      </c>
      <c r="B62" s="3" t="s">
        <v>13</v>
      </c>
      <c r="C62" s="3">
        <v>7928</v>
      </c>
      <c r="D62" s="3">
        <v>704</v>
      </c>
      <c r="E62" s="3">
        <v>445769</v>
      </c>
      <c r="F62" s="4">
        <v>11.194362999670229</v>
      </c>
      <c r="G62" s="3">
        <v>31817</v>
      </c>
      <c r="H62" s="3" t="str">
        <f>'Task 3.1'!N85</f>
        <v>Product Promotion</v>
      </c>
    </row>
    <row r="63" spans="1:8" x14ac:dyDescent="0.3">
      <c r="A63" s="2">
        <v>45551</v>
      </c>
      <c r="B63" s="3" t="s">
        <v>18</v>
      </c>
      <c r="C63" s="3">
        <v>2382</v>
      </c>
      <c r="D63" s="3">
        <v>183</v>
      </c>
      <c r="E63" s="3">
        <v>447968</v>
      </c>
      <c r="F63" s="4">
        <v>4.7335970426459033</v>
      </c>
      <c r="G63" s="3">
        <v>47861</v>
      </c>
      <c r="H63" s="3" t="str">
        <f>'Task 3.1'!N86</f>
        <v>Product Promotion</v>
      </c>
    </row>
    <row r="64" spans="1:8" x14ac:dyDescent="0.3">
      <c r="A64" s="2">
        <v>45551</v>
      </c>
      <c r="B64" s="3" t="s">
        <v>13</v>
      </c>
      <c r="C64" s="3">
        <v>2403</v>
      </c>
      <c r="D64" s="3">
        <v>319</v>
      </c>
      <c r="E64" s="3">
        <v>450052</v>
      </c>
      <c r="F64" s="4">
        <v>29.92120910472568</v>
      </c>
      <c r="G64" s="3">
        <v>23428</v>
      </c>
      <c r="H64" s="3" t="str">
        <f>'Task 3.1'!N87</f>
        <v>Health &amp; Fitness Awareness</v>
      </c>
    </row>
    <row r="65" spans="1:8" x14ac:dyDescent="0.3">
      <c r="A65" s="2">
        <v>45551</v>
      </c>
      <c r="B65" s="3" t="s">
        <v>40</v>
      </c>
      <c r="C65" s="3">
        <v>4292</v>
      </c>
      <c r="D65" s="3">
        <v>367</v>
      </c>
      <c r="E65" s="3">
        <v>453977</v>
      </c>
      <c r="F65" s="4">
        <v>3.5037017293827661</v>
      </c>
      <c r="G65" s="3">
        <v>53934</v>
      </c>
      <c r="H65" s="3" t="str">
        <f>'Task 3.1'!N88</f>
        <v>Health &amp; Fitness Awareness</v>
      </c>
    </row>
    <row r="66" spans="1:8" x14ac:dyDescent="0.3">
      <c r="A66" s="2">
        <v>45558</v>
      </c>
      <c r="B66" s="3" t="s">
        <v>22</v>
      </c>
      <c r="C66" s="3">
        <v>1419</v>
      </c>
      <c r="D66" s="3">
        <v>110</v>
      </c>
      <c r="E66" s="3">
        <v>455286</v>
      </c>
      <c r="F66" s="4">
        <v>31.554451487636339</v>
      </c>
      <c r="G66" s="3">
        <v>58831</v>
      </c>
      <c r="H66" s="3" t="str">
        <f>'Task 3.1'!N89</f>
        <v>Brand Engagement</v>
      </c>
    </row>
    <row r="67" spans="1:8" x14ac:dyDescent="0.3">
      <c r="A67" s="2">
        <v>45558</v>
      </c>
      <c r="B67" s="3" t="s">
        <v>40</v>
      </c>
      <c r="C67" s="3">
        <v>5517</v>
      </c>
      <c r="D67" s="3">
        <v>575</v>
      </c>
      <c r="E67" s="3">
        <v>460228</v>
      </c>
      <c r="F67" s="4">
        <v>29.45844233727631</v>
      </c>
      <c r="G67" s="3">
        <v>20258</v>
      </c>
      <c r="H67" s="3" t="str">
        <f>'Task 3.1'!N90</f>
        <v>Brand Engagement</v>
      </c>
    </row>
    <row r="68" spans="1:8" x14ac:dyDescent="0.3">
      <c r="A68" s="2">
        <v>45558</v>
      </c>
      <c r="B68" s="3" t="s">
        <v>22</v>
      </c>
      <c r="C68" s="3">
        <v>4302</v>
      </c>
      <c r="D68" s="3">
        <v>275</v>
      </c>
      <c r="E68" s="3">
        <v>464255</v>
      </c>
      <c r="F68" s="4">
        <v>15.72131694865968</v>
      </c>
      <c r="G68" s="3">
        <v>26044</v>
      </c>
      <c r="H68" s="3" t="str">
        <f>'Task 3.1'!N91</f>
        <v>Sustainability Branding</v>
      </c>
    </row>
    <row r="69" spans="1:8" x14ac:dyDescent="0.3">
      <c r="A69" s="2">
        <v>45558</v>
      </c>
      <c r="B69" s="3" t="s">
        <v>22</v>
      </c>
      <c r="C69" s="3">
        <v>8857</v>
      </c>
      <c r="D69" s="3">
        <v>1153</v>
      </c>
      <c r="E69" s="3">
        <v>471959</v>
      </c>
      <c r="F69" s="4">
        <v>19.214592793018038</v>
      </c>
      <c r="G69" s="3">
        <v>39411</v>
      </c>
      <c r="H69" s="3" t="str">
        <f>'Task 3.1'!N92</f>
        <v>Sustainability Branding</v>
      </c>
    </row>
    <row r="70" spans="1:8" x14ac:dyDescent="0.3">
      <c r="A70" s="2">
        <v>45565</v>
      </c>
      <c r="B70" s="3" t="s">
        <v>22</v>
      </c>
      <c r="C70" s="3">
        <v>8870</v>
      </c>
      <c r="D70" s="3">
        <v>509</v>
      </c>
      <c r="E70" s="3">
        <v>480320</v>
      </c>
      <c r="F70" s="4">
        <v>25.077864756828781</v>
      </c>
      <c r="G70" s="3">
        <v>15469</v>
      </c>
      <c r="H70" s="3" t="str">
        <f>'Task 3.1'!N93</f>
        <v>Product Promotion</v>
      </c>
    </row>
    <row r="71" spans="1:8" x14ac:dyDescent="0.3">
      <c r="A71" s="2">
        <v>45565</v>
      </c>
      <c r="B71" s="3" t="s">
        <v>40</v>
      </c>
      <c r="C71" s="3">
        <v>6693</v>
      </c>
      <c r="D71" s="3">
        <v>995</v>
      </c>
      <c r="E71" s="3">
        <v>486018</v>
      </c>
      <c r="F71" s="4">
        <v>23.761877132122681</v>
      </c>
      <c r="G71" s="3">
        <v>38854</v>
      </c>
      <c r="H71" s="3" t="str">
        <f>'Task 3.1'!N94</f>
        <v>Product Promotion</v>
      </c>
    </row>
    <row r="72" spans="1:8" x14ac:dyDescent="0.3">
      <c r="A72" s="2">
        <v>45565</v>
      </c>
      <c r="B72" s="3" t="s">
        <v>22</v>
      </c>
      <c r="C72" s="3">
        <v>1767</v>
      </c>
      <c r="D72" s="3">
        <v>224</v>
      </c>
      <c r="E72" s="3">
        <v>487561</v>
      </c>
      <c r="F72" s="4">
        <v>13.208603641390511</v>
      </c>
      <c r="G72" s="3">
        <v>16256</v>
      </c>
      <c r="H72" s="3" t="str">
        <f>'Task 3.1'!N95</f>
        <v>Sustainability Branding</v>
      </c>
    </row>
    <row r="73" spans="1:8" x14ac:dyDescent="0.3">
      <c r="A73" s="2">
        <v>45565</v>
      </c>
      <c r="B73" s="3" t="s">
        <v>40</v>
      </c>
      <c r="C73" s="3">
        <v>3044</v>
      </c>
      <c r="D73" s="3">
        <v>212</v>
      </c>
      <c r="E73" s="3">
        <v>490393</v>
      </c>
      <c r="F73" s="4">
        <v>8.5343795690395261</v>
      </c>
      <c r="G73" s="3">
        <v>20720</v>
      </c>
      <c r="H73" s="3" t="str">
        <f>'Task 3.1'!N96</f>
        <v>Sustainability Branding</v>
      </c>
    </row>
    <row r="74" spans="1:8" x14ac:dyDescent="0.3">
      <c r="A74" s="2">
        <v>45572</v>
      </c>
      <c r="B74" s="3" t="s">
        <v>18</v>
      </c>
      <c r="C74" s="3">
        <v>2549</v>
      </c>
      <c r="D74" s="3">
        <v>128</v>
      </c>
      <c r="E74" s="3">
        <v>492814</v>
      </c>
      <c r="F74" s="4">
        <v>12.734216154573531</v>
      </c>
      <c r="G74" s="3">
        <v>43937</v>
      </c>
      <c r="H74" s="3" t="str">
        <f>'Task 3.1'!N97</f>
        <v>Health &amp; Fitness Awareness</v>
      </c>
    </row>
    <row r="75" spans="1:8" x14ac:dyDescent="0.3">
      <c r="A75" s="2">
        <v>45572</v>
      </c>
      <c r="B75" s="3" t="s">
        <v>13</v>
      </c>
      <c r="C75" s="3">
        <v>7140</v>
      </c>
      <c r="D75" s="3">
        <v>939</v>
      </c>
      <c r="E75" s="3">
        <v>499015</v>
      </c>
      <c r="F75" s="4">
        <v>25.120888149654821</v>
      </c>
      <c r="G75" s="3">
        <v>43598</v>
      </c>
      <c r="H75" s="3" t="str">
        <f>'Task 3.1'!N98</f>
        <v>Health &amp; Fitness Awareness</v>
      </c>
    </row>
    <row r="76" spans="1:8" x14ac:dyDescent="0.3">
      <c r="A76" s="2">
        <v>45572</v>
      </c>
      <c r="B76" s="3" t="s">
        <v>13</v>
      </c>
      <c r="C76" s="3">
        <v>4716</v>
      </c>
      <c r="D76" s="3">
        <v>569</v>
      </c>
      <c r="E76" s="3">
        <v>503162</v>
      </c>
      <c r="F76" s="4">
        <v>25.64820077827817</v>
      </c>
      <c r="G76" s="3">
        <v>11651</v>
      </c>
      <c r="H76" s="3" t="str">
        <f>'Task 3.1'!N99</f>
        <v>Sustainability Branding</v>
      </c>
    </row>
    <row r="77" spans="1:8" x14ac:dyDescent="0.3">
      <c r="A77" s="2">
        <v>45572</v>
      </c>
      <c r="B77" s="3" t="s">
        <v>22</v>
      </c>
      <c r="C77" s="3">
        <v>5481</v>
      </c>
      <c r="D77" s="3">
        <v>673</v>
      </c>
      <c r="E77" s="3">
        <v>507970</v>
      </c>
      <c r="F77" s="4">
        <v>13.08758391243577</v>
      </c>
      <c r="G77" s="3">
        <v>29194</v>
      </c>
      <c r="H77" s="3" t="str">
        <f>'Task 3.1'!N100</f>
        <v>Sustainability Branding</v>
      </c>
    </row>
    <row r="78" spans="1:8" x14ac:dyDescent="0.3">
      <c r="A78" s="2">
        <v>45579</v>
      </c>
      <c r="B78" s="3" t="s">
        <v>40</v>
      </c>
      <c r="C78" s="3">
        <v>8898</v>
      </c>
      <c r="D78" s="3">
        <v>1131</v>
      </c>
      <c r="E78" s="3">
        <v>515737</v>
      </c>
      <c r="F78" s="4">
        <v>2.1877429775253669</v>
      </c>
      <c r="G78" s="3">
        <v>35051</v>
      </c>
      <c r="H78" s="3" t="str">
        <f>'Task 3.1'!N101</f>
        <v>Brand Engagement</v>
      </c>
    </row>
    <row r="79" spans="1:8" x14ac:dyDescent="0.3">
      <c r="A79" s="2">
        <v>45579</v>
      </c>
      <c r="B79" s="3" t="s">
        <v>13</v>
      </c>
      <c r="C79" s="3">
        <v>7548</v>
      </c>
      <c r="D79" s="3">
        <v>433</v>
      </c>
      <c r="E79" s="3">
        <v>522852</v>
      </c>
      <c r="F79" s="4">
        <v>8.3562843787534522</v>
      </c>
      <c r="G79" s="3">
        <v>37386</v>
      </c>
      <c r="H79" s="3" t="str">
        <f>'Task 3.1'!N102</f>
        <v>Brand Engagement</v>
      </c>
    </row>
    <row r="80" spans="1:8" x14ac:dyDescent="0.3">
      <c r="A80" s="2">
        <v>45579</v>
      </c>
      <c r="B80" s="3" t="s">
        <v>40</v>
      </c>
      <c r="C80" s="3">
        <v>3293</v>
      </c>
      <c r="D80" s="3">
        <v>282</v>
      </c>
      <c r="E80" s="3">
        <v>525863</v>
      </c>
      <c r="F80" s="4">
        <v>27.040693108281051</v>
      </c>
      <c r="G80" s="3">
        <v>19518</v>
      </c>
      <c r="H80" s="3" t="str">
        <f>'Task 3.1'!N103</f>
        <v>Health &amp; Fitness Awareness</v>
      </c>
    </row>
    <row r="81" spans="1:8" x14ac:dyDescent="0.3">
      <c r="A81" s="2">
        <v>45579</v>
      </c>
      <c r="B81" s="3" t="s">
        <v>40</v>
      </c>
      <c r="C81" s="3">
        <v>5837</v>
      </c>
      <c r="D81" s="3">
        <v>359</v>
      </c>
      <c r="E81" s="3">
        <v>531341</v>
      </c>
      <c r="F81" s="4">
        <v>6.8073045370110723</v>
      </c>
      <c r="G81" s="3">
        <v>56026</v>
      </c>
      <c r="H81" s="3" t="str">
        <f>'Task 3.1'!N104</f>
        <v>Health &amp; Fitness Awareness</v>
      </c>
    </row>
    <row r="82" spans="1:8" x14ac:dyDescent="0.3">
      <c r="A82" s="2">
        <v>45586</v>
      </c>
      <c r="B82" s="3" t="s">
        <v>22</v>
      </c>
      <c r="C82" s="3">
        <v>8758</v>
      </c>
      <c r="D82" s="3">
        <v>1193</v>
      </c>
      <c r="E82" s="3">
        <v>538906</v>
      </c>
      <c r="F82" s="4">
        <v>3.4213758985797149</v>
      </c>
      <c r="G82" s="3">
        <v>26184</v>
      </c>
      <c r="H82" s="3" t="str">
        <f>'Task 3.1'!N105</f>
        <v>Health &amp; Fitness Awareness</v>
      </c>
    </row>
    <row r="83" spans="1:8" x14ac:dyDescent="0.3">
      <c r="A83" s="2">
        <v>45586</v>
      </c>
      <c r="B83" s="3" t="s">
        <v>13</v>
      </c>
      <c r="C83" s="3">
        <v>7793</v>
      </c>
      <c r="D83" s="3">
        <v>875</v>
      </c>
      <c r="E83" s="3">
        <v>545824</v>
      </c>
      <c r="F83" s="4">
        <v>5.5136820660139527</v>
      </c>
      <c r="G83" s="3">
        <v>43787</v>
      </c>
      <c r="H83" s="3" t="str">
        <f>'Task 3.1'!N106</f>
        <v>Sustainability Branding</v>
      </c>
    </row>
    <row r="84" spans="1:8" x14ac:dyDescent="0.3">
      <c r="A84" s="2">
        <v>45586</v>
      </c>
      <c r="B84" s="3" t="s">
        <v>22</v>
      </c>
      <c r="C84" s="3">
        <v>8638</v>
      </c>
      <c r="D84" s="3">
        <v>717</v>
      </c>
      <c r="E84" s="3">
        <v>553745</v>
      </c>
      <c r="F84" s="4">
        <v>26.921416897669499</v>
      </c>
      <c r="G84" s="3">
        <v>31621</v>
      </c>
      <c r="H84" s="3" t="str">
        <f>'Task 3.1'!N107</f>
        <v>Sustainability Branding</v>
      </c>
    </row>
    <row r="85" spans="1:8" x14ac:dyDescent="0.3">
      <c r="A85" s="2">
        <v>45586</v>
      </c>
      <c r="B85" s="3" t="s">
        <v>22</v>
      </c>
      <c r="C85" s="3">
        <v>8993</v>
      </c>
      <c r="D85" s="3">
        <v>506</v>
      </c>
      <c r="E85" s="3">
        <v>562232</v>
      </c>
      <c r="F85" s="4">
        <v>3.5131404829323132</v>
      </c>
      <c r="G85" s="3">
        <v>20028</v>
      </c>
      <c r="H85" s="3" t="str">
        <f>'Task 3.1'!N108</f>
        <v>Product Launch</v>
      </c>
    </row>
    <row r="86" spans="1:8" x14ac:dyDescent="0.3">
      <c r="A86" s="2">
        <v>45593</v>
      </c>
      <c r="B86" s="3" t="s">
        <v>13</v>
      </c>
      <c r="C86" s="3">
        <v>7007</v>
      </c>
      <c r="D86" s="3">
        <v>568</v>
      </c>
      <c r="E86" s="3">
        <v>568671</v>
      </c>
      <c r="F86" s="4">
        <v>11.50507059442103</v>
      </c>
      <c r="G86" s="3">
        <v>22448</v>
      </c>
      <c r="H86" s="3" t="str">
        <f>'Task 3.1'!N109</f>
        <v>Product Launch</v>
      </c>
    </row>
    <row r="87" spans="1:8" x14ac:dyDescent="0.3">
      <c r="A87" s="2">
        <v>45593</v>
      </c>
      <c r="B87" s="3" t="s">
        <v>13</v>
      </c>
      <c r="C87" s="3">
        <v>6542</v>
      </c>
      <c r="D87" s="3">
        <v>539</v>
      </c>
      <c r="E87" s="3">
        <v>574674</v>
      </c>
      <c r="F87" s="4">
        <v>6.4069368024305948</v>
      </c>
      <c r="G87" s="3">
        <v>55253</v>
      </c>
      <c r="H87" s="3" t="str">
        <f>'Task 3.1'!N110</f>
        <v>Health &amp; Fitness Awareness</v>
      </c>
    </row>
    <row r="88" spans="1:8" x14ac:dyDescent="0.3">
      <c r="A88" s="2">
        <v>45593</v>
      </c>
      <c r="B88" s="3" t="s">
        <v>18</v>
      </c>
      <c r="C88" s="3">
        <v>7356</v>
      </c>
      <c r="D88" s="3">
        <v>904</v>
      </c>
      <c r="E88" s="3">
        <v>581126</v>
      </c>
      <c r="F88" s="4">
        <v>17.560907617280929</v>
      </c>
      <c r="G88" s="3">
        <v>44051</v>
      </c>
      <c r="H88" s="3" t="str">
        <f>'Task 3.1'!N111</f>
        <v>Health &amp; Fitness Awareness</v>
      </c>
    </row>
    <row r="89" spans="1:8" x14ac:dyDescent="0.3">
      <c r="A89" s="2">
        <v>45593</v>
      </c>
      <c r="B89" s="3" t="s">
        <v>18</v>
      </c>
      <c r="C89" s="3">
        <v>9433</v>
      </c>
      <c r="D89" s="3">
        <v>1073</v>
      </c>
      <c r="E89" s="3">
        <v>589486</v>
      </c>
      <c r="F89" s="4">
        <v>7.2934726185185053</v>
      </c>
      <c r="G89" s="3">
        <v>59811</v>
      </c>
      <c r="H89" s="3" t="str">
        <f>'Task 3.1'!N112</f>
        <v>Brand Engagement</v>
      </c>
    </row>
    <row r="90" spans="1:8" x14ac:dyDescent="0.3">
      <c r="A90" s="2">
        <v>45600</v>
      </c>
      <c r="B90" s="3" t="s">
        <v>40</v>
      </c>
      <c r="C90" s="3">
        <v>8380</v>
      </c>
      <c r="D90" s="3">
        <v>1162</v>
      </c>
      <c r="E90" s="3">
        <v>596704</v>
      </c>
      <c r="F90" s="4">
        <v>18.05853488496809</v>
      </c>
      <c r="G90" s="3">
        <v>40447</v>
      </c>
      <c r="H90" s="3" t="str">
        <f>'Task 3.1'!N113</f>
        <v>Brand Engagement</v>
      </c>
    </row>
    <row r="91" spans="1:8" x14ac:dyDescent="0.3">
      <c r="A91" s="2">
        <v>45600</v>
      </c>
      <c r="B91" s="3" t="s">
        <v>13</v>
      </c>
      <c r="C91" s="3">
        <v>3385</v>
      </c>
      <c r="D91" s="3">
        <v>329</v>
      </c>
      <c r="E91" s="3">
        <v>599760</v>
      </c>
      <c r="F91" s="4">
        <v>17.61788048552755</v>
      </c>
      <c r="G91" s="3">
        <v>28394</v>
      </c>
      <c r="H91" s="3" t="str">
        <f>'Task 3.1'!N114</f>
        <v>Product Launch</v>
      </c>
    </row>
    <row r="92" spans="1:8" x14ac:dyDescent="0.3">
      <c r="A92" s="2">
        <v>45600</v>
      </c>
      <c r="B92" s="3" t="s">
        <v>18</v>
      </c>
      <c r="C92" s="3">
        <v>5268</v>
      </c>
      <c r="D92" s="3">
        <v>326</v>
      </c>
      <c r="E92" s="3">
        <v>604702</v>
      </c>
      <c r="F92" s="4">
        <v>23.435841125050029</v>
      </c>
      <c r="G92" s="3">
        <v>44501</v>
      </c>
      <c r="H92" s="3" t="str">
        <f>'Task 3.1'!N115</f>
        <v>Product Launch</v>
      </c>
    </row>
    <row r="93" spans="1:8" x14ac:dyDescent="0.3">
      <c r="A93" s="2">
        <v>45600</v>
      </c>
      <c r="B93" s="3" t="s">
        <v>40</v>
      </c>
      <c r="C93" s="3">
        <v>1671</v>
      </c>
      <c r="D93" s="3">
        <v>202</v>
      </c>
      <c r="E93" s="3">
        <v>606171</v>
      </c>
      <c r="F93" s="4">
        <v>15.150015424690389</v>
      </c>
      <c r="G93" s="3">
        <v>40254</v>
      </c>
      <c r="H93" s="3" t="str">
        <f>'Task 3.1'!N116</f>
        <v>Health &amp; Fitness Awareness</v>
      </c>
    </row>
    <row r="94" spans="1:8" x14ac:dyDescent="0.3">
      <c r="A94" s="2">
        <v>45607</v>
      </c>
      <c r="B94" s="3" t="s">
        <v>40</v>
      </c>
      <c r="C94" s="3">
        <v>1163</v>
      </c>
      <c r="D94" s="3">
        <v>146</v>
      </c>
      <c r="E94" s="3">
        <v>607188</v>
      </c>
      <c r="F94" s="4">
        <v>21.77776899411715</v>
      </c>
      <c r="G94" s="3">
        <v>28509</v>
      </c>
      <c r="H94" s="3" t="str">
        <f>'Task 3.1'!N117</f>
        <v>Health &amp; Fitness Awareness</v>
      </c>
    </row>
    <row r="95" spans="1:8" x14ac:dyDescent="0.3">
      <c r="A95" s="2">
        <v>45607</v>
      </c>
      <c r="B95" s="3" t="s">
        <v>40</v>
      </c>
      <c r="C95" s="3">
        <v>9656</v>
      </c>
      <c r="D95" s="3">
        <v>1024</v>
      </c>
      <c r="E95" s="3">
        <v>615820</v>
      </c>
      <c r="F95" s="4">
        <v>8.7252768666168681</v>
      </c>
      <c r="G95" s="3">
        <v>58998</v>
      </c>
      <c r="H95" s="3" t="str">
        <f>'Task 3.1'!N118</f>
        <v>Product Promotion</v>
      </c>
    </row>
    <row r="96" spans="1:8" x14ac:dyDescent="0.3">
      <c r="A96" s="2">
        <v>45607</v>
      </c>
      <c r="B96" s="3" t="s">
        <v>18</v>
      </c>
      <c r="C96" s="3">
        <v>5592</v>
      </c>
      <c r="D96" s="3">
        <v>710</v>
      </c>
      <c r="E96" s="3">
        <v>620702</v>
      </c>
      <c r="F96" s="4">
        <v>9.07118069540617</v>
      </c>
      <c r="G96" s="3">
        <v>24472</v>
      </c>
      <c r="H96" s="3" t="str">
        <f>'Task 3.1'!N119</f>
        <v>Product Promotion</v>
      </c>
    </row>
    <row r="97" spans="1:8" x14ac:dyDescent="0.3">
      <c r="A97" s="2">
        <v>45607</v>
      </c>
      <c r="B97" s="3" t="s">
        <v>13</v>
      </c>
      <c r="C97" s="3">
        <v>5795</v>
      </c>
      <c r="D97" s="3">
        <v>575</v>
      </c>
      <c r="E97" s="3">
        <v>625922</v>
      </c>
      <c r="F97" s="4">
        <v>3.0908004511744269</v>
      </c>
      <c r="G97" s="3">
        <v>55657</v>
      </c>
      <c r="H97" s="3" t="str">
        <f>'Task 3.1'!N120</f>
        <v>Product Launch</v>
      </c>
    </row>
    <row r="98" spans="1:8" x14ac:dyDescent="0.3">
      <c r="A98" s="2">
        <v>45614</v>
      </c>
      <c r="B98" s="3" t="s">
        <v>22</v>
      </c>
      <c r="C98" s="3">
        <v>5798</v>
      </c>
      <c r="D98" s="3">
        <v>592</v>
      </c>
      <c r="E98" s="3">
        <v>631128</v>
      </c>
      <c r="F98" s="4">
        <v>1.6774727155188811</v>
      </c>
      <c r="G98" s="3">
        <v>13471</v>
      </c>
      <c r="H98" s="3" t="str">
        <f>'Task 3.1'!N121</f>
        <v>Product Launch</v>
      </c>
    </row>
    <row r="99" spans="1:8" x14ac:dyDescent="0.3">
      <c r="A99" s="2">
        <v>45614</v>
      </c>
      <c r="B99" s="3" t="s">
        <v>40</v>
      </c>
      <c r="C99" s="3">
        <v>7036</v>
      </c>
      <c r="D99" s="3">
        <v>652</v>
      </c>
      <c r="E99" s="3">
        <v>637512</v>
      </c>
      <c r="F99" s="4">
        <v>3.5705994553828009</v>
      </c>
      <c r="G99" s="3">
        <v>51796</v>
      </c>
      <c r="H99" s="3" t="str">
        <f>'Task 3.1'!N122</f>
        <v>Brand Engagement</v>
      </c>
    </row>
    <row r="100" spans="1:8" x14ac:dyDescent="0.3">
      <c r="A100" s="2">
        <v>45614</v>
      </c>
      <c r="B100" s="3" t="s">
        <v>18</v>
      </c>
      <c r="C100" s="3">
        <v>3355</v>
      </c>
      <c r="D100" s="3">
        <v>176</v>
      </c>
      <c r="E100" s="3">
        <v>640691</v>
      </c>
      <c r="F100" s="4">
        <v>12.426427091999111</v>
      </c>
      <c r="G100" s="3">
        <v>40268</v>
      </c>
      <c r="H100" s="3" t="str">
        <f>'Task 3.1'!N123</f>
        <v>Brand Engagement</v>
      </c>
    </row>
    <row r="101" spans="1:8" x14ac:dyDescent="0.3">
      <c r="A101" s="2">
        <v>45614</v>
      </c>
      <c r="B101" s="3" t="s">
        <v>18</v>
      </c>
      <c r="C101" s="3">
        <v>6887</v>
      </c>
      <c r="D101" s="3">
        <v>418</v>
      </c>
      <c r="E101" s="3">
        <v>647160</v>
      </c>
      <c r="F101" s="4">
        <v>20.240280610668151</v>
      </c>
      <c r="G101" s="3">
        <v>18329</v>
      </c>
      <c r="H101" s="3" t="str">
        <f>'Task 3.1'!N124</f>
        <v>Brand Engagement</v>
      </c>
    </row>
    <row r="102" spans="1:8" x14ac:dyDescent="0.3">
      <c r="A102" s="2">
        <v>45621</v>
      </c>
      <c r="B102" s="3" t="s">
        <v>22</v>
      </c>
      <c r="C102" s="3">
        <v>8961</v>
      </c>
      <c r="D102" s="3">
        <v>476</v>
      </c>
      <c r="E102" s="3">
        <v>655645</v>
      </c>
      <c r="F102" s="4">
        <v>15.458517947974901</v>
      </c>
      <c r="G102" s="3">
        <v>44865</v>
      </c>
      <c r="H102" s="3" t="str">
        <f>'Task 3.1'!N125</f>
        <v>Brand Engagement</v>
      </c>
    </row>
    <row r="103" spans="1:8" x14ac:dyDescent="0.3">
      <c r="A103" s="2">
        <v>45621</v>
      </c>
      <c r="B103" s="3" t="s">
        <v>22</v>
      </c>
      <c r="C103" s="3">
        <v>6827</v>
      </c>
      <c r="D103" s="3">
        <v>775</v>
      </c>
      <c r="E103" s="3">
        <v>661697</v>
      </c>
      <c r="F103" s="4">
        <v>15.96622018839439</v>
      </c>
      <c r="G103" s="3">
        <v>56850</v>
      </c>
      <c r="H103" s="3" t="str">
        <f>'Task 3.1'!N126</f>
        <v>Health &amp; Fitness Awareness</v>
      </c>
    </row>
    <row r="104" spans="1:8" x14ac:dyDescent="0.3">
      <c r="A104" s="2">
        <v>45621</v>
      </c>
      <c r="B104" s="3" t="s">
        <v>18</v>
      </c>
      <c r="C104" s="3">
        <v>9737</v>
      </c>
      <c r="D104" s="3">
        <v>792</v>
      </c>
      <c r="E104" s="3">
        <v>670642</v>
      </c>
      <c r="F104" s="4">
        <v>5.301785453341723</v>
      </c>
      <c r="G104" s="3">
        <v>56698</v>
      </c>
      <c r="H104" s="3" t="str">
        <f>'Task 3.1'!N127</f>
        <v>Health &amp; Fitness Awareness</v>
      </c>
    </row>
    <row r="105" spans="1:8" x14ac:dyDescent="0.3">
      <c r="A105" s="2">
        <v>45621</v>
      </c>
      <c r="B105" s="3" t="s">
        <v>13</v>
      </c>
      <c r="C105" s="3">
        <v>5719</v>
      </c>
      <c r="D105" s="3">
        <v>576</v>
      </c>
      <c r="E105" s="3">
        <v>675785</v>
      </c>
      <c r="F105" s="4">
        <v>10.21656296011305</v>
      </c>
      <c r="G105" s="3">
        <v>38272</v>
      </c>
      <c r="H105" s="3" t="str">
        <f>'Task 3.1'!N128</f>
        <v>Sustainability Branding</v>
      </c>
    </row>
    <row r="106" spans="1:8" x14ac:dyDescent="0.3">
      <c r="A106" s="2">
        <v>45628</v>
      </c>
      <c r="B106" s="3" t="s">
        <v>22</v>
      </c>
      <c r="C106" s="3">
        <v>1593</v>
      </c>
      <c r="D106" s="3">
        <v>224</v>
      </c>
      <c r="E106" s="3">
        <v>677154</v>
      </c>
      <c r="F106" s="4">
        <v>4.1495730660972248</v>
      </c>
      <c r="G106" s="3">
        <v>52845</v>
      </c>
      <c r="H106" s="3" t="str">
        <f>'Task 3.1'!N129</f>
        <v>Sustainability Branding</v>
      </c>
    </row>
    <row r="107" spans="1:8" x14ac:dyDescent="0.3">
      <c r="A107" s="2">
        <v>45628</v>
      </c>
      <c r="B107" s="3" t="s">
        <v>18</v>
      </c>
      <c r="C107" s="3">
        <v>5839</v>
      </c>
      <c r="D107" s="3">
        <v>437</v>
      </c>
      <c r="E107" s="3">
        <v>682556</v>
      </c>
      <c r="F107" s="4">
        <v>17.44750613869045</v>
      </c>
      <c r="G107" s="3">
        <v>16397</v>
      </c>
      <c r="H107" s="3" t="str">
        <f>'Task 3.1'!N130</f>
        <v>Brand Engagement</v>
      </c>
    </row>
    <row r="108" spans="1:8" x14ac:dyDescent="0.3">
      <c r="A108" s="2">
        <v>45628</v>
      </c>
      <c r="B108" s="3" t="s">
        <v>22</v>
      </c>
      <c r="C108" s="3">
        <v>8394</v>
      </c>
      <c r="D108" s="3">
        <v>764</v>
      </c>
      <c r="E108" s="3">
        <v>690186</v>
      </c>
      <c r="F108" s="4">
        <v>6.3556780346167558</v>
      </c>
      <c r="G108" s="3">
        <v>42373</v>
      </c>
      <c r="H108" s="3" t="str">
        <f>'Task 3.1'!N131</f>
        <v>Brand Engagement</v>
      </c>
    </row>
    <row r="109" spans="1:8" x14ac:dyDescent="0.3">
      <c r="A109" s="2">
        <v>45628</v>
      </c>
      <c r="B109" s="3" t="s">
        <v>13</v>
      </c>
      <c r="C109" s="3">
        <v>4493</v>
      </c>
      <c r="D109" s="3">
        <v>564</v>
      </c>
      <c r="E109" s="3">
        <v>694115</v>
      </c>
      <c r="F109" s="4">
        <v>16.625487131094989</v>
      </c>
      <c r="G109" s="3">
        <v>45525</v>
      </c>
      <c r="H109" s="3" t="str">
        <f>'Task 3.1'!N132</f>
        <v>Product Promotion</v>
      </c>
    </row>
    <row r="110" spans="1:8" x14ac:dyDescent="0.3">
      <c r="A110" s="2">
        <v>45635</v>
      </c>
      <c r="B110" s="3" t="s">
        <v>40</v>
      </c>
      <c r="C110" s="3">
        <v>7164</v>
      </c>
      <c r="D110" s="3">
        <v>522</v>
      </c>
      <c r="E110" s="3">
        <v>700757</v>
      </c>
      <c r="F110" s="4">
        <v>13.449169969047761</v>
      </c>
      <c r="G110" s="3">
        <v>34570</v>
      </c>
      <c r="H110" s="3" t="str">
        <f>'Task 3.1'!N133</f>
        <v>Product Promotion</v>
      </c>
    </row>
    <row r="111" spans="1:8" x14ac:dyDescent="0.3">
      <c r="A111" s="2">
        <v>45635</v>
      </c>
      <c r="B111" s="3" t="s">
        <v>22</v>
      </c>
      <c r="C111" s="3">
        <v>3672</v>
      </c>
      <c r="D111" s="3">
        <v>211</v>
      </c>
      <c r="E111" s="3">
        <v>704218</v>
      </c>
      <c r="F111" s="4">
        <v>12.35057894004413</v>
      </c>
      <c r="G111" s="3">
        <v>28284</v>
      </c>
      <c r="H111" s="3" t="str">
        <f>'Task 3.1'!N134</f>
        <v>Product Launch</v>
      </c>
    </row>
    <row r="112" spans="1:8" x14ac:dyDescent="0.3">
      <c r="A112" s="2">
        <v>45635</v>
      </c>
      <c r="B112" s="3" t="s">
        <v>13</v>
      </c>
      <c r="C112" s="3">
        <v>5200</v>
      </c>
      <c r="D112" s="3">
        <v>410</v>
      </c>
      <c r="E112" s="3">
        <v>709008</v>
      </c>
      <c r="F112" s="4">
        <v>12.913394489201821</v>
      </c>
      <c r="G112" s="3">
        <v>28994</v>
      </c>
      <c r="H112" s="3" t="str">
        <f>'Task 3.1'!N135</f>
        <v>Product Launch</v>
      </c>
    </row>
    <row r="113" spans="1:8" x14ac:dyDescent="0.3">
      <c r="A113" s="2">
        <v>45635</v>
      </c>
      <c r="B113" s="3" t="s">
        <v>18</v>
      </c>
      <c r="C113" s="3">
        <v>1016</v>
      </c>
      <c r="D113" s="3">
        <v>67</v>
      </c>
      <c r="E113" s="3">
        <v>709957</v>
      </c>
      <c r="F113" s="4">
        <v>20.774215903216671</v>
      </c>
      <c r="G113" s="3">
        <v>33284</v>
      </c>
      <c r="H113" s="3" t="str">
        <f>'Task 3.1'!N136</f>
        <v>Product Launch</v>
      </c>
    </row>
    <row r="114" spans="1:8" x14ac:dyDescent="0.3">
      <c r="A114" s="2">
        <v>45642</v>
      </c>
      <c r="B114" s="3" t="s">
        <v>22</v>
      </c>
      <c r="C114" s="3">
        <v>4191</v>
      </c>
      <c r="D114" s="3">
        <v>599</v>
      </c>
      <c r="E114" s="3">
        <v>713549</v>
      </c>
      <c r="F114" s="4">
        <v>11.56416728213479</v>
      </c>
      <c r="G114" s="3">
        <v>27833</v>
      </c>
      <c r="H114" s="3" t="str">
        <f>'Task 3.1'!N137</f>
        <v>Product Promotion</v>
      </c>
    </row>
    <row r="115" spans="1:8" x14ac:dyDescent="0.3">
      <c r="A115" s="2">
        <v>45642</v>
      </c>
      <c r="B115" s="3" t="s">
        <v>22</v>
      </c>
      <c r="C115" s="3">
        <v>1392</v>
      </c>
      <c r="D115" s="3">
        <v>182</v>
      </c>
      <c r="E115" s="3">
        <v>714759</v>
      </c>
      <c r="F115" s="4">
        <v>5.9603306848881932</v>
      </c>
      <c r="G115" s="3">
        <v>35122</v>
      </c>
      <c r="H115" s="3" t="str">
        <f>'Task 3.1'!N138</f>
        <v>Product Promotion</v>
      </c>
    </row>
    <row r="116" spans="1:8" x14ac:dyDescent="0.3">
      <c r="A116" s="2">
        <v>45642</v>
      </c>
      <c r="B116" s="3" t="s">
        <v>18</v>
      </c>
      <c r="C116" s="3">
        <v>9616</v>
      </c>
      <c r="D116" s="3">
        <v>1089</v>
      </c>
      <c r="E116" s="3">
        <v>723286</v>
      </c>
      <c r="F116" s="4">
        <v>19.25863351426683</v>
      </c>
      <c r="G116" s="3">
        <v>15017</v>
      </c>
      <c r="H116" s="3" t="str">
        <f>'Task 3.1'!N139</f>
        <v>Brand Engagement</v>
      </c>
    </row>
    <row r="117" spans="1:8" x14ac:dyDescent="0.3">
      <c r="A117" s="2">
        <v>45642</v>
      </c>
      <c r="B117" s="3" t="s">
        <v>40</v>
      </c>
      <c r="C117" s="3">
        <v>7272</v>
      </c>
      <c r="D117" s="3">
        <v>997</v>
      </c>
      <c r="E117" s="3">
        <v>729561</v>
      </c>
      <c r="F117" s="4">
        <v>13.428486445958599</v>
      </c>
      <c r="G117" s="3">
        <v>26370</v>
      </c>
      <c r="H117" s="3" t="str">
        <f>'Task 3.1'!N140</f>
        <v>Brand Engagement</v>
      </c>
    </row>
    <row r="118" spans="1:8" x14ac:dyDescent="0.3">
      <c r="A118" s="2">
        <v>45649</v>
      </c>
      <c r="B118" s="3" t="s">
        <v>18</v>
      </c>
      <c r="C118" s="3">
        <v>1571</v>
      </c>
      <c r="D118" s="3">
        <v>204</v>
      </c>
      <c r="E118" s="3">
        <v>730928</v>
      </c>
      <c r="F118" s="4">
        <v>19.449384891535139</v>
      </c>
      <c r="G118" s="3">
        <v>39252</v>
      </c>
      <c r="H118" s="3" t="str">
        <f>'Task 3.1'!N141</f>
        <v>Health &amp; Fitness Awareness</v>
      </c>
    </row>
    <row r="119" spans="1:8" x14ac:dyDescent="0.3">
      <c r="A119" s="2">
        <v>45649</v>
      </c>
      <c r="B119" s="3" t="s">
        <v>22</v>
      </c>
      <c r="C119" s="3">
        <v>4631</v>
      </c>
      <c r="D119" s="3">
        <v>317</v>
      </c>
      <c r="E119" s="3">
        <v>735242</v>
      </c>
      <c r="F119" s="4">
        <v>1.381177897889402</v>
      </c>
      <c r="G119" s="3">
        <v>17999</v>
      </c>
      <c r="H119" s="3" t="str">
        <f>'Task 3.1'!N142</f>
        <v>Health &amp; Fitness Awareness</v>
      </c>
    </row>
    <row r="120" spans="1:8" x14ac:dyDescent="0.3">
      <c r="A120" s="2">
        <v>45649</v>
      </c>
      <c r="B120" s="3" t="s">
        <v>18</v>
      </c>
      <c r="C120" s="3">
        <v>7172</v>
      </c>
      <c r="D120" s="3">
        <v>998</v>
      </c>
      <c r="E120" s="3">
        <v>741416</v>
      </c>
      <c r="F120" s="4">
        <v>18.0667803230575</v>
      </c>
      <c r="G120" s="3">
        <v>32436</v>
      </c>
      <c r="H120" s="3" t="str">
        <f>'Task 3.1'!N143</f>
        <v>Health &amp; Fitness Awareness</v>
      </c>
    </row>
    <row r="121" spans="1:8" x14ac:dyDescent="0.3">
      <c r="A121" s="2">
        <v>45649</v>
      </c>
      <c r="B121" s="3" t="s">
        <v>13</v>
      </c>
      <c r="C121" s="3">
        <v>8177</v>
      </c>
      <c r="D121" s="3">
        <v>849</v>
      </c>
      <c r="E121" s="3">
        <v>748744</v>
      </c>
      <c r="F121" s="4">
        <v>10.34986590877523</v>
      </c>
      <c r="G121" s="3">
        <v>52963</v>
      </c>
      <c r="H121" s="3" t="str">
        <f>'Task 3.1'!N144</f>
        <v>Health &amp; Fitness Awareness</v>
      </c>
    </row>
    <row r="122" spans="1:8" x14ac:dyDescent="0.3">
      <c r="A122" s="2">
        <v>45656</v>
      </c>
      <c r="B122" s="3" t="s">
        <v>18</v>
      </c>
      <c r="C122" s="3">
        <v>9433</v>
      </c>
      <c r="D122" s="3">
        <v>1233</v>
      </c>
      <c r="E122" s="3">
        <v>756944</v>
      </c>
      <c r="F122" s="4">
        <v>11.391727789638329</v>
      </c>
      <c r="G122" s="3">
        <v>12096</v>
      </c>
      <c r="H122" s="3" t="str">
        <f>'Task 3.1'!N145</f>
        <v>Brand Engagement</v>
      </c>
    </row>
    <row r="123" spans="1:8" x14ac:dyDescent="0.3">
      <c r="A123" s="2">
        <v>45656</v>
      </c>
      <c r="B123" s="3" t="s">
        <v>22</v>
      </c>
      <c r="C123" s="3">
        <v>4897</v>
      </c>
      <c r="D123" s="3">
        <v>683</v>
      </c>
      <c r="E123" s="3">
        <v>761158</v>
      </c>
      <c r="F123" s="4">
        <v>15.06231294947961</v>
      </c>
      <c r="G123" s="3">
        <v>58201</v>
      </c>
      <c r="H123" s="3" t="str">
        <f>'Task 3.1'!N146</f>
        <v>Brand Engagement</v>
      </c>
    </row>
    <row r="124" spans="1:8" x14ac:dyDescent="0.3">
      <c r="A124" s="2">
        <v>45656</v>
      </c>
      <c r="B124" s="3" t="s">
        <v>18</v>
      </c>
      <c r="C124" s="3">
        <v>9123</v>
      </c>
      <c r="D124" s="3">
        <v>746</v>
      </c>
      <c r="E124" s="3">
        <v>769535</v>
      </c>
      <c r="F124" s="4">
        <v>6.3086149427901264</v>
      </c>
      <c r="G124" s="3">
        <v>35279</v>
      </c>
      <c r="H124" s="3" t="str">
        <f>'Task 3.1'!N147</f>
        <v>Brand Engagement</v>
      </c>
    </row>
    <row r="125" spans="1:8" x14ac:dyDescent="0.3">
      <c r="A125" s="2">
        <v>45656</v>
      </c>
      <c r="B125" s="3" t="s">
        <v>40</v>
      </c>
      <c r="C125" s="3">
        <v>3279</v>
      </c>
      <c r="D125" s="3">
        <v>200</v>
      </c>
      <c r="E125" s="3">
        <v>772614</v>
      </c>
      <c r="F125" s="4">
        <v>5.0212654702089274</v>
      </c>
      <c r="G125" s="3">
        <v>53363</v>
      </c>
      <c r="H125" s="3" t="str">
        <f>'Task 3.1'!N148</f>
        <v>Brand Engagement</v>
      </c>
    </row>
    <row r="126" spans="1:8" x14ac:dyDescent="0.3">
      <c r="A126" s="2">
        <v>45663</v>
      </c>
      <c r="B126" s="3" t="s">
        <v>18</v>
      </c>
      <c r="C126" s="3">
        <v>9980</v>
      </c>
      <c r="D126" s="3">
        <v>726</v>
      </c>
      <c r="E126" s="3">
        <v>781868</v>
      </c>
      <c r="F126" s="4">
        <v>4.0220344099003924</v>
      </c>
      <c r="G126" s="3">
        <v>58709</v>
      </c>
      <c r="H126" s="3" t="str">
        <f>'Task 3.1'!N149</f>
        <v>Product Launch</v>
      </c>
    </row>
    <row r="127" spans="1:8" x14ac:dyDescent="0.3">
      <c r="A127" s="2">
        <v>45663</v>
      </c>
      <c r="B127" s="3" t="s">
        <v>40</v>
      </c>
      <c r="C127" s="3">
        <v>8451</v>
      </c>
      <c r="D127" s="3">
        <v>783</v>
      </c>
      <c r="E127" s="3">
        <v>789536</v>
      </c>
      <c r="F127" s="4">
        <v>12.407287318121019</v>
      </c>
      <c r="G127" s="3">
        <v>36201</v>
      </c>
      <c r="H127" s="3" t="str">
        <f>'Task 3.1'!N150</f>
        <v>Product Launch</v>
      </c>
    </row>
    <row r="128" spans="1:8" x14ac:dyDescent="0.3">
      <c r="A128" s="2">
        <v>45663</v>
      </c>
      <c r="B128" s="3" t="s">
        <v>13</v>
      </c>
      <c r="C128" s="3">
        <v>9906</v>
      </c>
      <c r="D128" s="3">
        <v>1305</v>
      </c>
      <c r="E128" s="3">
        <v>798137</v>
      </c>
      <c r="F128" s="4">
        <v>9.1811305577864442</v>
      </c>
      <c r="G128" s="3">
        <v>29715</v>
      </c>
      <c r="H128" s="3" t="str">
        <f>'Task 3.1'!N151</f>
        <v>Brand Engagement</v>
      </c>
    </row>
    <row r="129" spans="1:8" x14ac:dyDescent="0.3">
      <c r="A129" s="2">
        <v>45663</v>
      </c>
      <c r="B129" s="3" t="s">
        <v>40</v>
      </c>
      <c r="C129" s="3">
        <v>1775</v>
      </c>
      <c r="D129" s="3">
        <v>241</v>
      </c>
      <c r="E129" s="3">
        <v>799671</v>
      </c>
      <c r="F129" s="4">
        <v>8.1379717408784362</v>
      </c>
      <c r="G129" s="3">
        <v>39309</v>
      </c>
      <c r="H129" s="3" t="str">
        <f>'Task 3.1'!N152</f>
        <v>Brand Engagement</v>
      </c>
    </row>
    <row r="130" spans="1:8" x14ac:dyDescent="0.3">
      <c r="A130" s="2">
        <v>45670</v>
      </c>
      <c r="B130" s="3" t="s">
        <v>18</v>
      </c>
      <c r="C130" s="3">
        <v>7869</v>
      </c>
      <c r="D130" s="3">
        <v>398</v>
      </c>
      <c r="E130" s="3">
        <v>807142</v>
      </c>
      <c r="F130" s="4">
        <v>15.211945357818079</v>
      </c>
      <c r="G130" s="3">
        <v>25078</v>
      </c>
      <c r="H130" s="3" t="str">
        <f>'Task 3.1'!N153</f>
        <v>Sustainability Branding</v>
      </c>
    </row>
    <row r="131" spans="1:8" x14ac:dyDescent="0.3">
      <c r="A131" s="2">
        <v>45670</v>
      </c>
      <c r="B131" s="3" t="s">
        <v>22</v>
      </c>
      <c r="C131" s="3">
        <v>3247</v>
      </c>
      <c r="D131" s="3">
        <v>328</v>
      </c>
      <c r="E131" s="3">
        <v>810061</v>
      </c>
      <c r="F131" s="4">
        <v>13.941172331466399</v>
      </c>
      <c r="G131" s="3">
        <v>15105</v>
      </c>
      <c r="H131" s="3" t="str">
        <f>'Task 3.1'!N154</f>
        <v>Sustainability Branding</v>
      </c>
    </row>
    <row r="132" spans="1:8" x14ac:dyDescent="0.3">
      <c r="A132" s="2">
        <v>45670</v>
      </c>
      <c r="B132" s="3" t="s">
        <v>40</v>
      </c>
      <c r="C132" s="3">
        <v>8088</v>
      </c>
      <c r="D132" s="3">
        <v>742</v>
      </c>
      <c r="E132" s="3">
        <v>817407</v>
      </c>
      <c r="F132" s="4">
        <v>14.664542877660701</v>
      </c>
      <c r="G132" s="3">
        <v>39312</v>
      </c>
      <c r="H132" s="3" t="str">
        <f>'Task 3.1'!N155</f>
        <v>Product Launch</v>
      </c>
    </row>
    <row r="133" spans="1:8" x14ac:dyDescent="0.3">
      <c r="A133" s="2">
        <v>45670</v>
      </c>
      <c r="B133" s="3" t="s">
        <v>13</v>
      </c>
      <c r="C133" s="3">
        <v>1078</v>
      </c>
      <c r="D133" s="3">
        <v>77</v>
      </c>
      <c r="E133" s="3">
        <v>818408</v>
      </c>
      <c r="F133" s="4">
        <v>18.236747441373989</v>
      </c>
      <c r="G133" s="3">
        <v>12839</v>
      </c>
      <c r="H133" s="3" t="str">
        <f>'Task 3.1'!N156</f>
        <v>Product Launch</v>
      </c>
    </row>
    <row r="134" spans="1:8" x14ac:dyDescent="0.3">
      <c r="A134" s="2">
        <v>45677</v>
      </c>
      <c r="B134" s="3" t="s">
        <v>40</v>
      </c>
      <c r="C134" s="3">
        <v>9080</v>
      </c>
      <c r="D134" s="3">
        <v>562</v>
      </c>
      <c r="E134" s="3">
        <v>826926</v>
      </c>
      <c r="F134" s="4">
        <v>7.1083748727213809</v>
      </c>
      <c r="G134" s="3">
        <v>13384</v>
      </c>
      <c r="H134" s="3" t="str">
        <f>'Task 3.1'!N157</f>
        <v>Brand Engagement</v>
      </c>
    </row>
    <row r="135" spans="1:8" x14ac:dyDescent="0.3">
      <c r="A135" s="2">
        <v>45677</v>
      </c>
      <c r="B135" s="3" t="s">
        <v>40</v>
      </c>
      <c r="C135" s="3">
        <v>8099</v>
      </c>
      <c r="D135" s="3">
        <v>678</v>
      </c>
      <c r="E135" s="3">
        <v>834347</v>
      </c>
      <c r="F135" s="4">
        <v>7.6464588474579518</v>
      </c>
      <c r="G135" s="3">
        <v>53619</v>
      </c>
      <c r="H135" s="3" t="str">
        <f>'Task 3.1'!N158</f>
        <v>Brand Engagement</v>
      </c>
    </row>
    <row r="136" spans="1:8" x14ac:dyDescent="0.3">
      <c r="A136" s="2">
        <v>45677</v>
      </c>
      <c r="B136" s="3" t="s">
        <v>40</v>
      </c>
      <c r="C136" s="3">
        <v>4926</v>
      </c>
      <c r="D136" s="3">
        <v>710</v>
      </c>
      <c r="E136" s="3">
        <v>838563</v>
      </c>
      <c r="F136" s="4">
        <v>12.96217457722318</v>
      </c>
      <c r="G136" s="3">
        <v>52821</v>
      </c>
      <c r="H136" s="3" t="str">
        <f>'Task 3.1'!N159</f>
        <v>Product Launch</v>
      </c>
    </row>
    <row r="137" spans="1:8" x14ac:dyDescent="0.3">
      <c r="A137" s="2">
        <v>45677</v>
      </c>
      <c r="B137" s="3" t="s">
        <v>13</v>
      </c>
      <c r="C137" s="3">
        <v>8340</v>
      </c>
      <c r="D137" s="3">
        <v>686</v>
      </c>
      <c r="E137" s="3">
        <v>846217</v>
      </c>
      <c r="F137" s="4">
        <v>7.201344336027284</v>
      </c>
      <c r="G137" s="3">
        <v>23493</v>
      </c>
      <c r="H137" s="3" t="str">
        <f>'Task 3.1'!N160</f>
        <v>Product Launch</v>
      </c>
    </row>
    <row r="138" spans="1:8" x14ac:dyDescent="0.3">
      <c r="A138" s="2">
        <v>45684</v>
      </c>
      <c r="B138" s="3" t="s">
        <v>18</v>
      </c>
      <c r="C138" s="3">
        <v>8083</v>
      </c>
      <c r="D138" s="3">
        <v>823</v>
      </c>
      <c r="E138" s="3">
        <v>853477</v>
      </c>
      <c r="F138" s="4">
        <v>4.6300017457998282</v>
      </c>
      <c r="G138" s="3">
        <v>27069</v>
      </c>
      <c r="H138" s="3" t="str">
        <f>'Task 3.1'!N161</f>
        <v>Product Promotion</v>
      </c>
    </row>
    <row r="139" spans="1:8" x14ac:dyDescent="0.3">
      <c r="A139" s="2">
        <v>45684</v>
      </c>
      <c r="B139" s="3" t="s">
        <v>40</v>
      </c>
      <c r="C139" s="3">
        <v>7230</v>
      </c>
      <c r="D139" s="3">
        <v>869</v>
      </c>
      <c r="E139" s="3">
        <v>859838</v>
      </c>
      <c r="F139" s="4">
        <v>7.0117859410726204</v>
      </c>
      <c r="G139" s="3">
        <v>56907</v>
      </c>
      <c r="H139" s="3" t="str">
        <f>'Task 3.1'!N162</f>
        <v>Product Promotion</v>
      </c>
    </row>
    <row r="140" spans="1:8" x14ac:dyDescent="0.3">
      <c r="A140" s="2">
        <v>45684</v>
      </c>
      <c r="B140" s="3" t="s">
        <v>40</v>
      </c>
      <c r="C140" s="3">
        <v>5940</v>
      </c>
      <c r="D140" s="3">
        <v>512</v>
      </c>
      <c r="E140" s="3">
        <v>865266</v>
      </c>
      <c r="F140" s="4">
        <v>15.7972230504839</v>
      </c>
      <c r="G140" s="3">
        <v>17531</v>
      </c>
      <c r="H140" s="3" t="str">
        <f>'Task 3.1'!N163</f>
        <v>Brand Engagement</v>
      </c>
    </row>
    <row r="141" spans="1:8" x14ac:dyDescent="0.3">
      <c r="A141" s="2">
        <v>45684</v>
      </c>
      <c r="B141" s="3" t="s">
        <v>22</v>
      </c>
      <c r="C141" s="3">
        <v>4271</v>
      </c>
      <c r="D141" s="3">
        <v>628</v>
      </c>
      <c r="E141" s="3">
        <v>868909</v>
      </c>
      <c r="F141" s="4">
        <v>11.124410036033691</v>
      </c>
      <c r="G141" s="3">
        <v>47051</v>
      </c>
      <c r="H141" s="3" t="str">
        <f>'Task 3.1'!N164</f>
        <v>Brand Engagement</v>
      </c>
    </row>
    <row r="142" spans="1:8" x14ac:dyDescent="0.3">
      <c r="A142" s="2">
        <v>45691</v>
      </c>
      <c r="B142" s="3" t="s">
        <v>13</v>
      </c>
      <c r="C142" s="3">
        <v>4456</v>
      </c>
      <c r="D142" s="3">
        <v>651</v>
      </c>
      <c r="E142" s="3">
        <v>872714</v>
      </c>
      <c r="F142" s="4">
        <v>9.5052903929580594</v>
      </c>
      <c r="G142" s="3">
        <v>17736</v>
      </c>
      <c r="H142" s="3" t="str">
        <f>'Task 3.1'!N165</f>
        <v>Health &amp; Fitness Awareness</v>
      </c>
    </row>
    <row r="143" spans="1:8" x14ac:dyDescent="0.3">
      <c r="A143" s="2">
        <v>45691</v>
      </c>
      <c r="B143" s="3" t="s">
        <v>40</v>
      </c>
      <c r="C143" s="3">
        <v>8788</v>
      </c>
      <c r="D143" s="3">
        <v>660</v>
      </c>
      <c r="E143" s="3">
        <v>880842</v>
      </c>
      <c r="F143" s="4">
        <v>3.7175793161543158</v>
      </c>
      <c r="G143" s="3">
        <v>17710</v>
      </c>
      <c r="H143" s="3" t="str">
        <f>'Task 3.1'!N166</f>
        <v>Health &amp; Fitness Awareness</v>
      </c>
    </row>
    <row r="144" spans="1:8" x14ac:dyDescent="0.3">
      <c r="A144" s="2">
        <v>45691</v>
      </c>
      <c r="B144" s="3" t="s">
        <v>13</v>
      </c>
      <c r="C144" s="3">
        <v>9599</v>
      </c>
      <c r="D144" s="3">
        <v>957</v>
      </c>
      <c r="E144" s="3">
        <v>889484</v>
      </c>
      <c r="F144" s="4">
        <v>8.768004820772493</v>
      </c>
      <c r="G144" s="3">
        <v>11619</v>
      </c>
      <c r="H144" s="3" t="str">
        <f>'Task 3.1'!N167</f>
        <v>Brand Engagement</v>
      </c>
    </row>
    <row r="145" spans="1:8" x14ac:dyDescent="0.3">
      <c r="A145" s="2">
        <v>45691</v>
      </c>
      <c r="B145" s="3" t="s">
        <v>40</v>
      </c>
      <c r="C145" s="3">
        <v>8650</v>
      </c>
      <c r="D145" s="3">
        <v>692</v>
      </c>
      <c r="E145" s="3">
        <v>897442</v>
      </c>
      <c r="F145" s="4">
        <v>7.6673478620345374</v>
      </c>
      <c r="G145" s="3">
        <v>23975</v>
      </c>
      <c r="H145" s="3" t="str">
        <f>'Task 3.1'!N168</f>
        <v>Brand Engagement</v>
      </c>
    </row>
    <row r="146" spans="1:8" x14ac:dyDescent="0.3">
      <c r="A146" s="2">
        <v>45698</v>
      </c>
      <c r="B146" s="3" t="s">
        <v>18</v>
      </c>
      <c r="C146" s="3">
        <v>3711</v>
      </c>
      <c r="D146" s="3">
        <v>291</v>
      </c>
      <c r="E146" s="3">
        <v>900862</v>
      </c>
      <c r="F146" s="4">
        <v>14.24879726306582</v>
      </c>
      <c r="G146" s="3">
        <v>55603</v>
      </c>
      <c r="H146" s="3" t="str">
        <f>'Task 3.1'!N169</f>
        <v>Health &amp; Fitness Awareness</v>
      </c>
    </row>
    <row r="147" spans="1:8" x14ac:dyDescent="0.3">
      <c r="A147" s="2">
        <v>45698</v>
      </c>
      <c r="B147" s="3" t="s">
        <v>18</v>
      </c>
      <c r="C147" s="3">
        <v>2668</v>
      </c>
      <c r="D147" s="3">
        <v>143</v>
      </c>
      <c r="E147" s="3">
        <v>903387</v>
      </c>
      <c r="F147" s="4">
        <v>15.903372530266649</v>
      </c>
      <c r="G147" s="3">
        <v>33252</v>
      </c>
      <c r="H147" s="3" t="str">
        <f>'Task 3.1'!N170</f>
        <v>Health &amp; Fitness Awareness</v>
      </c>
    </row>
    <row r="148" spans="1:8" x14ac:dyDescent="0.3">
      <c r="A148" s="2">
        <v>45698</v>
      </c>
      <c r="B148" s="3" t="s">
        <v>40</v>
      </c>
      <c r="C148" s="3">
        <v>1147</v>
      </c>
      <c r="D148" s="3">
        <v>127</v>
      </c>
      <c r="E148" s="3">
        <v>904407</v>
      </c>
      <c r="F148" s="4">
        <v>1.3997016829812241</v>
      </c>
      <c r="G148" s="3">
        <v>25261</v>
      </c>
      <c r="H148" s="3" t="str">
        <f>'Task 3.1'!N171</f>
        <v>Sustainability Branding</v>
      </c>
    </row>
    <row r="149" spans="1:8" x14ac:dyDescent="0.3">
      <c r="A149" s="2">
        <v>45698</v>
      </c>
      <c r="B149" s="3" t="s">
        <v>18</v>
      </c>
      <c r="C149" s="3">
        <v>7420</v>
      </c>
      <c r="D149" s="3">
        <v>743</v>
      </c>
      <c r="E149" s="3">
        <v>911084</v>
      </c>
      <c r="F149" s="4">
        <v>10.593534734448189</v>
      </c>
      <c r="G149" s="3">
        <v>11431</v>
      </c>
      <c r="H149" s="3" t="str">
        <f>'Task 3.1'!N172</f>
        <v>Sustainability Branding</v>
      </c>
    </row>
    <row r="150" spans="1:8" x14ac:dyDescent="0.3">
      <c r="A150" s="2">
        <v>45705</v>
      </c>
      <c r="B150" s="3" t="s">
        <v>40</v>
      </c>
      <c r="C150" s="3">
        <v>1365</v>
      </c>
      <c r="D150" s="3">
        <v>75</v>
      </c>
      <c r="E150" s="3">
        <v>912374</v>
      </c>
      <c r="F150" s="4">
        <v>9.2688963078737441</v>
      </c>
      <c r="G150" s="3">
        <v>19067</v>
      </c>
      <c r="H150" s="3" t="str">
        <f>'Task 3.1'!N173</f>
        <v>Health &amp; Fitness Awareness</v>
      </c>
    </row>
    <row r="151" spans="1:8" x14ac:dyDescent="0.3">
      <c r="A151" s="2">
        <v>45705</v>
      </c>
      <c r="B151" s="3" t="s">
        <v>18</v>
      </c>
      <c r="C151" s="3">
        <v>5531</v>
      </c>
      <c r="D151" s="3">
        <v>430</v>
      </c>
      <c r="E151" s="3">
        <v>917475</v>
      </c>
      <c r="F151" s="4">
        <v>2.7289026948963189</v>
      </c>
      <c r="G151" s="3">
        <v>47481</v>
      </c>
      <c r="H151" s="3" t="str">
        <f>'Task 3.1'!N174</f>
        <v>Health &amp; Fitness Awareness</v>
      </c>
    </row>
    <row r="152" spans="1:8" x14ac:dyDescent="0.3">
      <c r="A152" s="2">
        <v>45705</v>
      </c>
      <c r="B152" s="3" t="s">
        <v>22</v>
      </c>
      <c r="C152" s="3">
        <v>6330</v>
      </c>
      <c r="D152" s="3">
        <v>891</v>
      </c>
      <c r="E152" s="3">
        <v>922914</v>
      </c>
      <c r="F152" s="4">
        <v>14.789893749580139</v>
      </c>
      <c r="G152" s="3">
        <v>37037</v>
      </c>
      <c r="H152" s="3" t="str">
        <f>'Task 3.1'!N175</f>
        <v>Product Promotion</v>
      </c>
    </row>
    <row r="153" spans="1:8" x14ac:dyDescent="0.3">
      <c r="A153" s="2">
        <v>45705</v>
      </c>
      <c r="B153" s="3" t="s">
        <v>22</v>
      </c>
      <c r="C153" s="3">
        <v>6510</v>
      </c>
      <c r="D153" s="3">
        <v>481</v>
      </c>
      <c r="E153" s="3">
        <v>928943</v>
      </c>
      <c r="F153" s="4">
        <v>2.3800168578696428</v>
      </c>
      <c r="G153" s="3">
        <v>19557</v>
      </c>
      <c r="H153" s="3" t="str">
        <f>'Task 3.1'!N176</f>
        <v>Product Promotion</v>
      </c>
    </row>
    <row r="154" spans="1:8" x14ac:dyDescent="0.3">
      <c r="A154" s="2">
        <v>45712</v>
      </c>
      <c r="B154" s="3" t="s">
        <v>22</v>
      </c>
      <c r="C154" s="3">
        <v>9754</v>
      </c>
      <c r="D154" s="3">
        <v>629</v>
      </c>
      <c r="E154" s="3">
        <v>938068</v>
      </c>
      <c r="F154" s="4">
        <v>3.4123325814333292</v>
      </c>
      <c r="G154" s="3">
        <v>19435</v>
      </c>
      <c r="H154" s="3" t="str">
        <f>'Task 3.1'!N177</f>
        <v>Product Promotion</v>
      </c>
    </row>
    <row r="155" spans="1:8" x14ac:dyDescent="0.3">
      <c r="A155" s="2">
        <v>45712</v>
      </c>
      <c r="B155" s="3" t="s">
        <v>13</v>
      </c>
      <c r="C155" s="3">
        <v>9964</v>
      </c>
      <c r="D155" s="3">
        <v>985</v>
      </c>
      <c r="E155" s="3">
        <v>947047</v>
      </c>
      <c r="F155" s="4">
        <v>1.9837452629066989</v>
      </c>
      <c r="G155" s="3">
        <v>47766</v>
      </c>
      <c r="H155" s="3" t="str">
        <f>'Task 3.1'!N178</f>
        <v>Product Promotion</v>
      </c>
    </row>
    <row r="156" spans="1:8" x14ac:dyDescent="0.3">
      <c r="A156" s="2">
        <v>45712</v>
      </c>
      <c r="B156" s="3" t="s">
        <v>13</v>
      </c>
      <c r="C156" s="3">
        <v>7493</v>
      </c>
      <c r="D156" s="3">
        <v>1113</v>
      </c>
      <c r="E156" s="3">
        <v>953427</v>
      </c>
      <c r="F156" s="4">
        <v>15.684892498324469</v>
      </c>
      <c r="G156" s="3">
        <v>10162</v>
      </c>
      <c r="H156" s="3" t="str">
        <f>'Task 3.1'!N179</f>
        <v>Product Launch</v>
      </c>
    </row>
    <row r="157" spans="1:8" x14ac:dyDescent="0.3">
      <c r="A157" s="2">
        <v>45712</v>
      </c>
      <c r="B157" s="3" t="s">
        <v>22</v>
      </c>
      <c r="C157" s="3">
        <v>6439</v>
      </c>
      <c r="D157" s="3">
        <v>477</v>
      </c>
      <c r="E157" s="3">
        <v>959389</v>
      </c>
      <c r="F157" s="4">
        <v>7.4744446725989153</v>
      </c>
      <c r="G157" s="3">
        <v>44742</v>
      </c>
      <c r="H157" s="3" t="str">
        <f>'Task 3.1'!N180</f>
        <v>Product Launch</v>
      </c>
    </row>
    <row r="158" spans="1:8" x14ac:dyDescent="0.3">
      <c r="A158" s="2">
        <v>45719</v>
      </c>
      <c r="B158" s="3" t="s">
        <v>13</v>
      </c>
      <c r="C158" s="3">
        <v>7511</v>
      </c>
      <c r="D158" s="3">
        <v>880</v>
      </c>
      <c r="E158" s="3">
        <v>966020</v>
      </c>
      <c r="F158" s="4">
        <v>4.6083932009689246</v>
      </c>
      <c r="G158" s="3">
        <v>29675</v>
      </c>
      <c r="H158" s="3" t="str">
        <f>'Task 3.1'!N181</f>
        <v>Brand Engagement</v>
      </c>
    </row>
    <row r="159" spans="1:8" x14ac:dyDescent="0.3">
      <c r="A159" s="2">
        <v>45719</v>
      </c>
      <c r="B159" s="3" t="s">
        <v>18</v>
      </c>
      <c r="C159" s="3">
        <v>8504</v>
      </c>
      <c r="D159" s="3">
        <v>1072</v>
      </c>
      <c r="E159" s="3">
        <v>973452</v>
      </c>
      <c r="F159" s="4">
        <v>6.5651927367759271</v>
      </c>
      <c r="G159" s="3">
        <v>18461</v>
      </c>
      <c r="H159" s="3" t="str">
        <f>'Task 3.1'!N182</f>
        <v>Product Launch</v>
      </c>
    </row>
    <row r="160" spans="1:8" x14ac:dyDescent="0.3">
      <c r="A160" s="2">
        <v>45719</v>
      </c>
      <c r="B160" s="3" t="s">
        <v>40</v>
      </c>
      <c r="C160" s="3">
        <v>2246</v>
      </c>
      <c r="D160" s="3">
        <v>165</v>
      </c>
      <c r="E160" s="3">
        <v>975533</v>
      </c>
      <c r="F160" s="4">
        <v>2.9062061457685191</v>
      </c>
      <c r="G160" s="3">
        <v>27015</v>
      </c>
      <c r="H160" s="3" t="str">
        <f>'Task 3.1'!N183</f>
        <v>Product Launch</v>
      </c>
    </row>
    <row r="161" spans="1:8" x14ac:dyDescent="0.3">
      <c r="A161" s="2">
        <v>45719</v>
      </c>
      <c r="B161" s="3" t="s">
        <v>40</v>
      </c>
      <c r="C161" s="3">
        <v>4839</v>
      </c>
      <c r="D161" s="3">
        <v>594</v>
      </c>
      <c r="E161" s="3">
        <v>979778</v>
      </c>
      <c r="F161" s="4">
        <v>2.5803804535313102</v>
      </c>
      <c r="G161" s="3">
        <v>42591</v>
      </c>
      <c r="H161" s="3" t="str">
        <f>'Task 3.1'!N184</f>
        <v>Health &amp; Fitness Awareness</v>
      </c>
    </row>
    <row r="162" spans="1:8" x14ac:dyDescent="0.3">
      <c r="A162" s="2">
        <v>45726</v>
      </c>
      <c r="B162" s="3" t="s">
        <v>40</v>
      </c>
      <c r="C162" s="3">
        <v>9551</v>
      </c>
      <c r="D162" s="3">
        <v>828</v>
      </c>
      <c r="E162" s="3">
        <v>988501</v>
      </c>
      <c r="F162" s="4">
        <v>1.525036393488727</v>
      </c>
      <c r="G162" s="3">
        <v>38047</v>
      </c>
      <c r="H162" s="3" t="str">
        <f>'Task 3.1'!N185</f>
        <v>Health &amp; Fitness Awareness</v>
      </c>
    </row>
    <row r="163" spans="1:8" x14ac:dyDescent="0.3">
      <c r="A163" s="2">
        <v>45726</v>
      </c>
      <c r="B163" s="3" t="s">
        <v>22</v>
      </c>
      <c r="C163" s="3">
        <v>3376</v>
      </c>
      <c r="D163" s="3">
        <v>382</v>
      </c>
      <c r="E163" s="3">
        <v>991495</v>
      </c>
      <c r="F163" s="4">
        <v>3.8694093263203548</v>
      </c>
      <c r="G163" s="3">
        <v>44782</v>
      </c>
      <c r="H163" s="3" t="str">
        <f>'Task 3.1'!N186</f>
        <v>Product Launch</v>
      </c>
    </row>
    <row r="164" spans="1:8" x14ac:dyDescent="0.3">
      <c r="A164" s="2">
        <v>45726</v>
      </c>
      <c r="B164" s="3" t="s">
        <v>13</v>
      </c>
      <c r="C164" s="3">
        <v>4009</v>
      </c>
      <c r="D164" s="3">
        <v>454</v>
      </c>
      <c r="E164" s="3">
        <v>995050</v>
      </c>
      <c r="F164" s="4">
        <v>2.1106477061454201</v>
      </c>
      <c r="G164" s="3">
        <v>19833</v>
      </c>
      <c r="H164" s="3" t="str">
        <f>'Task 3.1'!N187</f>
        <v>Product Launch</v>
      </c>
    </row>
    <row r="165" spans="1:8" x14ac:dyDescent="0.3">
      <c r="A165" s="2">
        <v>45726</v>
      </c>
      <c r="B165" s="3" t="s">
        <v>18</v>
      </c>
      <c r="C165" s="3">
        <v>2827</v>
      </c>
      <c r="D165" s="3">
        <v>292</v>
      </c>
      <c r="E165" s="3">
        <v>997585</v>
      </c>
      <c r="F165" s="4">
        <v>2.4004972007397871</v>
      </c>
      <c r="G165" s="3">
        <v>17896</v>
      </c>
      <c r="H165" s="3" t="str">
        <f>'Task 3.1'!N188</f>
        <v>Product Launch</v>
      </c>
    </row>
    <row r="166" spans="1:8" x14ac:dyDescent="0.3">
      <c r="A166" s="2">
        <v>45733</v>
      </c>
      <c r="B166" s="3" t="s">
        <v>18</v>
      </c>
      <c r="C166" s="3">
        <v>7979</v>
      </c>
      <c r="D166" s="3">
        <v>470</v>
      </c>
      <c r="E166" s="3">
        <v>1005094</v>
      </c>
      <c r="F166" s="4">
        <v>10.43086517280971</v>
      </c>
      <c r="G166" s="3">
        <v>42972</v>
      </c>
      <c r="H166" s="3" t="str">
        <f>'Task 3.1'!N189</f>
        <v>Product Launch</v>
      </c>
    </row>
    <row r="167" spans="1:8" x14ac:dyDescent="0.3">
      <c r="A167" s="2">
        <v>45733</v>
      </c>
      <c r="B167" s="3" t="s">
        <v>22</v>
      </c>
      <c r="C167" s="3">
        <v>9569</v>
      </c>
      <c r="D167" s="3">
        <v>1277</v>
      </c>
      <c r="E167" s="3">
        <v>1013386</v>
      </c>
      <c r="F167" s="4">
        <v>12.45517502708741</v>
      </c>
      <c r="G167" s="3">
        <v>59733</v>
      </c>
      <c r="H167" s="3" t="str">
        <f>'Task 3.1'!N190</f>
        <v>Product Launch</v>
      </c>
    </row>
    <row r="168" spans="1:8" x14ac:dyDescent="0.3">
      <c r="A168" s="2">
        <v>45733</v>
      </c>
      <c r="B168" s="3" t="s">
        <v>18</v>
      </c>
      <c r="C168" s="3">
        <v>5285</v>
      </c>
      <c r="D168" s="3">
        <v>433</v>
      </c>
      <c r="E168" s="3">
        <v>1018238</v>
      </c>
      <c r="F168" s="4">
        <v>8.7022876773406619</v>
      </c>
      <c r="G168" s="3">
        <v>51800</v>
      </c>
      <c r="H168" s="3" t="str">
        <f>'Task 3.1'!N191</f>
        <v>Product Launch</v>
      </c>
    </row>
    <row r="169" spans="1:8" x14ac:dyDescent="0.3">
      <c r="A169" s="2">
        <v>45733</v>
      </c>
      <c r="B169" s="3" t="s">
        <v>18</v>
      </c>
      <c r="C169" s="3">
        <v>7910</v>
      </c>
      <c r="D169" s="3">
        <v>543</v>
      </c>
      <c r="E169" s="3">
        <v>1025605</v>
      </c>
      <c r="F169" s="4">
        <v>6.0590578244060822</v>
      </c>
      <c r="G169" s="3">
        <v>40508</v>
      </c>
      <c r="H169" s="3" t="str">
        <f>'Task 3.1'!N192</f>
        <v>Sustainability Branding</v>
      </c>
    </row>
    <row r="170" spans="1:8" x14ac:dyDescent="0.3">
      <c r="A170" s="2">
        <v>45740</v>
      </c>
      <c r="B170" s="3" t="s">
        <v>18</v>
      </c>
      <c r="C170" s="3">
        <v>9561</v>
      </c>
      <c r="D170" s="3">
        <v>517</v>
      </c>
      <c r="E170" s="3">
        <v>1034649</v>
      </c>
      <c r="F170" s="4">
        <v>6.4086467971263694</v>
      </c>
      <c r="G170" s="3">
        <v>15347</v>
      </c>
      <c r="H170" s="3" t="str">
        <f>'Task 3.1'!N193</f>
        <v>Sustainability Branding</v>
      </c>
    </row>
    <row r="171" spans="1:8" x14ac:dyDescent="0.3">
      <c r="A171" s="2">
        <v>45740</v>
      </c>
      <c r="B171" s="3" t="s">
        <v>18</v>
      </c>
      <c r="C171" s="3">
        <v>3196</v>
      </c>
      <c r="D171" s="3">
        <v>348</v>
      </c>
      <c r="E171" s="3">
        <v>1037497</v>
      </c>
      <c r="F171" s="4">
        <v>14.03040201562029</v>
      </c>
      <c r="G171" s="3">
        <v>40314</v>
      </c>
      <c r="H171" s="3" t="str">
        <f>'Task 3.1'!N194</f>
        <v>Sustainability Branding</v>
      </c>
    </row>
    <row r="172" spans="1:8" x14ac:dyDescent="0.3">
      <c r="A172" s="2">
        <v>45740</v>
      </c>
      <c r="B172" s="3" t="s">
        <v>13</v>
      </c>
      <c r="C172" s="3">
        <v>4747</v>
      </c>
      <c r="D172" s="3">
        <v>558</v>
      </c>
      <c r="E172" s="3">
        <v>1041686</v>
      </c>
      <c r="F172" s="4">
        <v>5.7680529449373434</v>
      </c>
      <c r="G172" s="3">
        <v>12643</v>
      </c>
      <c r="H172" s="3" t="str">
        <f>'Task 3.1'!N195</f>
        <v>Sustainability Branding</v>
      </c>
    </row>
    <row r="173" spans="1:8" x14ac:dyDescent="0.3">
      <c r="A173" s="2">
        <v>45740</v>
      </c>
      <c r="B173" s="3" t="s">
        <v>18</v>
      </c>
      <c r="C173" s="3">
        <v>9843</v>
      </c>
      <c r="D173" s="3">
        <v>508</v>
      </c>
      <c r="E173" s="3">
        <v>1051021</v>
      </c>
      <c r="F173" s="4">
        <v>4.2080986012648651</v>
      </c>
      <c r="G173" s="3">
        <v>50785</v>
      </c>
      <c r="H173" s="3" t="str">
        <f>'Task 3.1'!N196</f>
        <v>Brand Engagement</v>
      </c>
    </row>
    <row r="174" spans="1:8" x14ac:dyDescent="0.3">
      <c r="A174" s="2">
        <v>45747</v>
      </c>
      <c r="B174" s="3" t="s">
        <v>40</v>
      </c>
      <c r="C174" s="3">
        <v>6978</v>
      </c>
      <c r="D174" s="3">
        <v>706</v>
      </c>
      <c r="E174" s="3">
        <v>1057293</v>
      </c>
      <c r="F174" s="4">
        <v>5.057443868445171</v>
      </c>
      <c r="G174" s="3">
        <v>28681</v>
      </c>
      <c r="H174" s="3" t="str">
        <f>'Task 3.1'!N197</f>
        <v>Brand Engagement</v>
      </c>
    </row>
    <row r="175" spans="1:8" x14ac:dyDescent="0.3">
      <c r="A175" s="2">
        <v>45747</v>
      </c>
      <c r="B175" s="3" t="s">
        <v>22</v>
      </c>
      <c r="C175" s="3">
        <v>6607</v>
      </c>
      <c r="D175" s="3">
        <v>479</v>
      </c>
      <c r="E175" s="3">
        <v>1063421</v>
      </c>
      <c r="F175" s="4">
        <v>5.5892257158735816</v>
      </c>
      <c r="G175" s="3">
        <v>48328</v>
      </c>
      <c r="H175" s="3" t="str">
        <f>'Task 3.1'!N198</f>
        <v>Product Launch</v>
      </c>
    </row>
    <row r="176" spans="1:8" x14ac:dyDescent="0.3">
      <c r="A176" s="2">
        <v>45747</v>
      </c>
      <c r="B176" s="3" t="s">
        <v>13</v>
      </c>
      <c r="C176" s="3">
        <v>1769</v>
      </c>
      <c r="D176" s="3">
        <v>202</v>
      </c>
      <c r="E176" s="3">
        <v>1064988</v>
      </c>
      <c r="F176" s="4">
        <v>6.5457075572682513</v>
      </c>
      <c r="G176" s="3">
        <v>25892</v>
      </c>
      <c r="H176" s="3" t="str">
        <f>'Task 3.1'!N199</f>
        <v>Product Launch</v>
      </c>
    </row>
    <row r="177" spans="1:8" x14ac:dyDescent="0.3">
      <c r="A177" s="2">
        <v>45747</v>
      </c>
      <c r="B177" s="3" t="s">
        <v>18</v>
      </c>
      <c r="C177" s="3">
        <v>1780</v>
      </c>
      <c r="D177" s="3">
        <v>120</v>
      </c>
      <c r="E177" s="3">
        <v>1066648</v>
      </c>
      <c r="F177" s="4">
        <v>13.86474263299608</v>
      </c>
      <c r="G177" s="3">
        <v>57299</v>
      </c>
      <c r="H177" s="3" t="str">
        <f>'Task 3.1'!N200</f>
        <v>Health &amp; Fitness Awareness</v>
      </c>
    </row>
    <row r="178" spans="1:8" x14ac:dyDescent="0.3">
      <c r="A178" s="2">
        <v>45754</v>
      </c>
      <c r="B178" s="3" t="s">
        <v>13</v>
      </c>
      <c r="C178" s="3">
        <v>7303</v>
      </c>
      <c r="D178" s="3">
        <v>869</v>
      </c>
      <c r="E178" s="3">
        <v>1073082</v>
      </c>
      <c r="F178" s="4">
        <v>8.1237966902808925</v>
      </c>
      <c r="G178" s="3">
        <v>27073</v>
      </c>
      <c r="H178" s="3" t="str">
        <f>'Task 3.1'!N201</f>
        <v>Health &amp; Fitness Awareness</v>
      </c>
    </row>
    <row r="179" spans="1:8" x14ac:dyDescent="0.3">
      <c r="A179" s="2">
        <v>45754</v>
      </c>
      <c r="B179" s="3" t="s">
        <v>18</v>
      </c>
      <c r="C179" s="3">
        <v>4983</v>
      </c>
      <c r="D179" s="3">
        <v>441</v>
      </c>
      <c r="E179" s="3">
        <v>1077624</v>
      </c>
      <c r="F179" s="4">
        <v>6.8954477628560609</v>
      </c>
      <c r="G179" s="3">
        <v>46768</v>
      </c>
      <c r="H179" s="3" t="str">
        <f>'Task 3.1'!N202</f>
        <v>Product Launch</v>
      </c>
    </row>
    <row r="180" spans="1:8" x14ac:dyDescent="0.3">
      <c r="A180" s="2">
        <v>45754</v>
      </c>
      <c r="B180" s="3" t="s">
        <v>40</v>
      </c>
      <c r="C180" s="3">
        <v>9714</v>
      </c>
      <c r="D180" s="3">
        <v>1395</v>
      </c>
      <c r="E180" s="3">
        <v>1085943</v>
      </c>
      <c r="F180" s="4">
        <v>5.2243073531483697</v>
      </c>
      <c r="G180" s="3">
        <v>40682</v>
      </c>
      <c r="H180" s="3" t="str">
        <f>'Task 3.1'!N203</f>
        <v>Product Launch</v>
      </c>
    </row>
    <row r="181" spans="1:8" x14ac:dyDescent="0.3">
      <c r="A181" s="2">
        <v>45754</v>
      </c>
      <c r="B181" s="3" t="s">
        <v>22</v>
      </c>
      <c r="C181" s="3">
        <v>1521</v>
      </c>
      <c r="D181" s="3">
        <v>96</v>
      </c>
      <c r="E181" s="3">
        <v>1087368</v>
      </c>
      <c r="F181" s="4">
        <v>12.709772588488899</v>
      </c>
      <c r="G181" s="3">
        <v>42262</v>
      </c>
      <c r="H181" s="3" t="str">
        <f>'Task 3.1'!N204</f>
        <v>Sustainability Branding</v>
      </c>
    </row>
    <row r="182" spans="1:8" x14ac:dyDescent="0.3">
      <c r="A182" s="2">
        <v>45761</v>
      </c>
      <c r="B182" s="3" t="s">
        <v>18</v>
      </c>
      <c r="C182" s="3">
        <v>8569</v>
      </c>
      <c r="D182" s="3">
        <v>720</v>
      </c>
      <c r="E182" s="3">
        <v>1095217</v>
      </c>
      <c r="F182" s="4">
        <v>9.589697749395782</v>
      </c>
      <c r="G182" s="3">
        <v>41358</v>
      </c>
      <c r="H182" s="3" t="str">
        <f>'Task 3.1'!N205</f>
        <v>Product Promotion</v>
      </c>
    </row>
    <row r="183" spans="1:8" x14ac:dyDescent="0.3">
      <c r="A183" s="2">
        <v>45761</v>
      </c>
      <c r="B183" s="3" t="s">
        <v>18</v>
      </c>
      <c r="C183" s="3">
        <v>6784</v>
      </c>
      <c r="D183" s="3">
        <v>416</v>
      </c>
      <c r="E183" s="3">
        <v>1101585</v>
      </c>
      <c r="F183" s="4">
        <v>9.3041390360253633</v>
      </c>
      <c r="G183" s="3">
        <v>24289</v>
      </c>
      <c r="H183" s="3" t="str">
        <f>'Task 3.1'!N206</f>
        <v>Product Promotion</v>
      </c>
    </row>
    <row r="184" spans="1:8" x14ac:dyDescent="0.3">
      <c r="A184" s="2">
        <v>45761</v>
      </c>
      <c r="B184" s="3" t="s">
        <v>18</v>
      </c>
      <c r="C184" s="3">
        <v>5583</v>
      </c>
      <c r="D184" s="3">
        <v>795</v>
      </c>
      <c r="E184" s="3">
        <v>1106373</v>
      </c>
      <c r="F184" s="4">
        <v>12.21550055903389</v>
      </c>
      <c r="G184" s="3">
        <v>59823</v>
      </c>
      <c r="H184" s="3" t="str">
        <f>'Task 3.1'!N207</f>
        <v>Sustainability Branding</v>
      </c>
    </row>
    <row r="185" spans="1:8" x14ac:dyDescent="0.3">
      <c r="A185" s="2">
        <v>45761</v>
      </c>
      <c r="B185" s="3" t="s">
        <v>18</v>
      </c>
      <c r="C185" s="3">
        <v>6946</v>
      </c>
      <c r="D185" s="3">
        <v>956</v>
      </c>
      <c r="E185" s="3">
        <v>1112363</v>
      </c>
      <c r="F185" s="4">
        <v>1.64146056637986</v>
      </c>
      <c r="G185" s="3">
        <v>17927</v>
      </c>
      <c r="H185" s="3" t="str">
        <f>'Task 3.1'!N208</f>
        <v>Sustainability Branding</v>
      </c>
    </row>
    <row r="186" spans="1:8" x14ac:dyDescent="0.3">
      <c r="A186" s="2">
        <v>45768</v>
      </c>
      <c r="B186" s="3" t="s">
        <v>22</v>
      </c>
      <c r="C186" s="3">
        <v>5941</v>
      </c>
      <c r="D186" s="3">
        <v>450</v>
      </c>
      <c r="E186" s="3">
        <v>1117854</v>
      </c>
      <c r="F186" s="4">
        <v>12.414411899944</v>
      </c>
      <c r="G186" s="3">
        <v>58330</v>
      </c>
      <c r="H186" s="3" t="str">
        <f>'Task 3.1'!N209</f>
        <v>Health &amp; Fitness Awareness</v>
      </c>
    </row>
    <row r="187" spans="1:8" x14ac:dyDescent="0.3">
      <c r="A187" s="2">
        <v>45768</v>
      </c>
      <c r="B187" s="3" t="s">
        <v>22</v>
      </c>
      <c r="C187" s="3">
        <v>7267</v>
      </c>
      <c r="D187" s="3">
        <v>842</v>
      </c>
      <c r="E187" s="3">
        <v>1124279</v>
      </c>
      <c r="F187" s="4">
        <v>2.2102165031989389</v>
      </c>
      <c r="G187" s="3">
        <v>11171</v>
      </c>
      <c r="H187" s="3" t="str">
        <f>'Task 3.1'!N210</f>
        <v>Health &amp; Fitness Awareness</v>
      </c>
    </row>
    <row r="188" spans="1:8" x14ac:dyDescent="0.3">
      <c r="A188" s="2">
        <v>45768</v>
      </c>
      <c r="B188" s="3" t="s">
        <v>40</v>
      </c>
      <c r="C188" s="3">
        <v>8128</v>
      </c>
      <c r="D188" s="3">
        <v>1070</v>
      </c>
      <c r="E188" s="3">
        <v>1131337</v>
      </c>
      <c r="F188" s="4">
        <v>8.1114645768679008</v>
      </c>
      <c r="G188" s="3">
        <v>21918</v>
      </c>
      <c r="H188" s="3" t="str">
        <f>'Task 3.1'!N211</f>
        <v>Brand Engagement</v>
      </c>
    </row>
    <row r="189" spans="1:8" x14ac:dyDescent="0.3">
      <c r="A189" s="2">
        <v>45768</v>
      </c>
      <c r="B189" s="3" t="s">
        <v>22</v>
      </c>
      <c r="C189" s="3">
        <v>3461</v>
      </c>
      <c r="D189" s="3">
        <v>365</v>
      </c>
      <c r="E189" s="3">
        <v>1134433</v>
      </c>
      <c r="F189" s="4">
        <v>10.23489267325616</v>
      </c>
      <c r="G189" s="3">
        <v>51903</v>
      </c>
      <c r="H189" s="3" t="str">
        <f>'Task 3.1'!N212</f>
        <v>Brand Engagement</v>
      </c>
    </row>
    <row r="190" spans="1:8" x14ac:dyDescent="0.3">
      <c r="A190" s="2">
        <v>45775</v>
      </c>
      <c r="B190" s="3" t="s">
        <v>18</v>
      </c>
      <c r="C190" s="3">
        <v>1685</v>
      </c>
      <c r="D190" s="3">
        <v>173</v>
      </c>
      <c r="E190" s="3">
        <v>1135945</v>
      </c>
      <c r="F190" s="4">
        <v>8.7776256772995165</v>
      </c>
      <c r="G190" s="3">
        <v>49110</v>
      </c>
      <c r="H190" s="3" t="str">
        <f>'Task 3.1'!N213</f>
        <v>Product Launch</v>
      </c>
    </row>
    <row r="191" spans="1:8" x14ac:dyDescent="0.3">
      <c r="A191" s="2">
        <v>45775</v>
      </c>
      <c r="B191" s="3" t="s">
        <v>40</v>
      </c>
      <c r="C191" s="3">
        <v>3160</v>
      </c>
      <c r="D191" s="3">
        <v>234</v>
      </c>
      <c r="E191" s="3">
        <v>1138871</v>
      </c>
      <c r="F191" s="4">
        <v>5.6959041015180816</v>
      </c>
      <c r="G191" s="3">
        <v>21929</v>
      </c>
      <c r="H191" s="3" t="str">
        <f>'Task 3.1'!N214</f>
        <v>Product Launch</v>
      </c>
    </row>
    <row r="192" spans="1:8" x14ac:dyDescent="0.3">
      <c r="A192" s="2">
        <v>45775</v>
      </c>
      <c r="B192" s="3" t="s">
        <v>40</v>
      </c>
      <c r="C192" s="3">
        <v>8031</v>
      </c>
      <c r="D192" s="3">
        <v>476</v>
      </c>
      <c r="E192" s="3">
        <v>1146426</v>
      </c>
      <c r="F192" s="4">
        <v>11.940413075069831</v>
      </c>
      <c r="G192" s="3">
        <v>12539</v>
      </c>
      <c r="H192" s="3" t="str">
        <f>'Task 3.1'!N215</f>
        <v>Health &amp; Fitness Awareness</v>
      </c>
    </row>
    <row r="193" spans="1:8" x14ac:dyDescent="0.3">
      <c r="A193" s="2">
        <v>45775</v>
      </c>
      <c r="B193" s="3" t="s">
        <v>40</v>
      </c>
      <c r="C193" s="3">
        <v>6341</v>
      </c>
      <c r="D193" s="3">
        <v>885</v>
      </c>
      <c r="E193" s="3">
        <v>1151882</v>
      </c>
      <c r="F193" s="4">
        <v>6.3457020771224837</v>
      </c>
      <c r="G193" s="3">
        <v>46727</v>
      </c>
      <c r="H193" s="3" t="str">
        <f>'Task 3.1'!N216</f>
        <v>Health &amp; Fitness Awareness</v>
      </c>
    </row>
    <row r="194" spans="1:8" x14ac:dyDescent="0.3">
      <c r="A194" s="2">
        <v>45782</v>
      </c>
      <c r="B194" s="3" t="s">
        <v>18</v>
      </c>
      <c r="C194" s="3">
        <v>1038</v>
      </c>
      <c r="D194" s="3">
        <v>145</v>
      </c>
      <c r="E194" s="3">
        <v>1152775</v>
      </c>
      <c r="F194" s="4">
        <v>11.093752033137431</v>
      </c>
      <c r="G194" s="3">
        <v>55951</v>
      </c>
      <c r="H194" s="3" t="str">
        <f>'Task 3.1'!N217</f>
        <v>Sustainability Branding</v>
      </c>
    </row>
    <row r="195" spans="1:8" x14ac:dyDescent="0.3">
      <c r="A195" s="2">
        <v>45782</v>
      </c>
      <c r="B195" s="3" t="s">
        <v>13</v>
      </c>
      <c r="C195" s="3">
        <v>5875</v>
      </c>
      <c r="D195" s="3">
        <v>665</v>
      </c>
      <c r="E195" s="3">
        <v>1157985</v>
      </c>
      <c r="F195" s="4">
        <v>6.9871371390821126</v>
      </c>
      <c r="G195" s="3">
        <v>32669</v>
      </c>
      <c r="H195" s="3" t="str">
        <f>'Task 3.1'!N218</f>
        <v>Sustainability Branding</v>
      </c>
    </row>
    <row r="196" spans="1:8" x14ac:dyDescent="0.3">
      <c r="A196" s="2">
        <v>45782</v>
      </c>
      <c r="B196" s="3" t="s">
        <v>18</v>
      </c>
      <c r="C196" s="3">
        <v>2256</v>
      </c>
      <c r="D196" s="3">
        <v>189</v>
      </c>
      <c r="E196" s="3">
        <v>1160052</v>
      </c>
      <c r="F196" s="4">
        <v>2.8935771844710412</v>
      </c>
      <c r="G196" s="3">
        <v>15432</v>
      </c>
      <c r="H196" s="3" t="str">
        <f>'Task 3.1'!N219</f>
        <v>Sustainability Branding</v>
      </c>
    </row>
    <row r="197" spans="1:8" x14ac:dyDescent="0.3">
      <c r="A197" s="2">
        <v>45782</v>
      </c>
      <c r="B197" s="3" t="s">
        <v>22</v>
      </c>
      <c r="C197" s="3">
        <v>8697</v>
      </c>
      <c r="D197" s="3">
        <v>738</v>
      </c>
      <c r="E197" s="3">
        <v>1168011</v>
      </c>
      <c r="F197" s="4">
        <v>3.8777032065622672</v>
      </c>
      <c r="G197" s="3">
        <v>30644</v>
      </c>
      <c r="H197" s="3" t="str">
        <f>'Task 3.1'!N220</f>
        <v>Sustainability Branding</v>
      </c>
    </row>
    <row r="198" spans="1:8" x14ac:dyDescent="0.3">
      <c r="A198" s="2">
        <v>45789</v>
      </c>
      <c r="B198" s="3" t="s">
        <v>22</v>
      </c>
      <c r="C198" s="3">
        <v>3196</v>
      </c>
      <c r="D198" s="3">
        <v>391</v>
      </c>
      <c r="E198" s="3">
        <v>1170816</v>
      </c>
      <c r="F198" s="4">
        <v>7.2439221876024931</v>
      </c>
      <c r="G198" s="3">
        <v>28745</v>
      </c>
      <c r="H198" s="3" t="str">
        <f>'Task 3.1'!N221</f>
        <v>Health &amp; Fitness Awareness</v>
      </c>
    </row>
    <row r="199" spans="1:8" x14ac:dyDescent="0.3">
      <c r="A199" s="2">
        <v>45789</v>
      </c>
      <c r="B199" s="3" t="s">
        <v>18</v>
      </c>
      <c r="C199" s="3">
        <v>8165</v>
      </c>
      <c r="D199" s="3">
        <v>1140</v>
      </c>
      <c r="E199" s="3">
        <v>1177841</v>
      </c>
      <c r="F199" s="4">
        <v>9.095964565675672</v>
      </c>
      <c r="G199" s="3">
        <v>38228</v>
      </c>
      <c r="H199" s="3" t="str">
        <f>'Task 3.1'!N222</f>
        <v>Health &amp; Fitness Awareness</v>
      </c>
    </row>
    <row r="200" spans="1:8" x14ac:dyDescent="0.3">
      <c r="A200" s="2">
        <v>45789</v>
      </c>
      <c r="B200" s="3" t="s">
        <v>18</v>
      </c>
      <c r="C200" s="3">
        <v>1301</v>
      </c>
      <c r="D200" s="3">
        <v>180</v>
      </c>
      <c r="E200" s="3">
        <v>1178962</v>
      </c>
      <c r="F200" s="4">
        <v>5.2275645864752214</v>
      </c>
      <c r="G200" s="3">
        <v>44521</v>
      </c>
      <c r="H200" s="3" t="str">
        <f>'Task 3.1'!N223</f>
        <v>Brand Engagement</v>
      </c>
    </row>
    <row r="201" spans="1:8" x14ac:dyDescent="0.3">
      <c r="A201" s="2">
        <v>45789</v>
      </c>
      <c r="B201" s="3" t="s">
        <v>40</v>
      </c>
      <c r="C201" s="3">
        <v>8527</v>
      </c>
      <c r="D201" s="3">
        <v>1091</v>
      </c>
      <c r="E201" s="3">
        <v>1186398</v>
      </c>
      <c r="F201" s="4">
        <v>1.676081719625286</v>
      </c>
      <c r="G201" s="3">
        <v>41703</v>
      </c>
      <c r="H201" s="9" t="str">
        <f>'Task 3.1'!N224</f>
        <v>Health &amp; Fitness Awareness</v>
      </c>
    </row>
  </sheetData>
  <phoneticPr fontId="4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F0728-7710-4704-BFA7-181D65DC7A6B}">
  <dimension ref="A1:G6"/>
  <sheetViews>
    <sheetView workbookViewId="0">
      <selection activeCell="D14" sqref="D14"/>
    </sheetView>
  </sheetViews>
  <sheetFormatPr defaultRowHeight="14.4" x14ac:dyDescent="0.3"/>
  <cols>
    <col min="1" max="1" width="26" bestFit="1" customWidth="1"/>
    <col min="2" max="2" width="17" bestFit="1" customWidth="1"/>
    <col min="3" max="3" width="15.6640625" bestFit="1" customWidth="1"/>
    <col min="4" max="4" width="23.6640625" bestFit="1" customWidth="1"/>
    <col min="5" max="5" width="16.109375" bestFit="1" customWidth="1"/>
    <col min="6" max="6" width="18.88671875" bestFit="1" customWidth="1"/>
    <col min="7" max="7" width="26.44140625" bestFit="1" customWidth="1"/>
  </cols>
  <sheetData>
    <row r="1" spans="1:7" ht="17.399999999999999" x14ac:dyDescent="0.45">
      <c r="A1" s="11" t="s">
        <v>343</v>
      </c>
      <c r="B1" s="12" t="s">
        <v>344</v>
      </c>
      <c r="C1" s="12" t="s">
        <v>345</v>
      </c>
      <c r="D1" s="12" t="s">
        <v>346</v>
      </c>
      <c r="E1" s="12" t="s">
        <v>342</v>
      </c>
      <c r="F1" s="12" t="s">
        <v>10</v>
      </c>
      <c r="G1" s="13" t="s">
        <v>347</v>
      </c>
    </row>
    <row r="2" spans="1:7" x14ac:dyDescent="0.3">
      <c r="A2" s="5" t="s">
        <v>29</v>
      </c>
      <c r="B2" s="2">
        <v>45458</v>
      </c>
      <c r="C2" s="2">
        <v>45488</v>
      </c>
      <c r="D2" s="3" t="s">
        <v>348</v>
      </c>
      <c r="E2" s="3">
        <v>85000</v>
      </c>
      <c r="F2" s="3">
        <v>950000</v>
      </c>
      <c r="G2" s="66">
        <v>0.45</v>
      </c>
    </row>
    <row r="3" spans="1:7" x14ac:dyDescent="0.3">
      <c r="A3" s="5" t="s">
        <v>45</v>
      </c>
      <c r="B3" s="2">
        <v>45566</v>
      </c>
      <c r="C3" s="2">
        <v>45596</v>
      </c>
      <c r="D3" s="3" t="s">
        <v>349</v>
      </c>
      <c r="E3" s="3">
        <v>60000</v>
      </c>
      <c r="F3" s="3">
        <v>780000</v>
      </c>
      <c r="G3" s="66">
        <v>0.38</v>
      </c>
    </row>
    <row r="4" spans="1:7" x14ac:dyDescent="0.3">
      <c r="A4" s="5" t="s">
        <v>16</v>
      </c>
      <c r="B4" s="2">
        <v>45651</v>
      </c>
      <c r="C4" s="2">
        <v>45667</v>
      </c>
      <c r="D4" s="3" t="s">
        <v>350</v>
      </c>
      <c r="E4" s="3">
        <v>55000</v>
      </c>
      <c r="F4" s="3">
        <v>700000</v>
      </c>
      <c r="G4" s="66">
        <v>0.41</v>
      </c>
    </row>
    <row r="5" spans="1:7" x14ac:dyDescent="0.3">
      <c r="A5" s="5" t="s">
        <v>25</v>
      </c>
      <c r="B5" s="2">
        <v>45717</v>
      </c>
      <c r="C5" s="2">
        <v>45747</v>
      </c>
      <c r="D5" s="3" t="s">
        <v>351</v>
      </c>
      <c r="E5" s="3">
        <v>40000</v>
      </c>
      <c r="F5" s="3">
        <v>550000</v>
      </c>
      <c r="G5" s="66">
        <v>0.32</v>
      </c>
    </row>
    <row r="6" spans="1:7" x14ac:dyDescent="0.3">
      <c r="A6" s="7" t="s">
        <v>20</v>
      </c>
      <c r="B6" s="8">
        <v>45901</v>
      </c>
      <c r="C6" s="8">
        <v>45930</v>
      </c>
      <c r="D6" s="9" t="s">
        <v>352</v>
      </c>
      <c r="E6" s="9">
        <v>75000</v>
      </c>
      <c r="F6" s="9">
        <v>880000</v>
      </c>
      <c r="G6" s="67">
        <v>0.47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40986-3D1E-46A6-AC64-CB22CF20B4E1}">
  <dimension ref="A1:O568"/>
  <sheetViews>
    <sheetView topLeftCell="G1" zoomScale="99" zoomScaleNormal="99" workbookViewId="0">
      <selection activeCell="O12" sqref="O12"/>
    </sheetView>
  </sheetViews>
  <sheetFormatPr defaultRowHeight="14.4" x14ac:dyDescent="0.3"/>
  <cols>
    <col min="1" max="1" width="12.6640625" bestFit="1" customWidth="1"/>
    <col min="2" max="2" width="14.77734375" bestFit="1" customWidth="1"/>
    <col min="3" max="3" width="10.5546875" bestFit="1" customWidth="1"/>
    <col min="4" max="4" width="19.5546875" bestFit="1" customWidth="1"/>
    <col min="5" max="5" width="18.109375" bestFit="1" customWidth="1"/>
    <col min="6" max="6" width="11.33203125" bestFit="1" customWidth="1"/>
    <col min="7" max="7" width="13" bestFit="1" customWidth="1"/>
    <col min="8" max="8" width="17.109375" bestFit="1" customWidth="1"/>
    <col min="9" max="9" width="12.21875" bestFit="1" customWidth="1"/>
    <col min="10" max="10" width="12.33203125" bestFit="1" customWidth="1"/>
    <col min="11" max="11" width="18.88671875" bestFit="1" customWidth="1"/>
    <col min="12" max="12" width="26" bestFit="1" customWidth="1"/>
    <col min="14" max="14" width="4" bestFit="1" customWidth="1"/>
    <col min="15" max="15" width="113.33203125" bestFit="1" customWidth="1"/>
  </cols>
  <sheetData>
    <row r="1" spans="1:15" ht="17.399999999999999" x14ac:dyDescent="0.45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3" t="s">
        <v>11</v>
      </c>
    </row>
    <row r="2" spans="1:15" x14ac:dyDescent="0.3">
      <c r="A2" s="5" t="s">
        <v>12</v>
      </c>
      <c r="B2" s="3" t="s">
        <v>13</v>
      </c>
      <c r="C2" s="2">
        <v>45649</v>
      </c>
      <c r="D2" s="3" t="s">
        <v>14</v>
      </c>
      <c r="E2" s="3" t="s">
        <v>353</v>
      </c>
      <c r="F2" s="3">
        <v>24516</v>
      </c>
      <c r="G2" s="3">
        <v>976</v>
      </c>
      <c r="H2" s="3">
        <v>974</v>
      </c>
      <c r="I2" s="3">
        <v>2675</v>
      </c>
      <c r="J2" s="3">
        <v>23275</v>
      </c>
      <c r="K2" s="3">
        <v>202932</v>
      </c>
      <c r="L2" s="6" t="s">
        <v>16</v>
      </c>
    </row>
    <row r="3" spans="1:15" x14ac:dyDescent="0.3">
      <c r="A3" s="5" t="s">
        <v>12</v>
      </c>
      <c r="B3" s="3" t="s">
        <v>13</v>
      </c>
      <c r="C3" s="2">
        <v>45649</v>
      </c>
      <c r="D3" s="3" t="s">
        <v>14</v>
      </c>
      <c r="E3" s="3" t="s">
        <v>354</v>
      </c>
      <c r="F3" s="3">
        <v>24516</v>
      </c>
      <c r="G3" s="3">
        <v>976</v>
      </c>
      <c r="H3" s="3">
        <v>974</v>
      </c>
      <c r="I3" s="3">
        <v>2675</v>
      </c>
      <c r="J3" s="3">
        <v>23275</v>
      </c>
      <c r="K3" s="3">
        <v>202932</v>
      </c>
      <c r="L3" s="6" t="s">
        <v>16</v>
      </c>
    </row>
    <row r="4" spans="1:15" x14ac:dyDescent="0.3">
      <c r="A4" s="5" t="s">
        <v>17</v>
      </c>
      <c r="B4" s="3" t="s">
        <v>18</v>
      </c>
      <c r="C4" s="2">
        <v>45903</v>
      </c>
      <c r="D4" s="3" t="s">
        <v>14</v>
      </c>
      <c r="E4" s="3" t="s">
        <v>355</v>
      </c>
      <c r="F4" s="3">
        <v>4779</v>
      </c>
      <c r="G4" s="3">
        <v>1110</v>
      </c>
      <c r="H4" s="3">
        <v>436</v>
      </c>
      <c r="I4" s="3">
        <v>1574</v>
      </c>
      <c r="J4" s="3">
        <v>77167</v>
      </c>
      <c r="K4" s="3">
        <v>71585</v>
      </c>
      <c r="L4" s="6" t="s">
        <v>20</v>
      </c>
    </row>
    <row r="5" spans="1:15" x14ac:dyDescent="0.3">
      <c r="A5" s="5" t="s">
        <v>17</v>
      </c>
      <c r="B5" s="3" t="s">
        <v>18</v>
      </c>
      <c r="C5" s="2">
        <v>45903</v>
      </c>
      <c r="D5" s="3" t="s">
        <v>14</v>
      </c>
      <c r="E5" s="3" t="s">
        <v>356</v>
      </c>
      <c r="F5" s="3">
        <v>4779</v>
      </c>
      <c r="G5" s="3">
        <v>1110</v>
      </c>
      <c r="H5" s="3">
        <v>436</v>
      </c>
      <c r="I5" s="3">
        <v>1574</v>
      </c>
      <c r="J5" s="3">
        <v>77167</v>
      </c>
      <c r="K5" s="3">
        <v>71585</v>
      </c>
      <c r="L5" s="6" t="s">
        <v>20</v>
      </c>
    </row>
    <row r="6" spans="1:15" x14ac:dyDescent="0.3">
      <c r="A6" s="5" t="s">
        <v>21</v>
      </c>
      <c r="B6" s="3" t="s">
        <v>22</v>
      </c>
      <c r="C6" s="2">
        <v>45789</v>
      </c>
      <c r="D6" s="3" t="s">
        <v>23</v>
      </c>
      <c r="E6" s="3" t="s">
        <v>357</v>
      </c>
      <c r="F6" s="3">
        <v>19308</v>
      </c>
      <c r="G6" s="3">
        <v>1318</v>
      </c>
      <c r="H6" s="3">
        <v>795</v>
      </c>
      <c r="I6" s="3">
        <v>1499</v>
      </c>
      <c r="J6" s="3">
        <v>52307</v>
      </c>
      <c r="K6" s="3">
        <v>193087</v>
      </c>
      <c r="L6" s="6" t="s">
        <v>25</v>
      </c>
    </row>
    <row r="7" spans="1:15" x14ac:dyDescent="0.3">
      <c r="A7" s="5" t="s">
        <v>21</v>
      </c>
      <c r="B7" s="3" t="s">
        <v>22</v>
      </c>
      <c r="C7" s="2">
        <v>45789</v>
      </c>
      <c r="D7" s="3" t="s">
        <v>23</v>
      </c>
      <c r="E7" s="3" t="s">
        <v>358</v>
      </c>
      <c r="F7" s="3">
        <v>19308</v>
      </c>
      <c r="G7" s="3">
        <v>1318</v>
      </c>
      <c r="H7" s="3">
        <v>795</v>
      </c>
      <c r="I7" s="3">
        <v>1499</v>
      </c>
      <c r="J7" s="3">
        <v>52307</v>
      </c>
      <c r="K7" s="3">
        <v>193087</v>
      </c>
      <c r="L7" s="6" t="s">
        <v>25</v>
      </c>
    </row>
    <row r="8" spans="1:15" ht="15.6" x14ac:dyDescent="0.3">
      <c r="A8" s="5" t="s">
        <v>26</v>
      </c>
      <c r="B8" s="3" t="s">
        <v>13</v>
      </c>
      <c r="C8" s="2">
        <v>45516</v>
      </c>
      <c r="D8" s="3" t="s">
        <v>27</v>
      </c>
      <c r="E8" s="3" t="s">
        <v>359</v>
      </c>
      <c r="F8" s="3">
        <v>3581</v>
      </c>
      <c r="G8" s="3">
        <v>517</v>
      </c>
      <c r="H8" s="3">
        <v>880</v>
      </c>
      <c r="I8" s="3">
        <v>1925</v>
      </c>
      <c r="J8" s="3">
        <v>18636</v>
      </c>
      <c r="K8" s="3">
        <v>248611</v>
      </c>
      <c r="L8" s="6" t="s">
        <v>29</v>
      </c>
      <c r="O8" s="15" t="s">
        <v>370</v>
      </c>
    </row>
    <row r="9" spans="1:15" x14ac:dyDescent="0.3">
      <c r="A9" s="5" t="s">
        <v>26</v>
      </c>
      <c r="B9" s="3" t="s">
        <v>13</v>
      </c>
      <c r="C9" s="2">
        <v>45516</v>
      </c>
      <c r="D9" s="3" t="s">
        <v>27</v>
      </c>
      <c r="E9" s="3" t="s">
        <v>360</v>
      </c>
      <c r="F9" s="3">
        <v>3581</v>
      </c>
      <c r="G9" s="3">
        <v>517</v>
      </c>
      <c r="H9" s="3">
        <v>880</v>
      </c>
      <c r="I9" s="3">
        <v>1925</v>
      </c>
      <c r="J9" s="3">
        <v>18636</v>
      </c>
      <c r="K9" s="3">
        <v>248611</v>
      </c>
      <c r="L9" s="6" t="s">
        <v>29</v>
      </c>
    </row>
    <row r="10" spans="1:15" x14ac:dyDescent="0.3">
      <c r="A10" s="5" t="s">
        <v>30</v>
      </c>
      <c r="B10" s="3" t="s">
        <v>13</v>
      </c>
      <c r="C10" s="2">
        <v>45904</v>
      </c>
      <c r="D10" s="3" t="s">
        <v>27</v>
      </c>
      <c r="E10" s="3" t="s">
        <v>353</v>
      </c>
      <c r="F10" s="3">
        <v>21708</v>
      </c>
      <c r="G10" s="3">
        <v>435</v>
      </c>
      <c r="H10" s="3">
        <v>317</v>
      </c>
      <c r="I10" s="3">
        <v>1213</v>
      </c>
      <c r="J10" s="3">
        <v>70701</v>
      </c>
      <c r="K10" s="3">
        <v>83585</v>
      </c>
      <c r="L10" s="6" t="s">
        <v>20</v>
      </c>
      <c r="N10">
        <v>1.1000000000000001</v>
      </c>
      <c r="O10" t="s">
        <v>371</v>
      </c>
    </row>
    <row r="11" spans="1:15" x14ac:dyDescent="0.3">
      <c r="A11" s="5" t="s">
        <v>30</v>
      </c>
      <c r="B11" s="3" t="s">
        <v>13</v>
      </c>
      <c r="C11" s="2">
        <v>45904</v>
      </c>
      <c r="D11" s="3" t="s">
        <v>27</v>
      </c>
      <c r="E11" s="3" t="s">
        <v>354</v>
      </c>
      <c r="F11" s="3">
        <v>21708</v>
      </c>
      <c r="G11" s="3">
        <v>435</v>
      </c>
      <c r="H11" s="3">
        <v>317</v>
      </c>
      <c r="I11" s="3">
        <v>1213</v>
      </c>
      <c r="J11" s="3">
        <v>70701</v>
      </c>
      <c r="K11" s="3">
        <v>83585</v>
      </c>
      <c r="L11" s="6" t="s">
        <v>20</v>
      </c>
      <c r="N11">
        <v>1.2</v>
      </c>
      <c r="O11" t="s">
        <v>372</v>
      </c>
    </row>
    <row r="12" spans="1:15" x14ac:dyDescent="0.3">
      <c r="A12" s="5" t="s">
        <v>31</v>
      </c>
      <c r="B12" s="3" t="s">
        <v>18</v>
      </c>
      <c r="C12" s="2">
        <v>45905</v>
      </c>
      <c r="D12" s="3" t="s">
        <v>14</v>
      </c>
      <c r="E12" s="3" t="s">
        <v>32</v>
      </c>
      <c r="F12" s="3">
        <v>14677</v>
      </c>
      <c r="G12" s="3">
        <v>533</v>
      </c>
      <c r="H12" s="3">
        <v>759</v>
      </c>
      <c r="I12" s="3">
        <v>753</v>
      </c>
      <c r="J12" s="3">
        <v>23275</v>
      </c>
      <c r="K12" s="3">
        <v>66958</v>
      </c>
      <c r="L12" s="6" t="s">
        <v>20</v>
      </c>
      <c r="N12">
        <v>1.3</v>
      </c>
      <c r="O12" t="s">
        <v>373</v>
      </c>
    </row>
    <row r="13" spans="1:15" x14ac:dyDescent="0.3">
      <c r="A13" s="5" t="s">
        <v>33</v>
      </c>
      <c r="B13" s="3" t="s">
        <v>22</v>
      </c>
      <c r="C13" s="2">
        <v>45467</v>
      </c>
      <c r="D13" s="3" t="s">
        <v>34</v>
      </c>
      <c r="E13" s="3" t="s">
        <v>361</v>
      </c>
      <c r="F13" s="3">
        <v>7713</v>
      </c>
      <c r="G13" s="3">
        <v>575</v>
      </c>
      <c r="H13" s="3">
        <v>417</v>
      </c>
      <c r="I13" s="3">
        <v>336</v>
      </c>
      <c r="J13" s="3">
        <v>61660</v>
      </c>
      <c r="K13" s="3">
        <v>66017</v>
      </c>
      <c r="L13" s="6" t="s">
        <v>29</v>
      </c>
      <c r="N13">
        <v>1.4</v>
      </c>
      <c r="O13" t="s">
        <v>374</v>
      </c>
    </row>
    <row r="14" spans="1:15" x14ac:dyDescent="0.3">
      <c r="A14" s="5" t="s">
        <v>33</v>
      </c>
      <c r="B14" s="3" t="s">
        <v>22</v>
      </c>
      <c r="C14" s="2">
        <v>45467</v>
      </c>
      <c r="D14" s="3" t="s">
        <v>34</v>
      </c>
      <c r="E14" s="3" t="s">
        <v>362</v>
      </c>
      <c r="F14" s="3">
        <v>7713</v>
      </c>
      <c r="G14" s="3">
        <v>575</v>
      </c>
      <c r="H14" s="3">
        <v>417</v>
      </c>
      <c r="I14" s="3">
        <v>336</v>
      </c>
      <c r="J14" s="3">
        <v>61660</v>
      </c>
      <c r="K14" s="3">
        <v>66017</v>
      </c>
      <c r="L14" s="6" t="s">
        <v>29</v>
      </c>
    </row>
    <row r="15" spans="1:15" x14ac:dyDescent="0.3">
      <c r="A15" s="5" t="s">
        <v>36</v>
      </c>
      <c r="B15" s="3" t="s">
        <v>22</v>
      </c>
      <c r="C15" s="2">
        <v>45486</v>
      </c>
      <c r="D15" s="3" t="s">
        <v>27</v>
      </c>
      <c r="E15" s="3" t="s">
        <v>363</v>
      </c>
      <c r="F15" s="3">
        <v>18639</v>
      </c>
      <c r="G15" s="3">
        <v>1360</v>
      </c>
      <c r="H15" s="3">
        <v>898</v>
      </c>
      <c r="I15" s="3">
        <v>2011</v>
      </c>
      <c r="J15" s="3">
        <v>42841</v>
      </c>
      <c r="K15" s="3">
        <v>247779</v>
      </c>
      <c r="L15" s="6" t="s">
        <v>29</v>
      </c>
    </row>
    <row r="16" spans="1:15" x14ac:dyDescent="0.3">
      <c r="A16" s="5" t="s">
        <v>36</v>
      </c>
      <c r="B16" s="3" t="s">
        <v>22</v>
      </c>
      <c r="C16" s="2">
        <v>45486</v>
      </c>
      <c r="D16" s="3" t="s">
        <v>27</v>
      </c>
      <c r="E16" s="3" t="s">
        <v>364</v>
      </c>
      <c r="F16" s="3">
        <v>18639</v>
      </c>
      <c r="G16" s="3">
        <v>1360</v>
      </c>
      <c r="H16" s="3">
        <v>898</v>
      </c>
      <c r="I16" s="3">
        <v>2011</v>
      </c>
      <c r="J16" s="3">
        <v>42841</v>
      </c>
      <c r="K16" s="3">
        <v>247779</v>
      </c>
      <c r="L16" s="6" t="s">
        <v>29</v>
      </c>
    </row>
    <row r="17" spans="1:12" x14ac:dyDescent="0.3">
      <c r="A17" s="5" t="s">
        <v>38</v>
      </c>
      <c r="B17" s="3" t="s">
        <v>13</v>
      </c>
      <c r="C17" s="2">
        <v>45534</v>
      </c>
      <c r="D17" s="3" t="s">
        <v>34</v>
      </c>
      <c r="E17" s="3" t="s">
        <v>355</v>
      </c>
      <c r="F17" s="3">
        <v>6804</v>
      </c>
      <c r="G17" s="3">
        <v>787</v>
      </c>
      <c r="H17" s="3">
        <v>970</v>
      </c>
      <c r="I17" s="3">
        <v>1095</v>
      </c>
      <c r="J17" s="3">
        <v>56343</v>
      </c>
      <c r="K17" s="3">
        <v>164677</v>
      </c>
      <c r="L17" s="6" t="s">
        <v>16</v>
      </c>
    </row>
    <row r="18" spans="1:12" x14ac:dyDescent="0.3">
      <c r="A18" s="5" t="s">
        <v>38</v>
      </c>
      <c r="B18" s="3" t="s">
        <v>13</v>
      </c>
      <c r="C18" s="2">
        <v>45534</v>
      </c>
      <c r="D18" s="3" t="s">
        <v>34</v>
      </c>
      <c r="E18" s="3" t="s">
        <v>356</v>
      </c>
      <c r="F18" s="3">
        <v>6804</v>
      </c>
      <c r="G18" s="3">
        <v>787</v>
      </c>
      <c r="H18" s="3">
        <v>970</v>
      </c>
      <c r="I18" s="3">
        <v>1095</v>
      </c>
      <c r="J18" s="3">
        <v>56343</v>
      </c>
      <c r="K18" s="3">
        <v>164677</v>
      </c>
      <c r="L18" s="6" t="s">
        <v>16</v>
      </c>
    </row>
    <row r="19" spans="1:12" x14ac:dyDescent="0.3">
      <c r="A19" s="5" t="s">
        <v>39</v>
      </c>
      <c r="B19" s="3" t="s">
        <v>40</v>
      </c>
      <c r="C19" s="2">
        <v>45727</v>
      </c>
      <c r="D19" s="3" t="s">
        <v>27</v>
      </c>
      <c r="E19" s="3" t="s">
        <v>365</v>
      </c>
      <c r="F19" s="3">
        <v>20222</v>
      </c>
      <c r="G19" s="3">
        <v>712</v>
      </c>
      <c r="H19" s="3">
        <v>604</v>
      </c>
      <c r="I19" s="3">
        <v>1272</v>
      </c>
      <c r="J19" s="3">
        <v>71598</v>
      </c>
      <c r="K19" s="3">
        <v>216422</v>
      </c>
      <c r="L19" s="6" t="s">
        <v>25</v>
      </c>
    </row>
    <row r="20" spans="1:12" x14ac:dyDescent="0.3">
      <c r="A20" s="5" t="s">
        <v>39</v>
      </c>
      <c r="B20" s="3" t="s">
        <v>40</v>
      </c>
      <c r="C20" s="2">
        <v>45727</v>
      </c>
      <c r="D20" s="3" t="s">
        <v>27</v>
      </c>
      <c r="E20" s="3" t="s">
        <v>359</v>
      </c>
      <c r="F20" s="3">
        <v>20222</v>
      </c>
      <c r="G20" s="3">
        <v>712</v>
      </c>
      <c r="H20" s="3">
        <v>604</v>
      </c>
      <c r="I20" s="3">
        <v>1272</v>
      </c>
      <c r="J20" s="3">
        <v>71598</v>
      </c>
      <c r="K20" s="3">
        <v>216422</v>
      </c>
      <c r="L20" s="6" t="s">
        <v>25</v>
      </c>
    </row>
    <row r="21" spans="1:12" x14ac:dyDescent="0.3">
      <c r="A21" s="5" t="s">
        <v>42</v>
      </c>
      <c r="B21" s="3" t="s">
        <v>13</v>
      </c>
      <c r="C21" s="2">
        <v>45690</v>
      </c>
      <c r="D21" s="3" t="s">
        <v>34</v>
      </c>
      <c r="E21" s="3" t="s">
        <v>359</v>
      </c>
      <c r="F21" s="3">
        <v>12136</v>
      </c>
      <c r="G21" s="3">
        <v>1117</v>
      </c>
      <c r="H21" s="3">
        <v>834</v>
      </c>
      <c r="I21" s="3">
        <v>892</v>
      </c>
      <c r="J21" s="3">
        <v>24675</v>
      </c>
      <c r="K21" s="3">
        <v>183273</v>
      </c>
      <c r="L21" s="6" t="s">
        <v>25</v>
      </c>
    </row>
    <row r="22" spans="1:12" x14ac:dyDescent="0.3">
      <c r="A22" s="5" t="s">
        <v>42</v>
      </c>
      <c r="B22" s="3" t="s">
        <v>13</v>
      </c>
      <c r="C22" s="2">
        <v>45690</v>
      </c>
      <c r="D22" s="3" t="s">
        <v>34</v>
      </c>
      <c r="E22" s="3" t="s">
        <v>360</v>
      </c>
      <c r="F22" s="3">
        <v>12136</v>
      </c>
      <c r="G22" s="3">
        <v>1117</v>
      </c>
      <c r="H22" s="3">
        <v>834</v>
      </c>
      <c r="I22" s="3">
        <v>892</v>
      </c>
      <c r="J22" s="3">
        <v>24675</v>
      </c>
      <c r="K22" s="3">
        <v>183273</v>
      </c>
      <c r="L22" s="6" t="s">
        <v>25</v>
      </c>
    </row>
    <row r="23" spans="1:12" x14ac:dyDescent="0.3">
      <c r="A23" s="5" t="s">
        <v>43</v>
      </c>
      <c r="B23" s="3" t="s">
        <v>13</v>
      </c>
      <c r="C23" s="2">
        <v>45494</v>
      </c>
      <c r="D23" s="3" t="s">
        <v>23</v>
      </c>
      <c r="E23" s="3" t="s">
        <v>355</v>
      </c>
      <c r="F23" s="3">
        <v>2009</v>
      </c>
      <c r="G23" s="3">
        <v>1072</v>
      </c>
      <c r="H23" s="3">
        <v>550</v>
      </c>
      <c r="I23" s="3">
        <v>1437</v>
      </c>
      <c r="J23" s="3">
        <v>22982</v>
      </c>
      <c r="K23" s="3">
        <v>69426</v>
      </c>
      <c r="L23" s="6" t="s">
        <v>29</v>
      </c>
    </row>
    <row r="24" spans="1:12" x14ac:dyDescent="0.3">
      <c r="A24" s="5" t="s">
        <v>43</v>
      </c>
      <c r="B24" s="3" t="s">
        <v>13</v>
      </c>
      <c r="C24" s="2">
        <v>45494</v>
      </c>
      <c r="D24" s="3" t="s">
        <v>23</v>
      </c>
      <c r="E24" s="3" t="s">
        <v>356</v>
      </c>
      <c r="F24" s="3">
        <v>2009</v>
      </c>
      <c r="G24" s="3">
        <v>1072</v>
      </c>
      <c r="H24" s="3">
        <v>550</v>
      </c>
      <c r="I24" s="3">
        <v>1437</v>
      </c>
      <c r="J24" s="3">
        <v>22982</v>
      </c>
      <c r="K24" s="3">
        <v>69426</v>
      </c>
      <c r="L24" s="6" t="s">
        <v>29</v>
      </c>
    </row>
    <row r="25" spans="1:12" x14ac:dyDescent="0.3">
      <c r="A25" s="5" t="s">
        <v>44</v>
      </c>
      <c r="B25" s="3" t="s">
        <v>13</v>
      </c>
      <c r="C25" s="2">
        <v>45614</v>
      </c>
      <c r="D25" s="3" t="s">
        <v>34</v>
      </c>
      <c r="E25" s="3" t="s">
        <v>361</v>
      </c>
      <c r="F25" s="3">
        <v>21255</v>
      </c>
      <c r="G25" s="3">
        <v>1452</v>
      </c>
      <c r="H25" s="3">
        <v>625</v>
      </c>
      <c r="I25" s="3">
        <v>1624</v>
      </c>
      <c r="J25" s="3">
        <v>21282</v>
      </c>
      <c r="K25" s="3">
        <v>57778</v>
      </c>
      <c r="L25" s="6" t="s">
        <v>45</v>
      </c>
    </row>
    <row r="26" spans="1:12" x14ac:dyDescent="0.3">
      <c r="A26" s="5" t="s">
        <v>44</v>
      </c>
      <c r="B26" s="3" t="s">
        <v>13</v>
      </c>
      <c r="C26" s="2">
        <v>45614</v>
      </c>
      <c r="D26" s="3" t="s">
        <v>34</v>
      </c>
      <c r="E26" s="3" t="s">
        <v>362</v>
      </c>
      <c r="F26" s="3">
        <v>21255</v>
      </c>
      <c r="G26" s="3">
        <v>1452</v>
      </c>
      <c r="H26" s="3">
        <v>625</v>
      </c>
      <c r="I26" s="3">
        <v>1624</v>
      </c>
      <c r="J26" s="3">
        <v>21282</v>
      </c>
      <c r="K26" s="3">
        <v>57778</v>
      </c>
      <c r="L26" s="6" t="s">
        <v>45</v>
      </c>
    </row>
    <row r="27" spans="1:12" x14ac:dyDescent="0.3">
      <c r="A27" s="5" t="s">
        <v>46</v>
      </c>
      <c r="B27" s="3" t="s">
        <v>13</v>
      </c>
      <c r="C27" s="2">
        <v>45906</v>
      </c>
      <c r="D27" s="3" t="s">
        <v>23</v>
      </c>
      <c r="E27" s="3" t="s">
        <v>363</v>
      </c>
      <c r="F27" s="3">
        <v>7124</v>
      </c>
      <c r="G27" s="3">
        <v>469</v>
      </c>
      <c r="H27" s="3">
        <v>851</v>
      </c>
      <c r="I27" s="3">
        <v>2571</v>
      </c>
      <c r="J27" s="3">
        <v>33802</v>
      </c>
      <c r="K27" s="3">
        <v>216313</v>
      </c>
      <c r="L27" s="6" t="s">
        <v>20</v>
      </c>
    </row>
    <row r="28" spans="1:12" x14ac:dyDescent="0.3">
      <c r="A28" s="5" t="s">
        <v>46</v>
      </c>
      <c r="B28" s="3" t="s">
        <v>13</v>
      </c>
      <c r="C28" s="2">
        <v>45906</v>
      </c>
      <c r="D28" s="3" t="s">
        <v>23</v>
      </c>
      <c r="E28" s="3" t="s">
        <v>364</v>
      </c>
      <c r="F28" s="3">
        <v>7124</v>
      </c>
      <c r="G28" s="3">
        <v>469</v>
      </c>
      <c r="H28" s="3">
        <v>851</v>
      </c>
      <c r="I28" s="3">
        <v>2571</v>
      </c>
      <c r="J28" s="3">
        <v>33802</v>
      </c>
      <c r="K28" s="3">
        <v>216313</v>
      </c>
      <c r="L28" s="6" t="s">
        <v>20</v>
      </c>
    </row>
    <row r="29" spans="1:12" x14ac:dyDescent="0.3">
      <c r="A29" s="5" t="s">
        <v>47</v>
      </c>
      <c r="B29" s="3" t="s">
        <v>18</v>
      </c>
      <c r="C29" s="2">
        <v>45907</v>
      </c>
      <c r="D29" s="3" t="s">
        <v>23</v>
      </c>
      <c r="E29" s="3" t="s">
        <v>357</v>
      </c>
      <c r="F29" s="3">
        <v>3015</v>
      </c>
      <c r="G29" s="3">
        <v>997</v>
      </c>
      <c r="H29" s="3">
        <v>783</v>
      </c>
      <c r="I29" s="3">
        <v>617</v>
      </c>
      <c r="J29" s="3">
        <v>77167</v>
      </c>
      <c r="K29" s="3">
        <v>82229</v>
      </c>
      <c r="L29" s="6" t="s">
        <v>20</v>
      </c>
    </row>
    <row r="30" spans="1:12" x14ac:dyDescent="0.3">
      <c r="A30" s="5" t="s">
        <v>47</v>
      </c>
      <c r="B30" s="3" t="s">
        <v>18</v>
      </c>
      <c r="C30" s="2">
        <v>45907</v>
      </c>
      <c r="D30" s="3" t="s">
        <v>23</v>
      </c>
      <c r="E30" s="3" t="s">
        <v>358</v>
      </c>
      <c r="F30" s="3">
        <v>3015</v>
      </c>
      <c r="G30" s="3">
        <v>997</v>
      </c>
      <c r="H30" s="3">
        <v>783</v>
      </c>
      <c r="I30" s="3">
        <v>617</v>
      </c>
      <c r="J30" s="3">
        <v>77167</v>
      </c>
      <c r="K30" s="3">
        <v>82229</v>
      </c>
      <c r="L30" s="6" t="s">
        <v>20</v>
      </c>
    </row>
    <row r="31" spans="1:12" x14ac:dyDescent="0.3">
      <c r="A31" s="5" t="s">
        <v>48</v>
      </c>
      <c r="B31" s="3" t="s">
        <v>22</v>
      </c>
      <c r="C31" s="2">
        <v>45530</v>
      </c>
      <c r="D31" s="3" t="s">
        <v>34</v>
      </c>
      <c r="E31" s="3" t="s">
        <v>363</v>
      </c>
      <c r="F31" s="3">
        <v>4193</v>
      </c>
      <c r="G31" s="3">
        <v>924</v>
      </c>
      <c r="H31" s="3">
        <v>707</v>
      </c>
      <c r="I31" s="3">
        <v>2696</v>
      </c>
      <c r="J31" s="3">
        <v>55075</v>
      </c>
      <c r="K31" s="3">
        <v>126652</v>
      </c>
      <c r="L31" s="6" t="s">
        <v>29</v>
      </c>
    </row>
    <row r="32" spans="1:12" x14ac:dyDescent="0.3">
      <c r="A32" s="5" t="s">
        <v>48</v>
      </c>
      <c r="B32" s="3" t="s">
        <v>22</v>
      </c>
      <c r="C32" s="2">
        <v>45530</v>
      </c>
      <c r="D32" s="3" t="s">
        <v>34</v>
      </c>
      <c r="E32" s="3" t="s">
        <v>364</v>
      </c>
      <c r="F32" s="3">
        <v>4193</v>
      </c>
      <c r="G32" s="3">
        <v>924</v>
      </c>
      <c r="H32" s="3">
        <v>707</v>
      </c>
      <c r="I32" s="3">
        <v>2696</v>
      </c>
      <c r="J32" s="3">
        <v>55075</v>
      </c>
      <c r="K32" s="3">
        <v>126652</v>
      </c>
      <c r="L32" s="6" t="s">
        <v>29</v>
      </c>
    </row>
    <row r="33" spans="1:12" x14ac:dyDescent="0.3">
      <c r="A33" s="5" t="s">
        <v>49</v>
      </c>
      <c r="B33" s="3" t="s">
        <v>18</v>
      </c>
      <c r="C33" s="2">
        <v>45782</v>
      </c>
      <c r="D33" s="3" t="s">
        <v>23</v>
      </c>
      <c r="E33" s="3" t="s">
        <v>359</v>
      </c>
      <c r="F33" s="3">
        <v>10415</v>
      </c>
      <c r="G33" s="3">
        <v>1388</v>
      </c>
      <c r="H33" s="3">
        <v>725</v>
      </c>
      <c r="I33" s="3">
        <v>2462</v>
      </c>
      <c r="J33" s="3">
        <v>53082</v>
      </c>
      <c r="K33" s="3">
        <v>168267</v>
      </c>
      <c r="L33" s="6" t="s">
        <v>45</v>
      </c>
    </row>
    <row r="34" spans="1:12" x14ac:dyDescent="0.3">
      <c r="A34" s="5" t="s">
        <v>49</v>
      </c>
      <c r="B34" s="3" t="s">
        <v>18</v>
      </c>
      <c r="C34" s="2">
        <v>45782</v>
      </c>
      <c r="D34" s="3" t="s">
        <v>23</v>
      </c>
      <c r="E34" s="3" t="s">
        <v>366</v>
      </c>
      <c r="F34" s="3">
        <v>10415</v>
      </c>
      <c r="G34" s="3">
        <v>1388</v>
      </c>
      <c r="H34" s="3">
        <v>725</v>
      </c>
      <c r="I34" s="3">
        <v>2462</v>
      </c>
      <c r="J34" s="3">
        <v>53082</v>
      </c>
      <c r="K34" s="3">
        <v>168267</v>
      </c>
      <c r="L34" s="6" t="s">
        <v>45</v>
      </c>
    </row>
    <row r="35" spans="1:12" x14ac:dyDescent="0.3">
      <c r="A35" s="5" t="s">
        <v>51</v>
      </c>
      <c r="B35" s="3" t="s">
        <v>18</v>
      </c>
      <c r="C35" s="2">
        <v>45523</v>
      </c>
      <c r="D35" s="3" t="s">
        <v>14</v>
      </c>
      <c r="E35" s="3" t="s">
        <v>363</v>
      </c>
      <c r="F35" s="3">
        <v>15550</v>
      </c>
      <c r="G35" s="3">
        <v>204</v>
      </c>
      <c r="H35" s="3">
        <v>279</v>
      </c>
      <c r="I35" s="3">
        <v>1646</v>
      </c>
      <c r="J35" s="3">
        <v>35819</v>
      </c>
      <c r="K35" s="3">
        <v>219436</v>
      </c>
      <c r="L35" s="6" t="s">
        <v>16</v>
      </c>
    </row>
    <row r="36" spans="1:12" x14ac:dyDescent="0.3">
      <c r="A36" s="5" t="s">
        <v>51</v>
      </c>
      <c r="B36" s="3" t="s">
        <v>18</v>
      </c>
      <c r="C36" s="2">
        <v>45523</v>
      </c>
      <c r="D36" s="3" t="s">
        <v>14</v>
      </c>
      <c r="E36" s="3" t="s">
        <v>364</v>
      </c>
      <c r="F36" s="3">
        <v>15550</v>
      </c>
      <c r="G36" s="3">
        <v>204</v>
      </c>
      <c r="H36" s="3">
        <v>279</v>
      </c>
      <c r="I36" s="3">
        <v>1646</v>
      </c>
      <c r="J36" s="3">
        <v>35819</v>
      </c>
      <c r="K36" s="3">
        <v>219436</v>
      </c>
      <c r="L36" s="6" t="s">
        <v>16</v>
      </c>
    </row>
    <row r="37" spans="1:12" x14ac:dyDescent="0.3">
      <c r="A37" s="5" t="s">
        <v>52</v>
      </c>
      <c r="B37" s="3" t="s">
        <v>18</v>
      </c>
      <c r="C37" s="2">
        <v>45466</v>
      </c>
      <c r="D37" s="3" t="s">
        <v>23</v>
      </c>
      <c r="E37" s="3" t="s">
        <v>359</v>
      </c>
      <c r="F37" s="3">
        <v>16512</v>
      </c>
      <c r="G37" s="3">
        <v>1050</v>
      </c>
      <c r="H37" s="3">
        <v>971</v>
      </c>
      <c r="I37" s="3">
        <v>1891</v>
      </c>
      <c r="J37" s="3">
        <v>15865</v>
      </c>
      <c r="K37" s="3">
        <v>166503</v>
      </c>
      <c r="L37" s="6" t="s">
        <v>29</v>
      </c>
    </row>
    <row r="38" spans="1:12" x14ac:dyDescent="0.3">
      <c r="A38" s="5" t="s">
        <v>52</v>
      </c>
      <c r="B38" s="3" t="s">
        <v>18</v>
      </c>
      <c r="C38" s="2">
        <v>45466</v>
      </c>
      <c r="D38" s="3" t="s">
        <v>23</v>
      </c>
      <c r="E38" s="3" t="s">
        <v>366</v>
      </c>
      <c r="F38" s="3">
        <v>16512</v>
      </c>
      <c r="G38" s="3">
        <v>1050</v>
      </c>
      <c r="H38" s="3">
        <v>971</v>
      </c>
      <c r="I38" s="3">
        <v>1891</v>
      </c>
      <c r="J38" s="3">
        <v>15865</v>
      </c>
      <c r="K38" s="3">
        <v>166503</v>
      </c>
      <c r="L38" s="6" t="s">
        <v>29</v>
      </c>
    </row>
    <row r="39" spans="1:12" x14ac:dyDescent="0.3">
      <c r="A39" s="5" t="s">
        <v>53</v>
      </c>
      <c r="B39" s="3" t="s">
        <v>13</v>
      </c>
      <c r="C39" s="2">
        <v>45544</v>
      </c>
      <c r="D39" s="3" t="s">
        <v>27</v>
      </c>
      <c r="E39" s="3" t="s">
        <v>357</v>
      </c>
      <c r="F39" s="3">
        <v>6158</v>
      </c>
      <c r="G39" s="3">
        <v>277</v>
      </c>
      <c r="H39" s="3">
        <v>512</v>
      </c>
      <c r="I39" s="3">
        <v>2189</v>
      </c>
      <c r="J39" s="3">
        <v>76881</v>
      </c>
      <c r="K39" s="3">
        <v>124878</v>
      </c>
      <c r="L39" s="6" t="s">
        <v>29</v>
      </c>
    </row>
    <row r="40" spans="1:12" x14ac:dyDescent="0.3">
      <c r="A40" s="5" t="s">
        <v>53</v>
      </c>
      <c r="B40" s="3" t="s">
        <v>13</v>
      </c>
      <c r="C40" s="2">
        <v>45544</v>
      </c>
      <c r="D40" s="3" t="s">
        <v>27</v>
      </c>
      <c r="E40" s="3" t="s">
        <v>358</v>
      </c>
      <c r="F40" s="3">
        <v>6158</v>
      </c>
      <c r="G40" s="3">
        <v>277</v>
      </c>
      <c r="H40" s="3">
        <v>512</v>
      </c>
      <c r="I40" s="3">
        <v>2189</v>
      </c>
      <c r="J40" s="3">
        <v>76881</v>
      </c>
      <c r="K40" s="3">
        <v>124878</v>
      </c>
      <c r="L40" s="6" t="s">
        <v>29</v>
      </c>
    </row>
    <row r="41" spans="1:12" x14ac:dyDescent="0.3">
      <c r="A41" s="5" t="s">
        <v>54</v>
      </c>
      <c r="B41" s="3" t="s">
        <v>40</v>
      </c>
      <c r="C41" s="2">
        <v>45908</v>
      </c>
      <c r="D41" s="3" t="s">
        <v>34</v>
      </c>
      <c r="E41" s="3" t="s">
        <v>367</v>
      </c>
      <c r="F41" s="3">
        <v>22309</v>
      </c>
      <c r="G41" s="3">
        <v>773</v>
      </c>
      <c r="H41" s="3">
        <v>854</v>
      </c>
      <c r="I41" s="3">
        <v>2387</v>
      </c>
      <c r="J41" s="3">
        <v>72396</v>
      </c>
      <c r="K41" s="3">
        <v>97056</v>
      </c>
      <c r="L41" s="6" t="s">
        <v>20</v>
      </c>
    </row>
    <row r="42" spans="1:12" x14ac:dyDescent="0.3">
      <c r="A42" s="5" t="s">
        <v>54</v>
      </c>
      <c r="B42" s="3" t="s">
        <v>40</v>
      </c>
      <c r="C42" s="2">
        <v>45908</v>
      </c>
      <c r="D42" s="3" t="s">
        <v>34</v>
      </c>
      <c r="E42" s="3" t="s">
        <v>32</v>
      </c>
      <c r="F42" s="3">
        <v>22309</v>
      </c>
      <c r="G42" s="3">
        <v>773</v>
      </c>
      <c r="H42" s="3">
        <v>854</v>
      </c>
      <c r="I42" s="3">
        <v>2387</v>
      </c>
      <c r="J42" s="3">
        <v>72396</v>
      </c>
      <c r="K42" s="3">
        <v>97056</v>
      </c>
      <c r="L42" s="6" t="s">
        <v>20</v>
      </c>
    </row>
    <row r="43" spans="1:12" x14ac:dyDescent="0.3">
      <c r="A43" s="5" t="s">
        <v>56</v>
      </c>
      <c r="B43" s="3" t="s">
        <v>22</v>
      </c>
      <c r="C43" s="2">
        <v>45715</v>
      </c>
      <c r="D43" s="3" t="s">
        <v>14</v>
      </c>
      <c r="E43" s="3" t="s">
        <v>361</v>
      </c>
      <c r="F43" s="3">
        <v>8970</v>
      </c>
      <c r="G43" s="3">
        <v>331</v>
      </c>
      <c r="H43" s="3">
        <v>968</v>
      </c>
      <c r="I43" s="3">
        <v>2296</v>
      </c>
      <c r="J43" s="3">
        <v>24613</v>
      </c>
      <c r="K43" s="3">
        <v>198562</v>
      </c>
      <c r="L43" s="6" t="s">
        <v>29</v>
      </c>
    </row>
    <row r="44" spans="1:12" x14ac:dyDescent="0.3">
      <c r="A44" s="5" t="s">
        <v>56</v>
      </c>
      <c r="B44" s="3" t="s">
        <v>22</v>
      </c>
      <c r="C44" s="2">
        <v>45715</v>
      </c>
      <c r="D44" s="3" t="s">
        <v>14</v>
      </c>
      <c r="E44" s="3" t="s">
        <v>362</v>
      </c>
      <c r="F44" s="3">
        <v>8970</v>
      </c>
      <c r="G44" s="3">
        <v>331</v>
      </c>
      <c r="H44" s="3">
        <v>968</v>
      </c>
      <c r="I44" s="3">
        <v>2296</v>
      </c>
      <c r="J44" s="3">
        <v>24613</v>
      </c>
      <c r="K44" s="3">
        <v>198562</v>
      </c>
      <c r="L44" s="6" t="s">
        <v>29</v>
      </c>
    </row>
    <row r="45" spans="1:12" x14ac:dyDescent="0.3">
      <c r="A45" s="5" t="s">
        <v>57</v>
      </c>
      <c r="B45" s="3" t="s">
        <v>40</v>
      </c>
      <c r="C45" s="2">
        <v>45602</v>
      </c>
      <c r="D45" s="3" t="s">
        <v>34</v>
      </c>
      <c r="E45" s="3" t="s">
        <v>359</v>
      </c>
      <c r="F45" s="3">
        <v>8938</v>
      </c>
      <c r="G45" s="3">
        <v>800</v>
      </c>
      <c r="H45" s="3">
        <v>842</v>
      </c>
      <c r="I45" s="3">
        <v>2072</v>
      </c>
      <c r="J45" s="3">
        <v>31736</v>
      </c>
      <c r="K45" s="3">
        <v>59975</v>
      </c>
      <c r="L45" s="6" t="s">
        <v>29</v>
      </c>
    </row>
    <row r="46" spans="1:12" x14ac:dyDescent="0.3">
      <c r="A46" s="5" t="s">
        <v>57</v>
      </c>
      <c r="B46" s="3" t="s">
        <v>40</v>
      </c>
      <c r="C46" s="2">
        <v>45602</v>
      </c>
      <c r="D46" s="3" t="s">
        <v>34</v>
      </c>
      <c r="E46" s="3" t="s">
        <v>366</v>
      </c>
      <c r="F46" s="3">
        <v>8938</v>
      </c>
      <c r="G46" s="3">
        <v>800</v>
      </c>
      <c r="H46" s="3">
        <v>842</v>
      </c>
      <c r="I46" s="3">
        <v>2072</v>
      </c>
      <c r="J46" s="3">
        <v>31736</v>
      </c>
      <c r="K46" s="3">
        <v>59975</v>
      </c>
      <c r="L46" s="6" t="s">
        <v>29</v>
      </c>
    </row>
    <row r="47" spans="1:12" x14ac:dyDescent="0.3">
      <c r="A47" s="5" t="s">
        <v>58</v>
      </c>
      <c r="B47" s="3" t="s">
        <v>18</v>
      </c>
      <c r="C47" s="2">
        <v>45680</v>
      </c>
      <c r="D47" s="3" t="s">
        <v>27</v>
      </c>
      <c r="E47" s="3" t="s">
        <v>365</v>
      </c>
      <c r="F47" s="3">
        <v>23168</v>
      </c>
      <c r="G47" s="3">
        <v>1265</v>
      </c>
      <c r="H47" s="3">
        <v>441</v>
      </c>
      <c r="I47" s="3">
        <v>1612</v>
      </c>
      <c r="J47" s="3">
        <v>66615</v>
      </c>
      <c r="K47" s="3">
        <v>197795</v>
      </c>
      <c r="L47" s="6" t="s">
        <v>29</v>
      </c>
    </row>
    <row r="48" spans="1:12" x14ac:dyDescent="0.3">
      <c r="A48" s="5" t="s">
        <v>58</v>
      </c>
      <c r="B48" s="3" t="s">
        <v>18</v>
      </c>
      <c r="C48" s="2">
        <v>45680</v>
      </c>
      <c r="D48" s="3" t="s">
        <v>27</v>
      </c>
      <c r="E48" s="3" t="s">
        <v>359</v>
      </c>
      <c r="F48" s="3">
        <v>23168</v>
      </c>
      <c r="G48" s="3">
        <v>1265</v>
      </c>
      <c r="H48" s="3">
        <v>441</v>
      </c>
      <c r="I48" s="3">
        <v>1612</v>
      </c>
      <c r="J48" s="3">
        <v>66615</v>
      </c>
      <c r="K48" s="3">
        <v>197795</v>
      </c>
      <c r="L48" s="6" t="s">
        <v>29</v>
      </c>
    </row>
    <row r="49" spans="1:12" x14ac:dyDescent="0.3">
      <c r="A49" s="5" t="s">
        <v>59</v>
      </c>
      <c r="B49" s="3" t="s">
        <v>18</v>
      </c>
      <c r="C49" s="2">
        <v>45909</v>
      </c>
      <c r="D49" s="3" t="s">
        <v>27</v>
      </c>
      <c r="E49" s="3" t="s">
        <v>363</v>
      </c>
      <c r="F49" s="3">
        <v>15772</v>
      </c>
      <c r="G49" s="3">
        <v>288</v>
      </c>
      <c r="H49" s="3">
        <v>520</v>
      </c>
      <c r="I49" s="3">
        <v>1585</v>
      </c>
      <c r="J49" s="3">
        <v>59182</v>
      </c>
      <c r="K49" s="3">
        <v>194351</v>
      </c>
      <c r="L49" s="6" t="s">
        <v>20</v>
      </c>
    </row>
    <row r="50" spans="1:12" x14ac:dyDescent="0.3">
      <c r="A50" s="5" t="s">
        <v>59</v>
      </c>
      <c r="B50" s="3" t="s">
        <v>18</v>
      </c>
      <c r="C50" s="2">
        <v>45909</v>
      </c>
      <c r="D50" s="3" t="s">
        <v>27</v>
      </c>
      <c r="E50" s="3" t="s">
        <v>364</v>
      </c>
      <c r="F50" s="3">
        <v>15772</v>
      </c>
      <c r="G50" s="3">
        <v>288</v>
      </c>
      <c r="H50" s="3">
        <v>520</v>
      </c>
      <c r="I50" s="3">
        <v>1585</v>
      </c>
      <c r="J50" s="3">
        <v>59182</v>
      </c>
      <c r="K50" s="3">
        <v>194351</v>
      </c>
      <c r="L50" s="6" t="s">
        <v>20</v>
      </c>
    </row>
    <row r="51" spans="1:12" x14ac:dyDescent="0.3">
      <c r="A51" s="5" t="s">
        <v>60</v>
      </c>
      <c r="B51" s="3" t="s">
        <v>40</v>
      </c>
      <c r="C51" s="2">
        <v>45752</v>
      </c>
      <c r="D51" s="3" t="s">
        <v>27</v>
      </c>
      <c r="E51" s="3" t="s">
        <v>363</v>
      </c>
      <c r="F51" s="3">
        <v>22384</v>
      </c>
      <c r="G51" s="3">
        <v>601</v>
      </c>
      <c r="H51" s="3">
        <v>943</v>
      </c>
      <c r="I51" s="3">
        <v>515</v>
      </c>
      <c r="J51" s="3">
        <v>41309</v>
      </c>
      <c r="K51" s="3">
        <v>249373</v>
      </c>
      <c r="L51" s="6" t="s">
        <v>16</v>
      </c>
    </row>
    <row r="52" spans="1:12" x14ac:dyDescent="0.3">
      <c r="A52" s="5" t="s">
        <v>60</v>
      </c>
      <c r="B52" s="3" t="s">
        <v>40</v>
      </c>
      <c r="C52" s="2">
        <v>45752</v>
      </c>
      <c r="D52" s="3" t="s">
        <v>27</v>
      </c>
      <c r="E52" s="3" t="s">
        <v>364</v>
      </c>
      <c r="F52" s="3">
        <v>22384</v>
      </c>
      <c r="G52" s="3">
        <v>601</v>
      </c>
      <c r="H52" s="3">
        <v>943</v>
      </c>
      <c r="I52" s="3">
        <v>515</v>
      </c>
      <c r="J52" s="3">
        <v>41309</v>
      </c>
      <c r="K52" s="3">
        <v>249373</v>
      </c>
      <c r="L52" s="6" t="s">
        <v>16</v>
      </c>
    </row>
    <row r="53" spans="1:12" x14ac:dyDescent="0.3">
      <c r="A53" s="5" t="s">
        <v>61</v>
      </c>
      <c r="B53" s="3" t="s">
        <v>40</v>
      </c>
      <c r="C53" s="2">
        <v>45552</v>
      </c>
      <c r="D53" s="3" t="s">
        <v>23</v>
      </c>
      <c r="E53" s="3" t="s">
        <v>365</v>
      </c>
      <c r="F53" s="3">
        <v>20017</v>
      </c>
      <c r="G53" s="3">
        <v>495</v>
      </c>
      <c r="H53" s="3">
        <v>178</v>
      </c>
      <c r="I53" s="3">
        <v>2683</v>
      </c>
      <c r="J53" s="3">
        <v>32244</v>
      </c>
      <c r="K53" s="3">
        <v>182633</v>
      </c>
      <c r="L53" s="6" t="s">
        <v>16</v>
      </c>
    </row>
    <row r="54" spans="1:12" x14ac:dyDescent="0.3">
      <c r="A54" s="5" t="s">
        <v>61</v>
      </c>
      <c r="B54" s="3" t="s">
        <v>40</v>
      </c>
      <c r="C54" s="2">
        <v>45552</v>
      </c>
      <c r="D54" s="3" t="s">
        <v>23</v>
      </c>
      <c r="E54" s="3" t="s">
        <v>359</v>
      </c>
      <c r="F54" s="3">
        <v>20017</v>
      </c>
      <c r="G54" s="3">
        <v>495</v>
      </c>
      <c r="H54" s="3">
        <v>178</v>
      </c>
      <c r="I54" s="3">
        <v>2683</v>
      </c>
      <c r="J54" s="3">
        <v>32244</v>
      </c>
      <c r="K54" s="3">
        <v>182633</v>
      </c>
      <c r="L54" s="6" t="s">
        <v>16</v>
      </c>
    </row>
    <row r="55" spans="1:12" x14ac:dyDescent="0.3">
      <c r="A55" s="5" t="s">
        <v>62</v>
      </c>
      <c r="B55" s="3" t="s">
        <v>40</v>
      </c>
      <c r="C55" s="2">
        <v>45720</v>
      </c>
      <c r="D55" s="3" t="s">
        <v>23</v>
      </c>
      <c r="E55" s="3" t="s">
        <v>32</v>
      </c>
      <c r="F55" s="3">
        <v>12344</v>
      </c>
      <c r="G55" s="3">
        <v>815</v>
      </c>
      <c r="H55" s="3">
        <v>298</v>
      </c>
      <c r="I55" s="3">
        <v>2439</v>
      </c>
      <c r="J55" s="3">
        <v>6259</v>
      </c>
      <c r="K55" s="3">
        <v>237133</v>
      </c>
      <c r="L55" s="6" t="s">
        <v>29</v>
      </c>
    </row>
    <row r="56" spans="1:12" x14ac:dyDescent="0.3">
      <c r="A56" s="5" t="s">
        <v>63</v>
      </c>
      <c r="B56" s="3" t="s">
        <v>18</v>
      </c>
      <c r="C56" s="2">
        <v>45910</v>
      </c>
      <c r="D56" s="3" t="s">
        <v>34</v>
      </c>
      <c r="E56" s="3" t="s">
        <v>64</v>
      </c>
      <c r="F56" s="3">
        <v>9266</v>
      </c>
      <c r="G56" s="3">
        <v>999</v>
      </c>
      <c r="H56" s="3">
        <v>928</v>
      </c>
      <c r="I56" s="3">
        <v>2700</v>
      </c>
      <c r="J56" s="3">
        <v>12264</v>
      </c>
      <c r="K56" s="3">
        <v>128397</v>
      </c>
      <c r="L56" s="6" t="s">
        <v>20</v>
      </c>
    </row>
    <row r="57" spans="1:12" x14ac:dyDescent="0.3">
      <c r="A57" s="5" t="s">
        <v>65</v>
      </c>
      <c r="B57" s="3" t="s">
        <v>18</v>
      </c>
      <c r="C57" s="2">
        <v>45713</v>
      </c>
      <c r="D57" s="3" t="s">
        <v>34</v>
      </c>
      <c r="E57" s="3" t="s">
        <v>367</v>
      </c>
      <c r="F57" s="3">
        <v>10702</v>
      </c>
      <c r="G57" s="3">
        <v>621</v>
      </c>
      <c r="H57" s="3">
        <v>445</v>
      </c>
      <c r="I57" s="3">
        <v>2918</v>
      </c>
      <c r="J57" s="3">
        <v>54808</v>
      </c>
      <c r="K57" s="3">
        <v>220225</v>
      </c>
      <c r="L57" s="6" t="s">
        <v>16</v>
      </c>
    </row>
    <row r="58" spans="1:12" x14ac:dyDescent="0.3">
      <c r="A58" s="5" t="s">
        <v>65</v>
      </c>
      <c r="B58" s="3" t="s">
        <v>18</v>
      </c>
      <c r="C58" s="2">
        <v>45713</v>
      </c>
      <c r="D58" s="3" t="s">
        <v>34</v>
      </c>
      <c r="E58" s="3" t="s">
        <v>32</v>
      </c>
      <c r="F58" s="3">
        <v>10702</v>
      </c>
      <c r="G58" s="3">
        <v>621</v>
      </c>
      <c r="H58" s="3">
        <v>445</v>
      </c>
      <c r="I58" s="3">
        <v>2918</v>
      </c>
      <c r="J58" s="3">
        <v>54808</v>
      </c>
      <c r="K58" s="3">
        <v>220225</v>
      </c>
      <c r="L58" s="6" t="s">
        <v>16</v>
      </c>
    </row>
    <row r="59" spans="1:12" x14ac:dyDescent="0.3">
      <c r="A59" s="5" t="s">
        <v>66</v>
      </c>
      <c r="B59" s="3" t="s">
        <v>22</v>
      </c>
      <c r="C59" s="2">
        <v>45642</v>
      </c>
      <c r="D59" s="3" t="s">
        <v>14</v>
      </c>
      <c r="E59" s="3" t="s">
        <v>359</v>
      </c>
      <c r="F59" s="3">
        <v>2384</v>
      </c>
      <c r="G59" s="3">
        <v>1246</v>
      </c>
      <c r="H59" s="3">
        <v>160</v>
      </c>
      <c r="I59" s="3">
        <v>2004</v>
      </c>
      <c r="J59" s="3">
        <v>2701</v>
      </c>
      <c r="K59" s="3">
        <v>73142</v>
      </c>
      <c r="L59" s="6" t="s">
        <v>16</v>
      </c>
    </row>
    <row r="60" spans="1:12" x14ac:dyDescent="0.3">
      <c r="A60" s="5" t="s">
        <v>66</v>
      </c>
      <c r="B60" s="3" t="s">
        <v>22</v>
      </c>
      <c r="C60" s="2">
        <v>45642</v>
      </c>
      <c r="D60" s="3" t="s">
        <v>14</v>
      </c>
      <c r="E60" s="3" t="s">
        <v>360</v>
      </c>
      <c r="F60" s="3">
        <v>2384</v>
      </c>
      <c r="G60" s="3">
        <v>1246</v>
      </c>
      <c r="H60" s="3">
        <v>160</v>
      </c>
      <c r="I60" s="3">
        <v>2004</v>
      </c>
      <c r="J60" s="3">
        <v>2701</v>
      </c>
      <c r="K60" s="3">
        <v>73142</v>
      </c>
      <c r="L60" s="6" t="s">
        <v>16</v>
      </c>
    </row>
    <row r="61" spans="1:12" x14ac:dyDescent="0.3">
      <c r="A61" s="5" t="s">
        <v>67</v>
      </c>
      <c r="B61" s="3" t="s">
        <v>22</v>
      </c>
      <c r="C61" s="2">
        <v>45504</v>
      </c>
      <c r="D61" s="3" t="s">
        <v>14</v>
      </c>
      <c r="E61" s="3" t="s">
        <v>359</v>
      </c>
      <c r="F61" s="3">
        <v>2404</v>
      </c>
      <c r="G61" s="3">
        <v>774</v>
      </c>
      <c r="H61" s="3">
        <v>661</v>
      </c>
      <c r="I61" s="3">
        <v>662</v>
      </c>
      <c r="J61" s="3">
        <v>12676</v>
      </c>
      <c r="K61" s="3">
        <v>66916</v>
      </c>
      <c r="L61" s="6" t="s">
        <v>16</v>
      </c>
    </row>
    <row r="62" spans="1:12" x14ac:dyDescent="0.3">
      <c r="A62" s="5" t="s">
        <v>67</v>
      </c>
      <c r="B62" s="3" t="s">
        <v>22</v>
      </c>
      <c r="C62" s="2">
        <v>45504</v>
      </c>
      <c r="D62" s="3" t="s">
        <v>14</v>
      </c>
      <c r="E62" s="3" t="s">
        <v>366</v>
      </c>
      <c r="F62" s="3">
        <v>2404</v>
      </c>
      <c r="G62" s="3">
        <v>774</v>
      </c>
      <c r="H62" s="3">
        <v>661</v>
      </c>
      <c r="I62" s="3">
        <v>662</v>
      </c>
      <c r="J62" s="3">
        <v>12676</v>
      </c>
      <c r="K62" s="3">
        <v>66916</v>
      </c>
      <c r="L62" s="6" t="s">
        <v>16</v>
      </c>
    </row>
    <row r="63" spans="1:12" x14ac:dyDescent="0.3">
      <c r="A63" s="5" t="s">
        <v>68</v>
      </c>
      <c r="B63" s="3" t="s">
        <v>18</v>
      </c>
      <c r="C63" s="2">
        <v>45911</v>
      </c>
      <c r="D63" s="3" t="s">
        <v>34</v>
      </c>
      <c r="E63" s="3" t="s">
        <v>365</v>
      </c>
      <c r="F63" s="3">
        <v>10175</v>
      </c>
      <c r="G63" s="3">
        <v>342</v>
      </c>
      <c r="H63" s="3">
        <v>825</v>
      </c>
      <c r="I63" s="3">
        <v>2904</v>
      </c>
      <c r="J63" s="3">
        <v>15954</v>
      </c>
      <c r="K63" s="3">
        <v>104324</v>
      </c>
      <c r="L63" s="6" t="s">
        <v>20</v>
      </c>
    </row>
    <row r="64" spans="1:12" x14ac:dyDescent="0.3">
      <c r="A64" s="5" t="s">
        <v>68</v>
      </c>
      <c r="B64" s="3" t="s">
        <v>18</v>
      </c>
      <c r="C64" s="2">
        <v>45911</v>
      </c>
      <c r="D64" s="3" t="s">
        <v>34</v>
      </c>
      <c r="E64" s="3" t="s">
        <v>359</v>
      </c>
      <c r="F64" s="3">
        <v>10175</v>
      </c>
      <c r="G64" s="3">
        <v>342</v>
      </c>
      <c r="H64" s="3">
        <v>825</v>
      </c>
      <c r="I64" s="3">
        <v>2904</v>
      </c>
      <c r="J64" s="3">
        <v>15954</v>
      </c>
      <c r="K64" s="3">
        <v>104324</v>
      </c>
      <c r="L64" s="6" t="s">
        <v>20</v>
      </c>
    </row>
    <row r="65" spans="1:12" x14ac:dyDescent="0.3">
      <c r="A65" s="5" t="s">
        <v>69</v>
      </c>
      <c r="B65" s="3" t="s">
        <v>40</v>
      </c>
      <c r="C65" s="2">
        <v>45912</v>
      </c>
      <c r="D65" s="3" t="s">
        <v>23</v>
      </c>
      <c r="E65" s="3" t="s">
        <v>357</v>
      </c>
      <c r="F65" s="3">
        <v>17158</v>
      </c>
      <c r="G65" s="3">
        <v>1192</v>
      </c>
      <c r="H65" s="3">
        <v>262</v>
      </c>
      <c r="I65" s="3">
        <v>2016</v>
      </c>
      <c r="J65" s="3">
        <v>28771</v>
      </c>
      <c r="K65" s="3">
        <v>216037</v>
      </c>
      <c r="L65" s="6" t="s">
        <v>20</v>
      </c>
    </row>
    <row r="66" spans="1:12" x14ac:dyDescent="0.3">
      <c r="A66" s="5" t="s">
        <v>69</v>
      </c>
      <c r="B66" s="3" t="s">
        <v>40</v>
      </c>
      <c r="C66" s="2">
        <v>45912</v>
      </c>
      <c r="D66" s="3" t="s">
        <v>23</v>
      </c>
      <c r="E66" s="3" t="s">
        <v>358</v>
      </c>
      <c r="F66" s="3">
        <v>17158</v>
      </c>
      <c r="G66" s="3">
        <v>1192</v>
      </c>
      <c r="H66" s="3">
        <v>262</v>
      </c>
      <c r="I66" s="3">
        <v>2016</v>
      </c>
      <c r="J66" s="3">
        <v>28771</v>
      </c>
      <c r="K66" s="3">
        <v>216037</v>
      </c>
      <c r="L66" s="6" t="s">
        <v>20</v>
      </c>
    </row>
    <row r="67" spans="1:12" x14ac:dyDescent="0.3">
      <c r="A67" s="5" t="s">
        <v>70</v>
      </c>
      <c r="B67" s="3" t="s">
        <v>40</v>
      </c>
      <c r="C67" s="2">
        <v>45626</v>
      </c>
      <c r="D67" s="3" t="s">
        <v>27</v>
      </c>
      <c r="E67" s="3" t="s">
        <v>359</v>
      </c>
      <c r="F67" s="3">
        <v>14763</v>
      </c>
      <c r="G67" s="3">
        <v>864</v>
      </c>
      <c r="H67" s="3">
        <v>336</v>
      </c>
      <c r="I67" s="3">
        <v>1493</v>
      </c>
      <c r="J67" s="3">
        <v>33310</v>
      </c>
      <c r="K67" s="3">
        <v>165932</v>
      </c>
      <c r="L67" s="6" t="s">
        <v>29</v>
      </c>
    </row>
    <row r="68" spans="1:12" x14ac:dyDescent="0.3">
      <c r="A68" s="5" t="s">
        <v>70</v>
      </c>
      <c r="B68" s="3" t="s">
        <v>40</v>
      </c>
      <c r="C68" s="2">
        <v>45626</v>
      </c>
      <c r="D68" s="3" t="s">
        <v>27</v>
      </c>
      <c r="E68" s="3" t="s">
        <v>366</v>
      </c>
      <c r="F68" s="3">
        <v>14763</v>
      </c>
      <c r="G68" s="3">
        <v>864</v>
      </c>
      <c r="H68" s="3">
        <v>336</v>
      </c>
      <c r="I68" s="3">
        <v>1493</v>
      </c>
      <c r="J68" s="3">
        <v>33310</v>
      </c>
      <c r="K68" s="3">
        <v>165932</v>
      </c>
      <c r="L68" s="6" t="s">
        <v>29</v>
      </c>
    </row>
    <row r="69" spans="1:12" x14ac:dyDescent="0.3">
      <c r="A69" s="5" t="s">
        <v>71</v>
      </c>
      <c r="B69" s="3" t="s">
        <v>22</v>
      </c>
      <c r="C69" s="2">
        <v>45766</v>
      </c>
      <c r="D69" s="3" t="s">
        <v>34</v>
      </c>
      <c r="E69" s="3" t="s">
        <v>64</v>
      </c>
      <c r="F69" s="3">
        <v>20384</v>
      </c>
      <c r="G69" s="3">
        <v>344</v>
      </c>
      <c r="H69" s="3">
        <v>956</v>
      </c>
      <c r="I69" s="3">
        <v>655</v>
      </c>
      <c r="J69" s="3">
        <v>67621</v>
      </c>
      <c r="K69" s="3">
        <v>175720</v>
      </c>
      <c r="L69" s="6" t="s">
        <v>25</v>
      </c>
    </row>
    <row r="70" spans="1:12" x14ac:dyDescent="0.3">
      <c r="A70" s="5" t="s">
        <v>72</v>
      </c>
      <c r="B70" s="3" t="s">
        <v>18</v>
      </c>
      <c r="C70" s="2">
        <v>45663</v>
      </c>
      <c r="D70" s="3" t="s">
        <v>14</v>
      </c>
      <c r="E70" s="3" t="s">
        <v>357</v>
      </c>
      <c r="F70" s="3">
        <v>11860</v>
      </c>
      <c r="G70" s="3">
        <v>1448</v>
      </c>
      <c r="H70" s="3">
        <v>893</v>
      </c>
      <c r="I70" s="3">
        <v>490</v>
      </c>
      <c r="J70" s="3">
        <v>23518</v>
      </c>
      <c r="K70" s="3">
        <v>206205</v>
      </c>
      <c r="L70" s="6" t="s">
        <v>16</v>
      </c>
    </row>
    <row r="71" spans="1:12" x14ac:dyDescent="0.3">
      <c r="A71" s="5" t="s">
        <v>72</v>
      </c>
      <c r="B71" s="3" t="s">
        <v>18</v>
      </c>
      <c r="C71" s="2">
        <v>45663</v>
      </c>
      <c r="D71" s="3" t="s">
        <v>14</v>
      </c>
      <c r="E71" s="3" t="s">
        <v>358</v>
      </c>
      <c r="F71" s="3">
        <v>11860</v>
      </c>
      <c r="G71" s="3">
        <v>1448</v>
      </c>
      <c r="H71" s="3">
        <v>893</v>
      </c>
      <c r="I71" s="3">
        <v>490</v>
      </c>
      <c r="J71" s="3">
        <v>23518</v>
      </c>
      <c r="K71" s="3">
        <v>206205</v>
      </c>
      <c r="L71" s="6" t="s">
        <v>16</v>
      </c>
    </row>
    <row r="72" spans="1:12" x14ac:dyDescent="0.3">
      <c r="A72" s="5" t="s">
        <v>73</v>
      </c>
      <c r="B72" s="3" t="s">
        <v>22</v>
      </c>
      <c r="C72" s="2">
        <v>45705</v>
      </c>
      <c r="D72" s="3" t="s">
        <v>23</v>
      </c>
      <c r="E72" s="3" t="s">
        <v>355</v>
      </c>
      <c r="F72" s="3">
        <v>7989</v>
      </c>
      <c r="G72" s="3">
        <v>1206</v>
      </c>
      <c r="H72" s="3">
        <v>376</v>
      </c>
      <c r="I72" s="3">
        <v>2769</v>
      </c>
      <c r="J72" s="3">
        <v>27550</v>
      </c>
      <c r="K72" s="3">
        <v>221749</v>
      </c>
      <c r="L72" s="6" t="s">
        <v>25</v>
      </c>
    </row>
    <row r="73" spans="1:12" x14ac:dyDescent="0.3">
      <c r="A73" s="5" t="s">
        <v>73</v>
      </c>
      <c r="B73" s="3" t="s">
        <v>22</v>
      </c>
      <c r="C73" s="2">
        <v>45705</v>
      </c>
      <c r="D73" s="3" t="s">
        <v>23</v>
      </c>
      <c r="E73" s="3" t="s">
        <v>356</v>
      </c>
      <c r="F73" s="3">
        <v>7989</v>
      </c>
      <c r="G73" s="3">
        <v>1206</v>
      </c>
      <c r="H73" s="3">
        <v>376</v>
      </c>
      <c r="I73" s="3">
        <v>2769</v>
      </c>
      <c r="J73" s="3">
        <v>27550</v>
      </c>
      <c r="K73" s="3">
        <v>221749</v>
      </c>
      <c r="L73" s="6" t="s">
        <v>25</v>
      </c>
    </row>
    <row r="74" spans="1:12" x14ac:dyDescent="0.3">
      <c r="A74" s="5" t="s">
        <v>74</v>
      </c>
      <c r="B74" s="3" t="s">
        <v>22</v>
      </c>
      <c r="C74" s="2">
        <v>45913</v>
      </c>
      <c r="D74" s="3" t="s">
        <v>34</v>
      </c>
      <c r="E74" s="3" t="s">
        <v>361</v>
      </c>
      <c r="F74" s="3">
        <v>17106</v>
      </c>
      <c r="G74" s="3">
        <v>702</v>
      </c>
      <c r="H74" s="3">
        <v>459</v>
      </c>
      <c r="I74" s="3">
        <v>999</v>
      </c>
      <c r="J74" s="3">
        <v>59627</v>
      </c>
      <c r="K74" s="3">
        <v>136059</v>
      </c>
      <c r="L74" s="6" t="s">
        <v>20</v>
      </c>
    </row>
    <row r="75" spans="1:12" x14ac:dyDescent="0.3">
      <c r="A75" s="5" t="s">
        <v>74</v>
      </c>
      <c r="B75" s="3" t="s">
        <v>22</v>
      </c>
      <c r="C75" s="2">
        <v>45913</v>
      </c>
      <c r="D75" s="3" t="s">
        <v>34</v>
      </c>
      <c r="E75" s="3" t="s">
        <v>362</v>
      </c>
      <c r="F75" s="3">
        <v>17106</v>
      </c>
      <c r="G75" s="3">
        <v>702</v>
      </c>
      <c r="H75" s="3">
        <v>459</v>
      </c>
      <c r="I75" s="3">
        <v>999</v>
      </c>
      <c r="J75" s="3">
        <v>59627</v>
      </c>
      <c r="K75" s="3">
        <v>136059</v>
      </c>
      <c r="L75" s="6" t="s">
        <v>20</v>
      </c>
    </row>
    <row r="76" spans="1:12" x14ac:dyDescent="0.3">
      <c r="A76" s="5" t="s">
        <v>75</v>
      </c>
      <c r="B76" s="3" t="s">
        <v>13</v>
      </c>
      <c r="C76" s="2">
        <v>45914</v>
      </c>
      <c r="D76" s="3" t="s">
        <v>34</v>
      </c>
      <c r="E76" s="3" t="s">
        <v>363</v>
      </c>
      <c r="F76" s="3">
        <v>19844</v>
      </c>
      <c r="G76" s="3">
        <v>1020</v>
      </c>
      <c r="H76" s="3">
        <v>247</v>
      </c>
      <c r="I76" s="3">
        <v>2354</v>
      </c>
      <c r="J76" s="3">
        <v>37792</v>
      </c>
      <c r="K76" s="3">
        <v>138317</v>
      </c>
      <c r="L76" s="6" t="s">
        <v>20</v>
      </c>
    </row>
    <row r="77" spans="1:12" x14ac:dyDescent="0.3">
      <c r="A77" s="5" t="s">
        <v>75</v>
      </c>
      <c r="B77" s="3" t="s">
        <v>13</v>
      </c>
      <c r="C77" s="2">
        <v>45914</v>
      </c>
      <c r="D77" s="3" t="s">
        <v>34</v>
      </c>
      <c r="E77" s="3" t="s">
        <v>364</v>
      </c>
      <c r="F77" s="3">
        <v>19844</v>
      </c>
      <c r="G77" s="3">
        <v>1020</v>
      </c>
      <c r="H77" s="3">
        <v>247</v>
      </c>
      <c r="I77" s="3">
        <v>2354</v>
      </c>
      <c r="J77" s="3">
        <v>37792</v>
      </c>
      <c r="K77" s="3">
        <v>138317</v>
      </c>
      <c r="L77" s="6" t="s">
        <v>20</v>
      </c>
    </row>
    <row r="78" spans="1:12" x14ac:dyDescent="0.3">
      <c r="A78" s="5" t="s">
        <v>76</v>
      </c>
      <c r="B78" s="3" t="s">
        <v>13</v>
      </c>
      <c r="C78" s="2">
        <v>45915</v>
      </c>
      <c r="D78" s="3" t="s">
        <v>23</v>
      </c>
      <c r="E78" s="3" t="s">
        <v>355</v>
      </c>
      <c r="F78" s="3">
        <v>5636</v>
      </c>
      <c r="G78" s="3">
        <v>303</v>
      </c>
      <c r="H78" s="3">
        <v>204</v>
      </c>
      <c r="I78" s="3">
        <v>2480</v>
      </c>
      <c r="J78" s="3">
        <v>7377</v>
      </c>
      <c r="K78" s="3">
        <v>241207</v>
      </c>
      <c r="L78" s="6" t="s">
        <v>20</v>
      </c>
    </row>
    <row r="79" spans="1:12" x14ac:dyDescent="0.3">
      <c r="A79" s="5" t="s">
        <v>76</v>
      </c>
      <c r="B79" s="3" t="s">
        <v>13</v>
      </c>
      <c r="C79" s="2">
        <v>45915</v>
      </c>
      <c r="D79" s="3" t="s">
        <v>23</v>
      </c>
      <c r="E79" s="3" t="s">
        <v>356</v>
      </c>
      <c r="F79" s="3">
        <v>5636</v>
      </c>
      <c r="G79" s="3">
        <v>303</v>
      </c>
      <c r="H79" s="3">
        <v>204</v>
      </c>
      <c r="I79" s="3">
        <v>2480</v>
      </c>
      <c r="J79" s="3">
        <v>7377</v>
      </c>
      <c r="K79" s="3">
        <v>241207</v>
      </c>
      <c r="L79" s="6" t="s">
        <v>20</v>
      </c>
    </row>
    <row r="80" spans="1:12" x14ac:dyDescent="0.3">
      <c r="A80" s="5" t="s">
        <v>77</v>
      </c>
      <c r="B80" s="3" t="s">
        <v>13</v>
      </c>
      <c r="C80" s="2">
        <v>45721</v>
      </c>
      <c r="D80" s="3" t="s">
        <v>34</v>
      </c>
      <c r="E80" s="3" t="s">
        <v>359</v>
      </c>
      <c r="F80" s="3">
        <v>12916</v>
      </c>
      <c r="G80" s="3">
        <v>1262</v>
      </c>
      <c r="H80" s="3">
        <v>772</v>
      </c>
      <c r="I80" s="3">
        <v>856</v>
      </c>
      <c r="J80" s="3">
        <v>11496</v>
      </c>
      <c r="K80" s="3">
        <v>75046</v>
      </c>
      <c r="L80" s="6" t="s">
        <v>25</v>
      </c>
    </row>
    <row r="81" spans="1:12" x14ac:dyDescent="0.3">
      <c r="A81" s="5" t="s">
        <v>77</v>
      </c>
      <c r="B81" s="3" t="s">
        <v>13</v>
      </c>
      <c r="C81" s="2">
        <v>45721</v>
      </c>
      <c r="D81" s="3" t="s">
        <v>34</v>
      </c>
      <c r="E81" s="3" t="s">
        <v>366</v>
      </c>
      <c r="F81" s="3">
        <v>12916</v>
      </c>
      <c r="G81" s="3">
        <v>1262</v>
      </c>
      <c r="H81" s="3">
        <v>772</v>
      </c>
      <c r="I81" s="3">
        <v>856</v>
      </c>
      <c r="J81" s="3">
        <v>11496</v>
      </c>
      <c r="K81" s="3">
        <v>75046</v>
      </c>
      <c r="L81" s="6" t="s">
        <v>25</v>
      </c>
    </row>
    <row r="82" spans="1:12" x14ac:dyDescent="0.3">
      <c r="A82" s="5" t="s">
        <v>78</v>
      </c>
      <c r="B82" s="3" t="s">
        <v>40</v>
      </c>
      <c r="C82" s="2">
        <v>45916</v>
      </c>
      <c r="D82" s="3" t="s">
        <v>23</v>
      </c>
      <c r="E82" s="3" t="s">
        <v>64</v>
      </c>
      <c r="F82" s="3">
        <v>6809</v>
      </c>
      <c r="G82" s="3">
        <v>397</v>
      </c>
      <c r="H82" s="3">
        <v>813</v>
      </c>
      <c r="I82" s="3">
        <v>1125</v>
      </c>
      <c r="J82" s="3">
        <v>12206</v>
      </c>
      <c r="K82" s="3">
        <v>218136</v>
      </c>
      <c r="L82" s="6" t="s">
        <v>20</v>
      </c>
    </row>
    <row r="83" spans="1:12" x14ac:dyDescent="0.3">
      <c r="A83" s="5" t="s">
        <v>79</v>
      </c>
      <c r="B83" s="3" t="s">
        <v>18</v>
      </c>
      <c r="C83" s="2">
        <v>45718</v>
      </c>
      <c r="D83" s="3" t="s">
        <v>27</v>
      </c>
      <c r="E83" s="3" t="s">
        <v>367</v>
      </c>
      <c r="F83" s="3">
        <v>22562</v>
      </c>
      <c r="G83" s="3">
        <v>778</v>
      </c>
      <c r="H83" s="3">
        <v>907</v>
      </c>
      <c r="I83" s="3">
        <v>1354</v>
      </c>
      <c r="J83" s="3">
        <v>34475</v>
      </c>
      <c r="K83" s="3">
        <v>141459</v>
      </c>
      <c r="L83" s="6" t="s">
        <v>29</v>
      </c>
    </row>
    <row r="84" spans="1:12" x14ac:dyDescent="0.3">
      <c r="A84" s="5" t="s">
        <v>79</v>
      </c>
      <c r="B84" s="3" t="s">
        <v>18</v>
      </c>
      <c r="C84" s="2">
        <v>45718</v>
      </c>
      <c r="D84" s="3" t="s">
        <v>27</v>
      </c>
      <c r="E84" s="3" t="s">
        <v>32</v>
      </c>
      <c r="F84" s="3">
        <v>22562</v>
      </c>
      <c r="G84" s="3">
        <v>778</v>
      </c>
      <c r="H84" s="3">
        <v>907</v>
      </c>
      <c r="I84" s="3">
        <v>1354</v>
      </c>
      <c r="J84" s="3">
        <v>34475</v>
      </c>
      <c r="K84" s="3">
        <v>141459</v>
      </c>
      <c r="L84" s="6" t="s">
        <v>29</v>
      </c>
    </row>
    <row r="85" spans="1:12" x14ac:dyDescent="0.3">
      <c r="A85" s="5" t="s">
        <v>80</v>
      </c>
      <c r="B85" s="3" t="s">
        <v>18</v>
      </c>
      <c r="C85" s="2">
        <v>45917</v>
      </c>
      <c r="D85" s="3" t="s">
        <v>23</v>
      </c>
      <c r="E85" s="3" t="s">
        <v>361</v>
      </c>
      <c r="F85" s="3">
        <v>15456</v>
      </c>
      <c r="G85" s="3">
        <v>590</v>
      </c>
      <c r="H85" s="3">
        <v>555</v>
      </c>
      <c r="I85" s="3">
        <v>2882</v>
      </c>
      <c r="J85" s="3">
        <v>49816</v>
      </c>
      <c r="K85" s="3">
        <v>240422</v>
      </c>
      <c r="L85" s="6" t="s">
        <v>20</v>
      </c>
    </row>
    <row r="86" spans="1:12" x14ac:dyDescent="0.3">
      <c r="A86" s="5" t="s">
        <v>80</v>
      </c>
      <c r="B86" s="3" t="s">
        <v>18</v>
      </c>
      <c r="C86" s="2">
        <v>45917</v>
      </c>
      <c r="D86" s="3" t="s">
        <v>23</v>
      </c>
      <c r="E86" s="3" t="s">
        <v>362</v>
      </c>
      <c r="F86" s="3">
        <v>15456</v>
      </c>
      <c r="G86" s="3">
        <v>590</v>
      </c>
      <c r="H86" s="3">
        <v>555</v>
      </c>
      <c r="I86" s="3">
        <v>2882</v>
      </c>
      <c r="J86" s="3">
        <v>49816</v>
      </c>
      <c r="K86" s="3">
        <v>240422</v>
      </c>
      <c r="L86" s="6" t="s">
        <v>20</v>
      </c>
    </row>
    <row r="87" spans="1:12" x14ac:dyDescent="0.3">
      <c r="A87" s="5" t="s">
        <v>81</v>
      </c>
      <c r="B87" s="3" t="s">
        <v>18</v>
      </c>
      <c r="C87" s="2">
        <v>45779</v>
      </c>
      <c r="D87" s="3" t="s">
        <v>23</v>
      </c>
      <c r="E87" s="3" t="s">
        <v>359</v>
      </c>
      <c r="F87" s="3">
        <v>17444</v>
      </c>
      <c r="G87" s="3">
        <v>1402</v>
      </c>
      <c r="H87" s="3">
        <v>218</v>
      </c>
      <c r="I87" s="3">
        <v>725</v>
      </c>
      <c r="J87" s="3">
        <v>8710</v>
      </c>
      <c r="K87" s="3">
        <v>85893</v>
      </c>
      <c r="L87" s="6" t="s">
        <v>45</v>
      </c>
    </row>
    <row r="88" spans="1:12" x14ac:dyDescent="0.3">
      <c r="A88" s="5" t="s">
        <v>81</v>
      </c>
      <c r="B88" s="3" t="s">
        <v>18</v>
      </c>
      <c r="C88" s="2">
        <v>45779</v>
      </c>
      <c r="D88" s="3" t="s">
        <v>23</v>
      </c>
      <c r="E88" s="3" t="s">
        <v>366</v>
      </c>
      <c r="F88" s="3">
        <v>17444</v>
      </c>
      <c r="G88" s="3">
        <v>1402</v>
      </c>
      <c r="H88" s="3">
        <v>218</v>
      </c>
      <c r="I88" s="3">
        <v>725</v>
      </c>
      <c r="J88" s="3">
        <v>8710</v>
      </c>
      <c r="K88" s="3">
        <v>85893</v>
      </c>
      <c r="L88" s="6" t="s">
        <v>45</v>
      </c>
    </row>
    <row r="89" spans="1:12" x14ac:dyDescent="0.3">
      <c r="A89" s="5" t="s">
        <v>82</v>
      </c>
      <c r="B89" s="3" t="s">
        <v>18</v>
      </c>
      <c r="C89" s="2">
        <v>45712</v>
      </c>
      <c r="D89" s="3" t="s">
        <v>23</v>
      </c>
      <c r="E89" s="3" t="s">
        <v>365</v>
      </c>
      <c r="F89" s="3">
        <v>24984</v>
      </c>
      <c r="G89" s="3">
        <v>753</v>
      </c>
      <c r="H89" s="3">
        <v>461</v>
      </c>
      <c r="I89" s="3">
        <v>2710</v>
      </c>
      <c r="J89" s="3">
        <v>20792</v>
      </c>
      <c r="K89" s="3">
        <v>141520</v>
      </c>
      <c r="L89" s="6" t="s">
        <v>25</v>
      </c>
    </row>
    <row r="90" spans="1:12" x14ac:dyDescent="0.3">
      <c r="A90" s="5" t="s">
        <v>82</v>
      </c>
      <c r="B90" s="3" t="s">
        <v>18</v>
      </c>
      <c r="C90" s="2">
        <v>45712</v>
      </c>
      <c r="D90" s="3" t="s">
        <v>23</v>
      </c>
      <c r="E90" s="3" t="s">
        <v>359</v>
      </c>
      <c r="F90" s="3">
        <v>24984</v>
      </c>
      <c r="G90" s="3">
        <v>753</v>
      </c>
      <c r="H90" s="3">
        <v>461</v>
      </c>
      <c r="I90" s="3">
        <v>2710</v>
      </c>
      <c r="J90" s="3">
        <v>20792</v>
      </c>
      <c r="K90" s="3">
        <v>141520</v>
      </c>
      <c r="L90" s="6" t="s">
        <v>25</v>
      </c>
    </row>
    <row r="91" spans="1:12" x14ac:dyDescent="0.3">
      <c r="A91" s="5" t="s">
        <v>83</v>
      </c>
      <c r="B91" s="3" t="s">
        <v>13</v>
      </c>
      <c r="C91" s="2">
        <v>45727</v>
      </c>
      <c r="D91" s="3" t="s">
        <v>34</v>
      </c>
      <c r="E91" s="3" t="s">
        <v>353</v>
      </c>
      <c r="F91" s="3">
        <v>7997</v>
      </c>
      <c r="G91" s="3">
        <v>1238</v>
      </c>
      <c r="H91" s="3">
        <v>438</v>
      </c>
      <c r="I91" s="3">
        <v>1874</v>
      </c>
      <c r="J91" s="3">
        <v>36272</v>
      </c>
      <c r="K91" s="3">
        <v>165818</v>
      </c>
      <c r="L91" s="6" t="s">
        <v>45</v>
      </c>
    </row>
    <row r="92" spans="1:12" x14ac:dyDescent="0.3">
      <c r="A92" s="5" t="s">
        <v>83</v>
      </c>
      <c r="B92" s="3" t="s">
        <v>13</v>
      </c>
      <c r="C92" s="2">
        <v>45727</v>
      </c>
      <c r="D92" s="3" t="s">
        <v>34</v>
      </c>
      <c r="E92" s="3" t="s">
        <v>354</v>
      </c>
      <c r="F92" s="3">
        <v>7997</v>
      </c>
      <c r="G92" s="3">
        <v>1238</v>
      </c>
      <c r="H92" s="3">
        <v>438</v>
      </c>
      <c r="I92" s="3">
        <v>1874</v>
      </c>
      <c r="J92" s="3">
        <v>36272</v>
      </c>
      <c r="K92" s="3">
        <v>165818</v>
      </c>
      <c r="L92" s="6" t="s">
        <v>45</v>
      </c>
    </row>
    <row r="93" spans="1:12" x14ac:dyDescent="0.3">
      <c r="A93" s="5" t="s">
        <v>84</v>
      </c>
      <c r="B93" s="3" t="s">
        <v>40</v>
      </c>
      <c r="C93" s="2">
        <v>45918</v>
      </c>
      <c r="D93" s="3" t="s">
        <v>34</v>
      </c>
      <c r="E93" s="3" t="s">
        <v>359</v>
      </c>
      <c r="F93" s="3">
        <v>4048</v>
      </c>
      <c r="G93" s="3">
        <v>677</v>
      </c>
      <c r="H93" s="3">
        <v>911</v>
      </c>
      <c r="I93" s="3">
        <v>2429</v>
      </c>
      <c r="J93" s="3">
        <v>27361</v>
      </c>
      <c r="K93" s="3">
        <v>101272</v>
      </c>
      <c r="L93" s="6" t="s">
        <v>20</v>
      </c>
    </row>
    <row r="94" spans="1:12" x14ac:dyDescent="0.3">
      <c r="A94" s="5" t="s">
        <v>84</v>
      </c>
      <c r="B94" s="3" t="s">
        <v>40</v>
      </c>
      <c r="C94" s="2">
        <v>45918</v>
      </c>
      <c r="D94" s="3" t="s">
        <v>34</v>
      </c>
      <c r="E94" s="3" t="s">
        <v>366</v>
      </c>
      <c r="F94" s="3">
        <v>4048</v>
      </c>
      <c r="G94" s="3">
        <v>677</v>
      </c>
      <c r="H94" s="3">
        <v>911</v>
      </c>
      <c r="I94" s="3">
        <v>2429</v>
      </c>
      <c r="J94" s="3">
        <v>27361</v>
      </c>
      <c r="K94" s="3">
        <v>101272</v>
      </c>
      <c r="L94" s="6" t="s">
        <v>20</v>
      </c>
    </row>
    <row r="95" spans="1:12" x14ac:dyDescent="0.3">
      <c r="A95" s="5" t="s">
        <v>85</v>
      </c>
      <c r="B95" s="3" t="s">
        <v>40</v>
      </c>
      <c r="C95" s="2">
        <v>45476</v>
      </c>
      <c r="D95" s="3" t="s">
        <v>23</v>
      </c>
      <c r="E95" s="3" t="s">
        <v>361</v>
      </c>
      <c r="F95" s="3">
        <v>14338</v>
      </c>
      <c r="G95" s="3">
        <v>1454</v>
      </c>
      <c r="H95" s="3">
        <v>697</v>
      </c>
      <c r="I95" s="3">
        <v>2703</v>
      </c>
      <c r="J95" s="3">
        <v>21288</v>
      </c>
      <c r="K95" s="3">
        <v>107649</v>
      </c>
      <c r="L95" s="6" t="s">
        <v>29</v>
      </c>
    </row>
    <row r="96" spans="1:12" x14ac:dyDescent="0.3">
      <c r="A96" s="5" t="s">
        <v>85</v>
      </c>
      <c r="B96" s="3" t="s">
        <v>40</v>
      </c>
      <c r="C96" s="2">
        <v>45476</v>
      </c>
      <c r="D96" s="3" t="s">
        <v>23</v>
      </c>
      <c r="E96" s="3" t="s">
        <v>362</v>
      </c>
      <c r="F96" s="3">
        <v>14338</v>
      </c>
      <c r="G96" s="3">
        <v>1454</v>
      </c>
      <c r="H96" s="3">
        <v>697</v>
      </c>
      <c r="I96" s="3">
        <v>2703</v>
      </c>
      <c r="J96" s="3">
        <v>21288</v>
      </c>
      <c r="K96" s="3">
        <v>107649</v>
      </c>
      <c r="L96" s="6" t="s">
        <v>29</v>
      </c>
    </row>
    <row r="97" spans="1:12" x14ac:dyDescent="0.3">
      <c r="A97" s="5" t="s">
        <v>86</v>
      </c>
      <c r="B97" s="3" t="s">
        <v>13</v>
      </c>
      <c r="C97" s="2">
        <v>45456</v>
      </c>
      <c r="D97" s="3" t="s">
        <v>34</v>
      </c>
      <c r="E97" s="3" t="s">
        <v>363</v>
      </c>
      <c r="F97" s="3">
        <v>23164</v>
      </c>
      <c r="G97" s="3">
        <v>1122</v>
      </c>
      <c r="H97" s="3">
        <v>900</v>
      </c>
      <c r="I97" s="3">
        <v>888</v>
      </c>
      <c r="J97" s="3">
        <v>36938</v>
      </c>
      <c r="K97" s="3">
        <v>104674</v>
      </c>
      <c r="L97" s="6" t="s">
        <v>16</v>
      </c>
    </row>
    <row r="98" spans="1:12" x14ac:dyDescent="0.3">
      <c r="A98" s="5" t="s">
        <v>86</v>
      </c>
      <c r="B98" s="3" t="s">
        <v>13</v>
      </c>
      <c r="C98" s="2">
        <v>45456</v>
      </c>
      <c r="D98" s="3" t="s">
        <v>34</v>
      </c>
      <c r="E98" s="3" t="s">
        <v>364</v>
      </c>
      <c r="F98" s="3">
        <v>23164</v>
      </c>
      <c r="G98" s="3">
        <v>1122</v>
      </c>
      <c r="H98" s="3">
        <v>900</v>
      </c>
      <c r="I98" s="3">
        <v>888</v>
      </c>
      <c r="J98" s="3">
        <v>36938</v>
      </c>
      <c r="K98" s="3">
        <v>104674</v>
      </c>
      <c r="L98" s="6" t="s">
        <v>16</v>
      </c>
    </row>
    <row r="99" spans="1:12" x14ac:dyDescent="0.3">
      <c r="A99" s="5" t="s">
        <v>87</v>
      </c>
      <c r="B99" s="3" t="s">
        <v>40</v>
      </c>
      <c r="C99" s="2">
        <v>45919</v>
      </c>
      <c r="D99" s="3" t="s">
        <v>14</v>
      </c>
      <c r="E99" s="3" t="s">
        <v>363</v>
      </c>
      <c r="F99" s="3">
        <v>19100</v>
      </c>
      <c r="G99" s="3">
        <v>619</v>
      </c>
      <c r="H99" s="3">
        <v>297</v>
      </c>
      <c r="I99" s="3">
        <v>2312</v>
      </c>
      <c r="J99" s="3">
        <v>9730</v>
      </c>
      <c r="K99" s="3">
        <v>184832</v>
      </c>
      <c r="L99" s="6" t="s">
        <v>20</v>
      </c>
    </row>
    <row r="100" spans="1:12" x14ac:dyDescent="0.3">
      <c r="A100" s="5" t="s">
        <v>87</v>
      </c>
      <c r="B100" s="3" t="s">
        <v>40</v>
      </c>
      <c r="C100" s="2">
        <v>45919</v>
      </c>
      <c r="D100" s="3" t="s">
        <v>14</v>
      </c>
      <c r="E100" s="3" t="s">
        <v>364</v>
      </c>
      <c r="F100" s="3">
        <v>19100</v>
      </c>
      <c r="G100" s="3">
        <v>619</v>
      </c>
      <c r="H100" s="3">
        <v>297</v>
      </c>
      <c r="I100" s="3">
        <v>2312</v>
      </c>
      <c r="J100" s="3">
        <v>9730</v>
      </c>
      <c r="K100" s="3">
        <v>184832</v>
      </c>
      <c r="L100" s="6" t="s">
        <v>20</v>
      </c>
    </row>
    <row r="101" spans="1:12" x14ac:dyDescent="0.3">
      <c r="A101" s="5" t="s">
        <v>88</v>
      </c>
      <c r="B101" s="3" t="s">
        <v>13</v>
      </c>
      <c r="C101" s="2">
        <v>45712</v>
      </c>
      <c r="D101" s="3" t="s">
        <v>14</v>
      </c>
      <c r="E101" s="3" t="s">
        <v>359</v>
      </c>
      <c r="F101" s="3">
        <v>23949</v>
      </c>
      <c r="G101" s="3">
        <v>356</v>
      </c>
      <c r="H101" s="3">
        <v>616</v>
      </c>
      <c r="I101" s="3">
        <v>1847</v>
      </c>
      <c r="J101" s="3">
        <v>3144</v>
      </c>
      <c r="K101" s="3">
        <v>192999</v>
      </c>
      <c r="L101" s="6" t="s">
        <v>29</v>
      </c>
    </row>
    <row r="102" spans="1:12" x14ac:dyDescent="0.3">
      <c r="A102" s="5" t="s">
        <v>88</v>
      </c>
      <c r="B102" s="3" t="s">
        <v>13</v>
      </c>
      <c r="C102" s="2">
        <v>45712</v>
      </c>
      <c r="D102" s="3" t="s">
        <v>14</v>
      </c>
      <c r="E102" s="3" t="s">
        <v>366</v>
      </c>
      <c r="F102" s="3">
        <v>23949</v>
      </c>
      <c r="G102" s="3">
        <v>356</v>
      </c>
      <c r="H102" s="3">
        <v>616</v>
      </c>
      <c r="I102" s="3">
        <v>1847</v>
      </c>
      <c r="J102" s="3">
        <v>3144</v>
      </c>
      <c r="K102" s="3">
        <v>192999</v>
      </c>
      <c r="L102" s="6" t="s">
        <v>29</v>
      </c>
    </row>
    <row r="103" spans="1:12" x14ac:dyDescent="0.3">
      <c r="A103" s="5" t="s">
        <v>89</v>
      </c>
      <c r="B103" s="3" t="s">
        <v>18</v>
      </c>
      <c r="C103" s="2">
        <v>45729</v>
      </c>
      <c r="D103" s="3" t="s">
        <v>34</v>
      </c>
      <c r="E103" s="3" t="s">
        <v>357</v>
      </c>
      <c r="F103" s="3">
        <v>6544</v>
      </c>
      <c r="G103" s="3">
        <v>749</v>
      </c>
      <c r="H103" s="3">
        <v>888</v>
      </c>
      <c r="I103" s="3">
        <v>594</v>
      </c>
      <c r="J103" s="3">
        <v>18171</v>
      </c>
      <c r="K103" s="3">
        <v>126475</v>
      </c>
      <c r="L103" s="6" t="s">
        <v>25</v>
      </c>
    </row>
    <row r="104" spans="1:12" x14ac:dyDescent="0.3">
      <c r="A104" s="5" t="s">
        <v>89</v>
      </c>
      <c r="B104" s="3" t="s">
        <v>18</v>
      </c>
      <c r="C104" s="2">
        <v>45729</v>
      </c>
      <c r="D104" s="3" t="s">
        <v>34</v>
      </c>
      <c r="E104" s="3" t="s">
        <v>358</v>
      </c>
      <c r="F104" s="3">
        <v>6544</v>
      </c>
      <c r="G104" s="3">
        <v>749</v>
      </c>
      <c r="H104" s="3">
        <v>888</v>
      </c>
      <c r="I104" s="3">
        <v>594</v>
      </c>
      <c r="J104" s="3">
        <v>18171</v>
      </c>
      <c r="K104" s="3">
        <v>126475</v>
      </c>
      <c r="L104" s="6" t="s">
        <v>25</v>
      </c>
    </row>
    <row r="105" spans="1:12" x14ac:dyDescent="0.3">
      <c r="A105" s="5" t="s">
        <v>90</v>
      </c>
      <c r="B105" s="3" t="s">
        <v>13</v>
      </c>
      <c r="C105" s="2">
        <v>45460</v>
      </c>
      <c r="D105" s="3" t="s">
        <v>34</v>
      </c>
      <c r="E105" s="3" t="s">
        <v>353</v>
      </c>
      <c r="F105" s="3">
        <v>6976</v>
      </c>
      <c r="G105" s="3">
        <v>1320</v>
      </c>
      <c r="H105" s="3">
        <v>393</v>
      </c>
      <c r="I105" s="3">
        <v>2285</v>
      </c>
      <c r="J105" s="3">
        <v>14049</v>
      </c>
      <c r="K105" s="3">
        <v>101367</v>
      </c>
      <c r="L105" s="6" t="s">
        <v>45</v>
      </c>
    </row>
    <row r="106" spans="1:12" x14ac:dyDescent="0.3">
      <c r="A106" s="5" t="s">
        <v>90</v>
      </c>
      <c r="B106" s="3" t="s">
        <v>13</v>
      </c>
      <c r="C106" s="2">
        <v>45460</v>
      </c>
      <c r="D106" s="3" t="s">
        <v>34</v>
      </c>
      <c r="E106" s="3" t="s">
        <v>354</v>
      </c>
      <c r="F106" s="3">
        <v>6976</v>
      </c>
      <c r="G106" s="3">
        <v>1320</v>
      </c>
      <c r="H106" s="3">
        <v>393</v>
      </c>
      <c r="I106" s="3">
        <v>2285</v>
      </c>
      <c r="J106" s="3">
        <v>14049</v>
      </c>
      <c r="K106" s="3">
        <v>101367</v>
      </c>
      <c r="L106" s="6" t="s">
        <v>45</v>
      </c>
    </row>
    <row r="107" spans="1:12" x14ac:dyDescent="0.3">
      <c r="A107" s="5" t="s">
        <v>91</v>
      </c>
      <c r="B107" s="3" t="s">
        <v>18</v>
      </c>
      <c r="C107" s="2">
        <v>45644</v>
      </c>
      <c r="D107" s="3" t="s">
        <v>23</v>
      </c>
      <c r="E107" s="3" t="s">
        <v>365</v>
      </c>
      <c r="F107" s="3">
        <v>14775</v>
      </c>
      <c r="G107" s="3">
        <v>1220</v>
      </c>
      <c r="H107" s="3">
        <v>640</v>
      </c>
      <c r="I107" s="3">
        <v>1547</v>
      </c>
      <c r="J107" s="3">
        <v>28527</v>
      </c>
      <c r="K107" s="3">
        <v>183660</v>
      </c>
      <c r="L107" s="6" t="s">
        <v>45</v>
      </c>
    </row>
    <row r="108" spans="1:12" x14ac:dyDescent="0.3">
      <c r="A108" s="5" t="s">
        <v>91</v>
      </c>
      <c r="B108" s="3" t="s">
        <v>18</v>
      </c>
      <c r="C108" s="2">
        <v>45644</v>
      </c>
      <c r="D108" s="3" t="s">
        <v>23</v>
      </c>
      <c r="E108" s="3" t="s">
        <v>359</v>
      </c>
      <c r="F108" s="3">
        <v>14775</v>
      </c>
      <c r="G108" s="3">
        <v>1220</v>
      </c>
      <c r="H108" s="3">
        <v>640</v>
      </c>
      <c r="I108" s="3">
        <v>1547</v>
      </c>
      <c r="J108" s="3">
        <v>28527</v>
      </c>
      <c r="K108" s="3">
        <v>183660</v>
      </c>
      <c r="L108" s="6" t="s">
        <v>45</v>
      </c>
    </row>
    <row r="109" spans="1:12" x14ac:dyDescent="0.3">
      <c r="A109" s="5" t="s">
        <v>92</v>
      </c>
      <c r="B109" s="3" t="s">
        <v>18</v>
      </c>
      <c r="C109" s="2">
        <v>45586</v>
      </c>
      <c r="D109" s="3" t="s">
        <v>27</v>
      </c>
      <c r="E109" s="3" t="s">
        <v>359</v>
      </c>
      <c r="F109" s="3">
        <v>12015</v>
      </c>
      <c r="G109" s="3">
        <v>1196</v>
      </c>
      <c r="H109" s="3">
        <v>998</v>
      </c>
      <c r="I109" s="3">
        <v>1848</v>
      </c>
      <c r="J109" s="3">
        <v>44739</v>
      </c>
      <c r="K109" s="3">
        <v>161750</v>
      </c>
      <c r="L109" s="6" t="s">
        <v>45</v>
      </c>
    </row>
    <row r="110" spans="1:12" x14ac:dyDescent="0.3">
      <c r="A110" s="5" t="s">
        <v>92</v>
      </c>
      <c r="B110" s="3" t="s">
        <v>18</v>
      </c>
      <c r="C110" s="2">
        <v>45586</v>
      </c>
      <c r="D110" s="3" t="s">
        <v>27</v>
      </c>
      <c r="E110" s="3" t="s">
        <v>366</v>
      </c>
      <c r="F110" s="3">
        <v>12015</v>
      </c>
      <c r="G110" s="3">
        <v>1196</v>
      </c>
      <c r="H110" s="3">
        <v>998</v>
      </c>
      <c r="I110" s="3">
        <v>1848</v>
      </c>
      <c r="J110" s="3">
        <v>44739</v>
      </c>
      <c r="K110" s="3">
        <v>161750</v>
      </c>
      <c r="L110" s="6" t="s">
        <v>45</v>
      </c>
    </row>
    <row r="111" spans="1:12" x14ac:dyDescent="0.3">
      <c r="A111" s="5" t="s">
        <v>93</v>
      </c>
      <c r="B111" s="3" t="s">
        <v>22</v>
      </c>
      <c r="C111" s="2">
        <v>45762</v>
      </c>
      <c r="D111" s="3" t="s">
        <v>34</v>
      </c>
      <c r="E111" s="3" t="s">
        <v>357</v>
      </c>
      <c r="F111" s="3">
        <v>5419</v>
      </c>
      <c r="G111" s="3">
        <v>1150</v>
      </c>
      <c r="H111" s="3">
        <v>656</v>
      </c>
      <c r="I111" s="3">
        <v>1990</v>
      </c>
      <c r="J111" s="3">
        <v>410</v>
      </c>
      <c r="K111" s="3">
        <v>158154</v>
      </c>
      <c r="L111" s="6" t="s">
        <v>25</v>
      </c>
    </row>
    <row r="112" spans="1:12" x14ac:dyDescent="0.3">
      <c r="A112" s="5" t="s">
        <v>93</v>
      </c>
      <c r="B112" s="3" t="s">
        <v>22</v>
      </c>
      <c r="C112" s="2">
        <v>45762</v>
      </c>
      <c r="D112" s="3" t="s">
        <v>34</v>
      </c>
      <c r="E112" s="3" t="s">
        <v>358</v>
      </c>
      <c r="F112" s="3">
        <v>5419</v>
      </c>
      <c r="G112" s="3">
        <v>1150</v>
      </c>
      <c r="H112" s="3">
        <v>656</v>
      </c>
      <c r="I112" s="3">
        <v>1990</v>
      </c>
      <c r="J112" s="3">
        <v>410</v>
      </c>
      <c r="K112" s="3">
        <v>158154</v>
      </c>
      <c r="L112" s="6" t="s">
        <v>25</v>
      </c>
    </row>
    <row r="113" spans="1:12" x14ac:dyDescent="0.3">
      <c r="A113" s="5" t="s">
        <v>94</v>
      </c>
      <c r="B113" s="3" t="s">
        <v>13</v>
      </c>
      <c r="C113" s="2">
        <v>45465</v>
      </c>
      <c r="D113" s="3" t="s">
        <v>14</v>
      </c>
      <c r="E113" s="3" t="s">
        <v>363</v>
      </c>
      <c r="F113" s="3">
        <v>16430</v>
      </c>
      <c r="G113" s="3">
        <v>488</v>
      </c>
      <c r="H113" s="3">
        <v>514</v>
      </c>
      <c r="I113" s="3">
        <v>1436</v>
      </c>
      <c r="J113" s="3">
        <v>30059</v>
      </c>
      <c r="K113" s="3">
        <v>223305</v>
      </c>
      <c r="L113" s="6" t="s">
        <v>29</v>
      </c>
    </row>
    <row r="114" spans="1:12" x14ac:dyDescent="0.3">
      <c r="A114" s="5" t="s">
        <v>94</v>
      </c>
      <c r="B114" s="3" t="s">
        <v>13</v>
      </c>
      <c r="C114" s="2">
        <v>45465</v>
      </c>
      <c r="D114" s="3" t="s">
        <v>14</v>
      </c>
      <c r="E114" s="3" t="s">
        <v>364</v>
      </c>
      <c r="F114" s="3">
        <v>16430</v>
      </c>
      <c r="G114" s="3">
        <v>488</v>
      </c>
      <c r="H114" s="3">
        <v>514</v>
      </c>
      <c r="I114" s="3">
        <v>1436</v>
      </c>
      <c r="J114" s="3">
        <v>30059</v>
      </c>
      <c r="K114" s="3">
        <v>223305</v>
      </c>
      <c r="L114" s="6" t="s">
        <v>29</v>
      </c>
    </row>
    <row r="115" spans="1:12" x14ac:dyDescent="0.3">
      <c r="A115" s="5" t="s">
        <v>95</v>
      </c>
      <c r="B115" s="3" t="s">
        <v>22</v>
      </c>
      <c r="C115" s="2">
        <v>45685</v>
      </c>
      <c r="D115" s="3" t="s">
        <v>23</v>
      </c>
      <c r="E115" s="3" t="s">
        <v>363</v>
      </c>
      <c r="F115" s="3">
        <v>9239</v>
      </c>
      <c r="G115" s="3">
        <v>1477</v>
      </c>
      <c r="H115" s="3">
        <v>631</v>
      </c>
      <c r="I115" s="3">
        <v>1556</v>
      </c>
      <c r="J115" s="3">
        <v>11580</v>
      </c>
      <c r="K115" s="3">
        <v>84738</v>
      </c>
      <c r="L115" s="6" t="s">
        <v>25</v>
      </c>
    </row>
    <row r="116" spans="1:12" x14ac:dyDescent="0.3">
      <c r="A116" s="5" t="s">
        <v>95</v>
      </c>
      <c r="B116" s="3" t="s">
        <v>22</v>
      </c>
      <c r="C116" s="2">
        <v>45685</v>
      </c>
      <c r="D116" s="3" t="s">
        <v>23</v>
      </c>
      <c r="E116" s="3" t="s">
        <v>364</v>
      </c>
      <c r="F116" s="3">
        <v>9239</v>
      </c>
      <c r="G116" s="3">
        <v>1477</v>
      </c>
      <c r="H116" s="3">
        <v>631</v>
      </c>
      <c r="I116" s="3">
        <v>1556</v>
      </c>
      <c r="J116" s="3">
        <v>11580</v>
      </c>
      <c r="K116" s="3">
        <v>84738</v>
      </c>
      <c r="L116" s="6" t="s">
        <v>25</v>
      </c>
    </row>
    <row r="117" spans="1:12" x14ac:dyDescent="0.3">
      <c r="A117" s="5" t="s">
        <v>96</v>
      </c>
      <c r="B117" s="3" t="s">
        <v>13</v>
      </c>
      <c r="C117" s="2">
        <v>45540</v>
      </c>
      <c r="D117" s="3" t="s">
        <v>34</v>
      </c>
      <c r="E117" s="3" t="s">
        <v>64</v>
      </c>
      <c r="F117" s="3">
        <v>16489</v>
      </c>
      <c r="G117" s="3">
        <v>395</v>
      </c>
      <c r="H117" s="3">
        <v>350</v>
      </c>
      <c r="I117" s="3">
        <v>2364</v>
      </c>
      <c r="J117" s="3">
        <v>43239</v>
      </c>
      <c r="K117" s="3">
        <v>73397</v>
      </c>
      <c r="L117" s="6" t="s">
        <v>45</v>
      </c>
    </row>
    <row r="118" spans="1:12" x14ac:dyDescent="0.3">
      <c r="A118" s="5" t="s">
        <v>97</v>
      </c>
      <c r="B118" s="3" t="s">
        <v>13</v>
      </c>
      <c r="C118" s="2">
        <v>45920</v>
      </c>
      <c r="D118" s="3" t="s">
        <v>14</v>
      </c>
      <c r="E118" s="3" t="s">
        <v>359</v>
      </c>
      <c r="F118" s="3">
        <v>18633</v>
      </c>
      <c r="G118" s="3">
        <v>797</v>
      </c>
      <c r="H118" s="3">
        <v>303</v>
      </c>
      <c r="I118" s="3">
        <v>659</v>
      </c>
      <c r="J118" s="3">
        <v>7</v>
      </c>
      <c r="K118" s="3">
        <v>122189</v>
      </c>
      <c r="L118" s="6" t="s">
        <v>20</v>
      </c>
    </row>
    <row r="119" spans="1:12" x14ac:dyDescent="0.3">
      <c r="A119" s="5" t="s">
        <v>97</v>
      </c>
      <c r="B119" s="3" t="s">
        <v>13</v>
      </c>
      <c r="C119" s="2">
        <v>45920</v>
      </c>
      <c r="D119" s="3" t="s">
        <v>14</v>
      </c>
      <c r="E119" s="3" t="s">
        <v>366</v>
      </c>
      <c r="F119" s="3">
        <v>18633</v>
      </c>
      <c r="G119" s="3">
        <v>797</v>
      </c>
      <c r="H119" s="3">
        <v>303</v>
      </c>
      <c r="I119" s="3">
        <v>659</v>
      </c>
      <c r="J119" s="3">
        <v>7</v>
      </c>
      <c r="K119" s="3">
        <v>122189</v>
      </c>
      <c r="L119" s="6" t="s">
        <v>20</v>
      </c>
    </row>
    <row r="120" spans="1:12" x14ac:dyDescent="0.3">
      <c r="A120" s="5" t="s">
        <v>98</v>
      </c>
      <c r="B120" s="3" t="s">
        <v>22</v>
      </c>
      <c r="C120" s="2">
        <v>45504</v>
      </c>
      <c r="D120" s="3" t="s">
        <v>14</v>
      </c>
      <c r="E120" s="3" t="s">
        <v>353</v>
      </c>
      <c r="F120" s="3">
        <v>12357</v>
      </c>
      <c r="G120" s="3">
        <v>716</v>
      </c>
      <c r="H120" s="3">
        <v>599</v>
      </c>
      <c r="I120" s="3">
        <v>999</v>
      </c>
      <c r="J120" s="3">
        <v>89591</v>
      </c>
      <c r="K120" s="3">
        <v>116367</v>
      </c>
      <c r="L120" s="6" t="s">
        <v>16</v>
      </c>
    </row>
    <row r="121" spans="1:12" x14ac:dyDescent="0.3">
      <c r="A121" s="5" t="s">
        <v>98</v>
      </c>
      <c r="B121" s="3" t="s">
        <v>22</v>
      </c>
      <c r="C121" s="2">
        <v>45504</v>
      </c>
      <c r="D121" s="3" t="s">
        <v>14</v>
      </c>
      <c r="E121" s="3" t="s">
        <v>354</v>
      </c>
      <c r="F121" s="3">
        <v>12357</v>
      </c>
      <c r="G121" s="3">
        <v>716</v>
      </c>
      <c r="H121" s="3">
        <v>599</v>
      </c>
      <c r="I121" s="3">
        <v>999</v>
      </c>
      <c r="J121" s="3">
        <v>89591</v>
      </c>
      <c r="K121" s="3">
        <v>116367</v>
      </c>
      <c r="L121" s="6" t="s">
        <v>16</v>
      </c>
    </row>
    <row r="122" spans="1:12" x14ac:dyDescent="0.3">
      <c r="A122" s="5" t="s">
        <v>99</v>
      </c>
      <c r="B122" s="3" t="s">
        <v>22</v>
      </c>
      <c r="C122" s="2">
        <v>45521</v>
      </c>
      <c r="D122" s="3" t="s">
        <v>27</v>
      </c>
      <c r="E122" s="3" t="s">
        <v>32</v>
      </c>
      <c r="F122" s="3">
        <v>19154</v>
      </c>
      <c r="G122" s="3">
        <v>1064</v>
      </c>
      <c r="H122" s="3">
        <v>650</v>
      </c>
      <c r="I122" s="3">
        <v>747</v>
      </c>
      <c r="J122" s="3">
        <v>42667</v>
      </c>
      <c r="K122" s="3">
        <v>242332</v>
      </c>
      <c r="L122" s="6" t="s">
        <v>25</v>
      </c>
    </row>
    <row r="123" spans="1:12" x14ac:dyDescent="0.3">
      <c r="A123" s="5" t="s">
        <v>100</v>
      </c>
      <c r="B123" s="3" t="s">
        <v>13</v>
      </c>
      <c r="C123" s="2">
        <v>45744</v>
      </c>
      <c r="D123" s="3" t="s">
        <v>23</v>
      </c>
      <c r="E123" s="3" t="s">
        <v>353</v>
      </c>
      <c r="F123" s="3">
        <v>6363</v>
      </c>
      <c r="G123" s="3">
        <v>1341</v>
      </c>
      <c r="H123" s="3">
        <v>222</v>
      </c>
      <c r="I123" s="3">
        <v>2712</v>
      </c>
      <c r="J123" s="3">
        <v>19987</v>
      </c>
      <c r="K123" s="3">
        <v>160585</v>
      </c>
      <c r="L123" s="6" t="s">
        <v>25</v>
      </c>
    </row>
    <row r="124" spans="1:12" x14ac:dyDescent="0.3">
      <c r="A124" s="5" t="s">
        <v>100</v>
      </c>
      <c r="B124" s="3" t="s">
        <v>13</v>
      </c>
      <c r="C124" s="2">
        <v>45744</v>
      </c>
      <c r="D124" s="3" t="s">
        <v>23</v>
      </c>
      <c r="E124" s="3" t="s">
        <v>354</v>
      </c>
      <c r="F124" s="3">
        <v>6363</v>
      </c>
      <c r="G124" s="3">
        <v>1341</v>
      </c>
      <c r="H124" s="3">
        <v>222</v>
      </c>
      <c r="I124" s="3">
        <v>2712</v>
      </c>
      <c r="J124" s="3">
        <v>19987</v>
      </c>
      <c r="K124" s="3">
        <v>160585</v>
      </c>
      <c r="L124" s="6" t="s">
        <v>25</v>
      </c>
    </row>
    <row r="125" spans="1:12" x14ac:dyDescent="0.3">
      <c r="A125" s="5" t="s">
        <v>101</v>
      </c>
      <c r="B125" s="3" t="s">
        <v>40</v>
      </c>
      <c r="C125" s="2">
        <v>45499</v>
      </c>
      <c r="D125" s="3" t="s">
        <v>23</v>
      </c>
      <c r="E125" s="3" t="s">
        <v>363</v>
      </c>
      <c r="F125" s="3">
        <v>12176</v>
      </c>
      <c r="G125" s="3">
        <v>1005</v>
      </c>
      <c r="H125" s="3">
        <v>862</v>
      </c>
      <c r="I125" s="3">
        <v>974</v>
      </c>
      <c r="J125" s="3">
        <v>2285</v>
      </c>
      <c r="K125" s="3">
        <v>116619</v>
      </c>
      <c r="L125" s="6" t="s">
        <v>29</v>
      </c>
    </row>
    <row r="126" spans="1:12" x14ac:dyDescent="0.3">
      <c r="A126" s="5" t="s">
        <v>101</v>
      </c>
      <c r="B126" s="3" t="s">
        <v>40</v>
      </c>
      <c r="C126" s="2">
        <v>45499</v>
      </c>
      <c r="D126" s="3" t="s">
        <v>23</v>
      </c>
      <c r="E126" s="3" t="s">
        <v>364</v>
      </c>
      <c r="F126" s="3">
        <v>12176</v>
      </c>
      <c r="G126" s="3">
        <v>1005</v>
      </c>
      <c r="H126" s="3">
        <v>862</v>
      </c>
      <c r="I126" s="3">
        <v>974</v>
      </c>
      <c r="J126" s="3">
        <v>2285</v>
      </c>
      <c r="K126" s="3">
        <v>116619</v>
      </c>
      <c r="L126" s="6" t="s">
        <v>29</v>
      </c>
    </row>
    <row r="127" spans="1:12" x14ac:dyDescent="0.3">
      <c r="A127" s="5" t="s">
        <v>102</v>
      </c>
      <c r="B127" s="3" t="s">
        <v>18</v>
      </c>
      <c r="C127" s="2">
        <v>45745</v>
      </c>
      <c r="D127" s="3" t="s">
        <v>27</v>
      </c>
      <c r="E127" s="3" t="s">
        <v>363</v>
      </c>
      <c r="F127" s="3">
        <v>19461</v>
      </c>
      <c r="G127" s="3">
        <v>1382</v>
      </c>
      <c r="H127" s="3">
        <v>445</v>
      </c>
      <c r="I127" s="3">
        <v>1307</v>
      </c>
      <c r="J127" s="3">
        <v>84691</v>
      </c>
      <c r="K127" s="3">
        <v>151453</v>
      </c>
      <c r="L127" s="6" t="s">
        <v>29</v>
      </c>
    </row>
    <row r="128" spans="1:12" x14ac:dyDescent="0.3">
      <c r="A128" s="5" t="s">
        <v>102</v>
      </c>
      <c r="B128" s="3" t="s">
        <v>18</v>
      </c>
      <c r="C128" s="2">
        <v>45745</v>
      </c>
      <c r="D128" s="3" t="s">
        <v>27</v>
      </c>
      <c r="E128" s="3" t="s">
        <v>364</v>
      </c>
      <c r="F128" s="3">
        <v>19461</v>
      </c>
      <c r="G128" s="3">
        <v>1382</v>
      </c>
      <c r="H128" s="3">
        <v>445</v>
      </c>
      <c r="I128" s="3">
        <v>1307</v>
      </c>
      <c r="J128" s="3">
        <v>84691</v>
      </c>
      <c r="K128" s="3">
        <v>151453</v>
      </c>
      <c r="L128" s="6" t="s">
        <v>29</v>
      </c>
    </row>
    <row r="129" spans="1:12" x14ac:dyDescent="0.3">
      <c r="A129" s="5" t="s">
        <v>103</v>
      </c>
      <c r="B129" s="3" t="s">
        <v>22</v>
      </c>
      <c r="C129" s="2">
        <v>45634</v>
      </c>
      <c r="D129" s="3" t="s">
        <v>27</v>
      </c>
      <c r="E129" s="3" t="s">
        <v>355</v>
      </c>
      <c r="F129" s="3">
        <v>10427</v>
      </c>
      <c r="G129" s="3">
        <v>1014</v>
      </c>
      <c r="H129" s="3">
        <v>166</v>
      </c>
      <c r="I129" s="3">
        <v>1649</v>
      </c>
      <c r="J129" s="3">
        <v>15145</v>
      </c>
      <c r="K129" s="3">
        <v>59816</v>
      </c>
      <c r="L129" s="6" t="s">
        <v>25</v>
      </c>
    </row>
    <row r="130" spans="1:12" x14ac:dyDescent="0.3">
      <c r="A130" s="5" t="s">
        <v>103</v>
      </c>
      <c r="B130" s="3" t="s">
        <v>22</v>
      </c>
      <c r="C130" s="2">
        <v>45634</v>
      </c>
      <c r="D130" s="3" t="s">
        <v>27</v>
      </c>
      <c r="E130" s="3" t="s">
        <v>356</v>
      </c>
      <c r="F130" s="3">
        <v>10427</v>
      </c>
      <c r="G130" s="3">
        <v>1014</v>
      </c>
      <c r="H130" s="3">
        <v>166</v>
      </c>
      <c r="I130" s="3">
        <v>1649</v>
      </c>
      <c r="J130" s="3">
        <v>15145</v>
      </c>
      <c r="K130" s="3">
        <v>59816</v>
      </c>
      <c r="L130" s="6" t="s">
        <v>25</v>
      </c>
    </row>
    <row r="131" spans="1:12" x14ac:dyDescent="0.3">
      <c r="A131" s="5" t="s">
        <v>104</v>
      </c>
      <c r="B131" s="3" t="s">
        <v>18</v>
      </c>
      <c r="C131" s="2">
        <v>45724</v>
      </c>
      <c r="D131" s="3" t="s">
        <v>23</v>
      </c>
      <c r="E131" s="3" t="s">
        <v>363</v>
      </c>
      <c r="F131" s="3">
        <v>10580</v>
      </c>
      <c r="G131" s="3">
        <v>427</v>
      </c>
      <c r="H131" s="3">
        <v>790</v>
      </c>
      <c r="I131" s="3">
        <v>2814</v>
      </c>
      <c r="J131" s="3">
        <v>24916</v>
      </c>
      <c r="K131" s="3">
        <v>213312</v>
      </c>
      <c r="L131" s="6" t="s">
        <v>45</v>
      </c>
    </row>
    <row r="132" spans="1:12" x14ac:dyDescent="0.3">
      <c r="A132" s="5" t="s">
        <v>104</v>
      </c>
      <c r="B132" s="3" t="s">
        <v>18</v>
      </c>
      <c r="C132" s="2">
        <v>45724</v>
      </c>
      <c r="D132" s="3" t="s">
        <v>23</v>
      </c>
      <c r="E132" s="3" t="s">
        <v>364</v>
      </c>
      <c r="F132" s="3">
        <v>10580</v>
      </c>
      <c r="G132" s="3">
        <v>427</v>
      </c>
      <c r="H132" s="3">
        <v>790</v>
      </c>
      <c r="I132" s="3">
        <v>2814</v>
      </c>
      <c r="J132" s="3">
        <v>24916</v>
      </c>
      <c r="K132" s="3">
        <v>213312</v>
      </c>
      <c r="L132" s="6" t="s">
        <v>45</v>
      </c>
    </row>
    <row r="133" spans="1:12" x14ac:dyDescent="0.3">
      <c r="A133" s="5" t="s">
        <v>105</v>
      </c>
      <c r="B133" s="3" t="s">
        <v>40</v>
      </c>
      <c r="C133" s="2">
        <v>45749</v>
      </c>
      <c r="D133" s="3" t="s">
        <v>23</v>
      </c>
      <c r="E133" s="3" t="s">
        <v>365</v>
      </c>
      <c r="F133" s="3">
        <v>6858</v>
      </c>
      <c r="G133" s="3">
        <v>415</v>
      </c>
      <c r="H133" s="3">
        <v>366</v>
      </c>
      <c r="I133" s="3">
        <v>2761</v>
      </c>
      <c r="J133" s="3">
        <v>2988</v>
      </c>
      <c r="K133" s="3">
        <v>177348</v>
      </c>
      <c r="L133" s="6" t="s">
        <v>16</v>
      </c>
    </row>
    <row r="134" spans="1:12" x14ac:dyDescent="0.3">
      <c r="A134" s="5" t="s">
        <v>105</v>
      </c>
      <c r="B134" s="3" t="s">
        <v>40</v>
      </c>
      <c r="C134" s="2">
        <v>45749</v>
      </c>
      <c r="D134" s="3" t="s">
        <v>23</v>
      </c>
      <c r="E134" s="3" t="s">
        <v>359</v>
      </c>
      <c r="F134" s="3">
        <v>6858</v>
      </c>
      <c r="G134" s="3">
        <v>415</v>
      </c>
      <c r="H134" s="3">
        <v>366</v>
      </c>
      <c r="I134" s="3">
        <v>2761</v>
      </c>
      <c r="J134" s="3">
        <v>2988</v>
      </c>
      <c r="K134" s="3">
        <v>177348</v>
      </c>
      <c r="L134" s="6" t="s">
        <v>16</v>
      </c>
    </row>
    <row r="135" spans="1:12" x14ac:dyDescent="0.3">
      <c r="A135" s="5" t="s">
        <v>106</v>
      </c>
      <c r="B135" s="3" t="s">
        <v>40</v>
      </c>
      <c r="C135" s="2">
        <v>45537</v>
      </c>
      <c r="D135" s="3" t="s">
        <v>34</v>
      </c>
      <c r="E135" s="3" t="s">
        <v>359</v>
      </c>
      <c r="F135" s="3">
        <v>12040</v>
      </c>
      <c r="G135" s="3">
        <v>1147</v>
      </c>
      <c r="H135" s="3">
        <v>210</v>
      </c>
      <c r="I135" s="3">
        <v>885</v>
      </c>
      <c r="J135" s="3">
        <v>30360</v>
      </c>
      <c r="K135" s="3">
        <v>119530</v>
      </c>
      <c r="L135" s="6" t="s">
        <v>29</v>
      </c>
    </row>
    <row r="136" spans="1:12" x14ac:dyDescent="0.3">
      <c r="A136" s="5" t="s">
        <v>106</v>
      </c>
      <c r="B136" s="3" t="s">
        <v>40</v>
      </c>
      <c r="C136" s="2">
        <v>45537</v>
      </c>
      <c r="D136" s="3" t="s">
        <v>34</v>
      </c>
      <c r="E136" s="3" t="s">
        <v>360</v>
      </c>
      <c r="F136" s="3">
        <v>12040</v>
      </c>
      <c r="G136" s="3">
        <v>1147</v>
      </c>
      <c r="H136" s="3">
        <v>210</v>
      </c>
      <c r="I136" s="3">
        <v>885</v>
      </c>
      <c r="J136" s="3">
        <v>30360</v>
      </c>
      <c r="K136" s="3">
        <v>119530</v>
      </c>
      <c r="L136" s="6" t="s">
        <v>29</v>
      </c>
    </row>
    <row r="137" spans="1:12" x14ac:dyDescent="0.3">
      <c r="A137" s="5" t="s">
        <v>107</v>
      </c>
      <c r="B137" s="3" t="s">
        <v>40</v>
      </c>
      <c r="C137" s="2">
        <v>45719</v>
      </c>
      <c r="D137" s="3" t="s">
        <v>34</v>
      </c>
      <c r="E137" s="3" t="s">
        <v>359</v>
      </c>
      <c r="F137" s="3">
        <v>24928</v>
      </c>
      <c r="G137" s="3">
        <v>214</v>
      </c>
      <c r="H137" s="3">
        <v>765</v>
      </c>
      <c r="I137" s="3">
        <v>1556</v>
      </c>
      <c r="J137" s="3">
        <v>5239</v>
      </c>
      <c r="K137" s="3">
        <v>194571</v>
      </c>
      <c r="L137" s="6" t="s">
        <v>45</v>
      </c>
    </row>
    <row r="138" spans="1:12" x14ac:dyDescent="0.3">
      <c r="A138" s="5" t="s">
        <v>107</v>
      </c>
      <c r="B138" s="3" t="s">
        <v>40</v>
      </c>
      <c r="C138" s="2">
        <v>45719</v>
      </c>
      <c r="D138" s="3" t="s">
        <v>34</v>
      </c>
      <c r="E138" s="3" t="s">
        <v>366</v>
      </c>
      <c r="F138" s="3">
        <v>24928</v>
      </c>
      <c r="G138" s="3">
        <v>214</v>
      </c>
      <c r="H138" s="3">
        <v>765</v>
      </c>
      <c r="I138" s="3">
        <v>1556</v>
      </c>
      <c r="J138" s="3">
        <v>5239</v>
      </c>
      <c r="K138" s="3">
        <v>194571</v>
      </c>
      <c r="L138" s="6" t="s">
        <v>45</v>
      </c>
    </row>
    <row r="139" spans="1:12" x14ac:dyDescent="0.3">
      <c r="A139" s="5" t="s">
        <v>108</v>
      </c>
      <c r="B139" s="3" t="s">
        <v>22</v>
      </c>
      <c r="C139" s="2">
        <v>45921</v>
      </c>
      <c r="D139" s="3" t="s">
        <v>27</v>
      </c>
      <c r="E139" s="3" t="s">
        <v>353</v>
      </c>
      <c r="F139" s="3">
        <v>23103</v>
      </c>
      <c r="G139" s="3">
        <v>1380</v>
      </c>
      <c r="H139" s="3">
        <v>191</v>
      </c>
      <c r="I139" s="3">
        <v>1547</v>
      </c>
      <c r="J139" s="3">
        <v>77798</v>
      </c>
      <c r="K139" s="3">
        <v>148856</v>
      </c>
      <c r="L139" s="6" t="s">
        <v>20</v>
      </c>
    </row>
    <row r="140" spans="1:12" x14ac:dyDescent="0.3">
      <c r="A140" s="5" t="s">
        <v>108</v>
      </c>
      <c r="B140" s="3" t="s">
        <v>22</v>
      </c>
      <c r="C140" s="2">
        <v>45921</v>
      </c>
      <c r="D140" s="3" t="s">
        <v>27</v>
      </c>
      <c r="E140" s="3" t="s">
        <v>354</v>
      </c>
      <c r="F140" s="3">
        <v>23103</v>
      </c>
      <c r="G140" s="3">
        <v>1380</v>
      </c>
      <c r="H140" s="3">
        <v>191</v>
      </c>
      <c r="I140" s="3">
        <v>1547</v>
      </c>
      <c r="J140" s="3">
        <v>77798</v>
      </c>
      <c r="K140" s="3">
        <v>148856</v>
      </c>
      <c r="L140" s="6" t="s">
        <v>20</v>
      </c>
    </row>
    <row r="141" spans="1:12" x14ac:dyDescent="0.3">
      <c r="A141" s="5" t="s">
        <v>109</v>
      </c>
      <c r="B141" s="3" t="s">
        <v>40</v>
      </c>
      <c r="C141" s="2">
        <v>45593</v>
      </c>
      <c r="D141" s="3" t="s">
        <v>34</v>
      </c>
      <c r="E141" s="3" t="s">
        <v>359</v>
      </c>
      <c r="F141" s="3">
        <v>21198</v>
      </c>
      <c r="G141" s="3">
        <v>1484</v>
      </c>
      <c r="H141" s="3">
        <v>174</v>
      </c>
      <c r="I141" s="3">
        <v>1293</v>
      </c>
      <c r="J141" s="3">
        <v>16330</v>
      </c>
      <c r="K141" s="3">
        <v>111635</v>
      </c>
      <c r="L141" s="6" t="s">
        <v>29</v>
      </c>
    </row>
    <row r="142" spans="1:12" x14ac:dyDescent="0.3">
      <c r="A142" s="5" t="s">
        <v>109</v>
      </c>
      <c r="B142" s="3" t="s">
        <v>40</v>
      </c>
      <c r="C142" s="2">
        <v>45593</v>
      </c>
      <c r="D142" s="3" t="s">
        <v>34</v>
      </c>
      <c r="E142" s="3" t="s">
        <v>360</v>
      </c>
      <c r="F142" s="3">
        <v>21198</v>
      </c>
      <c r="G142" s="3">
        <v>1484</v>
      </c>
      <c r="H142" s="3">
        <v>174</v>
      </c>
      <c r="I142" s="3">
        <v>1293</v>
      </c>
      <c r="J142" s="3">
        <v>16330</v>
      </c>
      <c r="K142" s="3">
        <v>111635</v>
      </c>
      <c r="L142" s="6" t="s">
        <v>29</v>
      </c>
    </row>
    <row r="143" spans="1:12" x14ac:dyDescent="0.3">
      <c r="A143" s="5" t="s">
        <v>110</v>
      </c>
      <c r="B143" s="3" t="s">
        <v>22</v>
      </c>
      <c r="C143" s="2">
        <v>45505</v>
      </c>
      <c r="D143" s="3" t="s">
        <v>14</v>
      </c>
      <c r="E143" s="3" t="s">
        <v>357</v>
      </c>
      <c r="F143" s="3">
        <v>21758</v>
      </c>
      <c r="G143" s="3">
        <v>1380</v>
      </c>
      <c r="H143" s="3">
        <v>188</v>
      </c>
      <c r="I143" s="3">
        <v>1735</v>
      </c>
      <c r="J143" s="3">
        <v>20998</v>
      </c>
      <c r="K143" s="3">
        <v>147803</v>
      </c>
      <c r="L143" s="6" t="s">
        <v>45</v>
      </c>
    </row>
    <row r="144" spans="1:12" x14ac:dyDescent="0.3">
      <c r="A144" s="5" t="s">
        <v>110</v>
      </c>
      <c r="B144" s="3" t="s">
        <v>22</v>
      </c>
      <c r="C144" s="2">
        <v>45505</v>
      </c>
      <c r="D144" s="3" t="s">
        <v>14</v>
      </c>
      <c r="E144" s="3" t="s">
        <v>358</v>
      </c>
      <c r="F144" s="3">
        <v>21758</v>
      </c>
      <c r="G144" s="3">
        <v>1380</v>
      </c>
      <c r="H144" s="3">
        <v>188</v>
      </c>
      <c r="I144" s="3">
        <v>1735</v>
      </c>
      <c r="J144" s="3">
        <v>20998</v>
      </c>
      <c r="K144" s="3">
        <v>147803</v>
      </c>
      <c r="L144" s="6" t="s">
        <v>45</v>
      </c>
    </row>
    <row r="145" spans="1:12" x14ac:dyDescent="0.3">
      <c r="A145" s="5" t="s">
        <v>111</v>
      </c>
      <c r="B145" s="3" t="s">
        <v>40</v>
      </c>
      <c r="C145" s="2">
        <v>45603</v>
      </c>
      <c r="D145" s="3" t="s">
        <v>34</v>
      </c>
      <c r="E145" s="3" t="s">
        <v>32</v>
      </c>
      <c r="F145" s="3">
        <v>17254</v>
      </c>
      <c r="G145" s="3">
        <v>246</v>
      </c>
      <c r="H145" s="3">
        <v>952</v>
      </c>
      <c r="I145" s="3">
        <v>871</v>
      </c>
      <c r="J145" s="3">
        <v>14957</v>
      </c>
      <c r="K145" s="3">
        <v>75946</v>
      </c>
      <c r="L145" s="6" t="s">
        <v>45</v>
      </c>
    </row>
    <row r="146" spans="1:12" x14ac:dyDescent="0.3">
      <c r="A146" s="5" t="s">
        <v>112</v>
      </c>
      <c r="B146" s="3" t="s">
        <v>18</v>
      </c>
      <c r="C146" s="2">
        <v>45720</v>
      </c>
      <c r="D146" s="3" t="s">
        <v>34</v>
      </c>
      <c r="E146" s="3" t="s">
        <v>365</v>
      </c>
      <c r="F146" s="3">
        <v>13470</v>
      </c>
      <c r="G146" s="3">
        <v>523</v>
      </c>
      <c r="H146" s="3">
        <v>280</v>
      </c>
      <c r="I146" s="3">
        <v>2682</v>
      </c>
      <c r="J146" s="3">
        <v>8538</v>
      </c>
      <c r="K146" s="3">
        <v>95204</v>
      </c>
      <c r="L146" s="6" t="s">
        <v>16</v>
      </c>
    </row>
    <row r="147" spans="1:12" x14ac:dyDescent="0.3">
      <c r="A147" s="5" t="s">
        <v>112</v>
      </c>
      <c r="B147" s="3" t="s">
        <v>18</v>
      </c>
      <c r="C147" s="2">
        <v>45720</v>
      </c>
      <c r="D147" s="3" t="s">
        <v>34</v>
      </c>
      <c r="E147" s="3" t="s">
        <v>359</v>
      </c>
      <c r="F147" s="3">
        <v>13470</v>
      </c>
      <c r="G147" s="3">
        <v>523</v>
      </c>
      <c r="H147" s="3">
        <v>280</v>
      </c>
      <c r="I147" s="3">
        <v>2682</v>
      </c>
      <c r="J147" s="3">
        <v>8538</v>
      </c>
      <c r="K147" s="3">
        <v>95204</v>
      </c>
      <c r="L147" s="6" t="s">
        <v>16</v>
      </c>
    </row>
    <row r="148" spans="1:12" x14ac:dyDescent="0.3">
      <c r="A148" s="5" t="s">
        <v>113</v>
      </c>
      <c r="B148" s="3" t="s">
        <v>18</v>
      </c>
      <c r="C148" s="2">
        <v>45460</v>
      </c>
      <c r="D148" s="3" t="s">
        <v>14</v>
      </c>
      <c r="E148" s="3" t="s">
        <v>361</v>
      </c>
      <c r="F148" s="3">
        <v>3252</v>
      </c>
      <c r="G148" s="3">
        <v>1043</v>
      </c>
      <c r="H148" s="3">
        <v>647</v>
      </c>
      <c r="I148" s="3">
        <v>1545</v>
      </c>
      <c r="J148" s="3">
        <v>18859</v>
      </c>
      <c r="K148" s="3">
        <v>222958</v>
      </c>
      <c r="L148" s="6" t="s">
        <v>16</v>
      </c>
    </row>
    <row r="149" spans="1:12" x14ac:dyDescent="0.3">
      <c r="A149" s="5" t="s">
        <v>113</v>
      </c>
      <c r="B149" s="3" t="s">
        <v>18</v>
      </c>
      <c r="C149" s="2">
        <v>45460</v>
      </c>
      <c r="D149" s="3" t="s">
        <v>14</v>
      </c>
      <c r="E149" s="3" t="s">
        <v>362</v>
      </c>
      <c r="F149" s="3">
        <v>3252</v>
      </c>
      <c r="G149" s="3">
        <v>1043</v>
      </c>
      <c r="H149" s="3">
        <v>647</v>
      </c>
      <c r="I149" s="3">
        <v>1545</v>
      </c>
      <c r="J149" s="3">
        <v>18859</v>
      </c>
      <c r="K149" s="3">
        <v>222958</v>
      </c>
      <c r="L149" s="6" t="s">
        <v>16</v>
      </c>
    </row>
    <row r="150" spans="1:12" x14ac:dyDescent="0.3">
      <c r="A150" s="5" t="s">
        <v>114</v>
      </c>
      <c r="B150" s="3" t="s">
        <v>13</v>
      </c>
      <c r="C150" s="2">
        <v>45922</v>
      </c>
      <c r="D150" s="3" t="s">
        <v>27</v>
      </c>
      <c r="E150" s="3" t="s">
        <v>368</v>
      </c>
      <c r="F150" s="3">
        <v>8996</v>
      </c>
      <c r="G150" s="3">
        <v>329</v>
      </c>
      <c r="H150" s="3">
        <v>378</v>
      </c>
      <c r="I150" s="3">
        <v>2384</v>
      </c>
      <c r="J150" s="3">
        <v>39404</v>
      </c>
      <c r="K150" s="3">
        <v>242724</v>
      </c>
      <c r="L150" s="6" t="s">
        <v>20</v>
      </c>
    </row>
    <row r="151" spans="1:12" x14ac:dyDescent="0.3">
      <c r="A151" s="5" t="s">
        <v>114</v>
      </c>
      <c r="B151" s="3" t="s">
        <v>13</v>
      </c>
      <c r="C151" s="2">
        <v>45922</v>
      </c>
      <c r="D151" s="3" t="s">
        <v>27</v>
      </c>
      <c r="E151" s="3" t="s">
        <v>369</v>
      </c>
      <c r="F151" s="3">
        <v>8996</v>
      </c>
      <c r="G151" s="3">
        <v>329</v>
      </c>
      <c r="H151" s="3">
        <v>378</v>
      </c>
      <c r="I151" s="3">
        <v>2384</v>
      </c>
      <c r="J151" s="3">
        <v>39404</v>
      </c>
      <c r="K151" s="3">
        <v>242724</v>
      </c>
      <c r="L151" s="6" t="s">
        <v>20</v>
      </c>
    </row>
    <row r="152" spans="1:12" x14ac:dyDescent="0.3">
      <c r="A152" s="5" t="s">
        <v>116</v>
      </c>
      <c r="B152" s="3" t="s">
        <v>18</v>
      </c>
      <c r="C152" s="2">
        <v>45456</v>
      </c>
      <c r="D152" s="3" t="s">
        <v>14</v>
      </c>
      <c r="E152" s="3" t="s">
        <v>353</v>
      </c>
      <c r="F152" s="3">
        <v>14173</v>
      </c>
      <c r="G152" s="3">
        <v>294</v>
      </c>
      <c r="H152" s="3">
        <v>257</v>
      </c>
      <c r="I152" s="3">
        <v>1288</v>
      </c>
      <c r="J152" s="3">
        <v>39466</v>
      </c>
      <c r="K152" s="3">
        <v>55563</v>
      </c>
      <c r="L152" s="6" t="s">
        <v>45</v>
      </c>
    </row>
    <row r="153" spans="1:12" x14ac:dyDescent="0.3">
      <c r="A153" s="5" t="s">
        <v>116</v>
      </c>
      <c r="B153" s="3" t="s">
        <v>18</v>
      </c>
      <c r="C153" s="2">
        <v>45456</v>
      </c>
      <c r="D153" s="3" t="s">
        <v>14</v>
      </c>
      <c r="E153" s="3" t="s">
        <v>354</v>
      </c>
      <c r="F153" s="3">
        <v>14173</v>
      </c>
      <c r="G153" s="3">
        <v>294</v>
      </c>
      <c r="H153" s="3">
        <v>257</v>
      </c>
      <c r="I153" s="3">
        <v>1288</v>
      </c>
      <c r="J153" s="3">
        <v>39466</v>
      </c>
      <c r="K153" s="3">
        <v>55563</v>
      </c>
      <c r="L153" s="6" t="s">
        <v>45</v>
      </c>
    </row>
    <row r="154" spans="1:12" x14ac:dyDescent="0.3">
      <c r="A154" s="5" t="s">
        <v>117</v>
      </c>
      <c r="B154" s="3" t="s">
        <v>13</v>
      </c>
      <c r="C154" s="2">
        <v>45584</v>
      </c>
      <c r="D154" s="3" t="s">
        <v>34</v>
      </c>
      <c r="E154" s="3" t="s">
        <v>359</v>
      </c>
      <c r="F154" s="3">
        <v>6673</v>
      </c>
      <c r="G154" s="3">
        <v>826</v>
      </c>
      <c r="H154" s="3">
        <v>321</v>
      </c>
      <c r="I154" s="3">
        <v>577</v>
      </c>
      <c r="J154" s="3">
        <v>19262</v>
      </c>
      <c r="K154" s="3">
        <v>132324</v>
      </c>
      <c r="L154" s="6" t="s">
        <v>45</v>
      </c>
    </row>
    <row r="155" spans="1:12" x14ac:dyDescent="0.3">
      <c r="A155" s="5" t="s">
        <v>117</v>
      </c>
      <c r="B155" s="3" t="s">
        <v>13</v>
      </c>
      <c r="C155" s="2">
        <v>45584</v>
      </c>
      <c r="D155" s="3" t="s">
        <v>34</v>
      </c>
      <c r="E155" s="3" t="s">
        <v>360</v>
      </c>
      <c r="F155" s="3">
        <v>6673</v>
      </c>
      <c r="G155" s="3">
        <v>826</v>
      </c>
      <c r="H155" s="3">
        <v>321</v>
      </c>
      <c r="I155" s="3">
        <v>577</v>
      </c>
      <c r="J155" s="3">
        <v>19262</v>
      </c>
      <c r="K155" s="3">
        <v>132324</v>
      </c>
      <c r="L155" s="6" t="s">
        <v>45</v>
      </c>
    </row>
    <row r="156" spans="1:12" x14ac:dyDescent="0.3">
      <c r="A156" s="5" t="s">
        <v>118</v>
      </c>
      <c r="B156" s="3" t="s">
        <v>18</v>
      </c>
      <c r="C156" s="2">
        <v>45497</v>
      </c>
      <c r="D156" s="3" t="s">
        <v>27</v>
      </c>
      <c r="E156" s="3" t="s">
        <v>361</v>
      </c>
      <c r="F156" s="3">
        <v>22914</v>
      </c>
      <c r="G156" s="3">
        <v>954</v>
      </c>
      <c r="H156" s="3">
        <v>584</v>
      </c>
      <c r="I156" s="3">
        <v>1519</v>
      </c>
      <c r="J156" s="3">
        <v>13637</v>
      </c>
      <c r="K156" s="3">
        <v>49847</v>
      </c>
      <c r="L156" s="6" t="s">
        <v>16</v>
      </c>
    </row>
    <row r="157" spans="1:12" x14ac:dyDescent="0.3">
      <c r="A157" s="5" t="s">
        <v>118</v>
      </c>
      <c r="B157" s="3" t="s">
        <v>18</v>
      </c>
      <c r="C157" s="2">
        <v>45497</v>
      </c>
      <c r="D157" s="3" t="s">
        <v>27</v>
      </c>
      <c r="E157" s="3" t="s">
        <v>362</v>
      </c>
      <c r="F157" s="3">
        <v>22914</v>
      </c>
      <c r="G157" s="3">
        <v>954</v>
      </c>
      <c r="H157" s="3">
        <v>584</v>
      </c>
      <c r="I157" s="3">
        <v>1519</v>
      </c>
      <c r="J157" s="3">
        <v>13637</v>
      </c>
      <c r="K157" s="3">
        <v>49847</v>
      </c>
      <c r="L157" s="6" t="s">
        <v>16</v>
      </c>
    </row>
    <row r="158" spans="1:12" x14ac:dyDescent="0.3">
      <c r="A158" s="5" t="s">
        <v>119</v>
      </c>
      <c r="B158" s="3" t="s">
        <v>22</v>
      </c>
      <c r="C158" s="2">
        <v>45580</v>
      </c>
      <c r="D158" s="3" t="s">
        <v>34</v>
      </c>
      <c r="E158" s="3" t="s">
        <v>32</v>
      </c>
      <c r="F158" s="3">
        <v>17781</v>
      </c>
      <c r="G158" s="3">
        <v>993</v>
      </c>
      <c r="H158" s="3">
        <v>627</v>
      </c>
      <c r="I158" s="3">
        <v>2187</v>
      </c>
      <c r="J158" s="3">
        <v>9609</v>
      </c>
      <c r="K158" s="3">
        <v>66155</v>
      </c>
      <c r="L158" s="6" t="s">
        <v>29</v>
      </c>
    </row>
    <row r="159" spans="1:12" x14ac:dyDescent="0.3">
      <c r="A159" s="5" t="s">
        <v>120</v>
      </c>
      <c r="B159" s="3" t="s">
        <v>18</v>
      </c>
      <c r="C159" s="2">
        <v>45635</v>
      </c>
      <c r="D159" s="3" t="s">
        <v>14</v>
      </c>
      <c r="E159" s="3" t="s">
        <v>355</v>
      </c>
      <c r="F159" s="3">
        <v>15051</v>
      </c>
      <c r="G159" s="3">
        <v>268</v>
      </c>
      <c r="H159" s="3">
        <v>251</v>
      </c>
      <c r="I159" s="3">
        <v>783</v>
      </c>
      <c r="J159" s="3">
        <v>34154</v>
      </c>
      <c r="K159" s="3">
        <v>119671</v>
      </c>
      <c r="L159" s="6" t="s">
        <v>29</v>
      </c>
    </row>
    <row r="160" spans="1:12" x14ac:dyDescent="0.3">
      <c r="A160" s="5" t="s">
        <v>120</v>
      </c>
      <c r="B160" s="3" t="s">
        <v>18</v>
      </c>
      <c r="C160" s="2">
        <v>45635</v>
      </c>
      <c r="D160" s="3" t="s">
        <v>14</v>
      </c>
      <c r="E160" s="3" t="s">
        <v>356</v>
      </c>
      <c r="F160" s="3">
        <v>15051</v>
      </c>
      <c r="G160" s="3">
        <v>268</v>
      </c>
      <c r="H160" s="3">
        <v>251</v>
      </c>
      <c r="I160" s="3">
        <v>783</v>
      </c>
      <c r="J160" s="3">
        <v>34154</v>
      </c>
      <c r="K160" s="3">
        <v>119671</v>
      </c>
      <c r="L160" s="6" t="s">
        <v>29</v>
      </c>
    </row>
    <row r="161" spans="1:12" x14ac:dyDescent="0.3">
      <c r="A161" s="5" t="s">
        <v>121</v>
      </c>
      <c r="B161" s="3" t="s">
        <v>13</v>
      </c>
      <c r="C161" s="2">
        <v>45766</v>
      </c>
      <c r="D161" s="3" t="s">
        <v>14</v>
      </c>
      <c r="E161" s="3" t="s">
        <v>361</v>
      </c>
      <c r="F161" s="3">
        <v>8881</v>
      </c>
      <c r="G161" s="3">
        <v>210</v>
      </c>
      <c r="H161" s="3">
        <v>673</v>
      </c>
      <c r="I161" s="3">
        <v>1565</v>
      </c>
      <c r="J161" s="3">
        <v>24847</v>
      </c>
      <c r="K161" s="3">
        <v>156891</v>
      </c>
      <c r="L161" s="6" t="s">
        <v>25</v>
      </c>
    </row>
    <row r="162" spans="1:12" x14ac:dyDescent="0.3">
      <c r="A162" s="5" t="s">
        <v>121</v>
      </c>
      <c r="B162" s="3" t="s">
        <v>13</v>
      </c>
      <c r="C162" s="2">
        <v>45766</v>
      </c>
      <c r="D162" s="3" t="s">
        <v>14</v>
      </c>
      <c r="E162" s="3" t="s">
        <v>362</v>
      </c>
      <c r="F162" s="3">
        <v>8881</v>
      </c>
      <c r="G162" s="3">
        <v>210</v>
      </c>
      <c r="H162" s="3">
        <v>673</v>
      </c>
      <c r="I162" s="3">
        <v>1565</v>
      </c>
      <c r="J162" s="3">
        <v>24847</v>
      </c>
      <c r="K162" s="3">
        <v>156891</v>
      </c>
      <c r="L162" s="6" t="s">
        <v>25</v>
      </c>
    </row>
    <row r="163" spans="1:12" x14ac:dyDescent="0.3">
      <c r="A163" s="5" t="s">
        <v>122</v>
      </c>
      <c r="B163" s="3" t="s">
        <v>13</v>
      </c>
      <c r="C163" s="2">
        <v>45684</v>
      </c>
      <c r="D163" s="3" t="s">
        <v>34</v>
      </c>
      <c r="E163" s="3" t="s">
        <v>365</v>
      </c>
      <c r="F163" s="3">
        <v>8949</v>
      </c>
      <c r="G163" s="3">
        <v>1477</v>
      </c>
      <c r="H163" s="3">
        <v>424</v>
      </c>
      <c r="I163" s="3">
        <v>1030</v>
      </c>
      <c r="J163" s="3">
        <v>58052</v>
      </c>
      <c r="K163" s="3">
        <v>123310</v>
      </c>
      <c r="L163" s="6" t="s">
        <v>16</v>
      </c>
    </row>
    <row r="164" spans="1:12" x14ac:dyDescent="0.3">
      <c r="A164" s="5" t="s">
        <v>122</v>
      </c>
      <c r="B164" s="3" t="s">
        <v>13</v>
      </c>
      <c r="C164" s="2">
        <v>45684</v>
      </c>
      <c r="D164" s="3" t="s">
        <v>34</v>
      </c>
      <c r="E164" s="3" t="s">
        <v>359</v>
      </c>
      <c r="F164" s="3">
        <v>8949</v>
      </c>
      <c r="G164" s="3">
        <v>1477</v>
      </c>
      <c r="H164" s="3">
        <v>424</v>
      </c>
      <c r="I164" s="3">
        <v>1030</v>
      </c>
      <c r="J164" s="3">
        <v>58052</v>
      </c>
      <c r="K164" s="3">
        <v>123310</v>
      </c>
      <c r="L164" s="6" t="s">
        <v>16</v>
      </c>
    </row>
    <row r="165" spans="1:12" x14ac:dyDescent="0.3">
      <c r="A165" s="5" t="s">
        <v>123</v>
      </c>
      <c r="B165" s="3" t="s">
        <v>40</v>
      </c>
      <c r="C165" s="2">
        <v>45449</v>
      </c>
      <c r="D165" s="3" t="s">
        <v>23</v>
      </c>
      <c r="E165" s="3" t="s">
        <v>365</v>
      </c>
      <c r="F165" s="3">
        <v>11521</v>
      </c>
      <c r="G165" s="3">
        <v>1071</v>
      </c>
      <c r="H165" s="3">
        <v>762</v>
      </c>
      <c r="I165" s="3">
        <v>2539</v>
      </c>
      <c r="J165" s="3">
        <v>12701</v>
      </c>
      <c r="K165" s="3">
        <v>238350</v>
      </c>
      <c r="L165" s="6" t="s">
        <v>25</v>
      </c>
    </row>
    <row r="166" spans="1:12" x14ac:dyDescent="0.3">
      <c r="A166" s="5" t="s">
        <v>123</v>
      </c>
      <c r="B166" s="3" t="s">
        <v>40</v>
      </c>
      <c r="C166" s="2">
        <v>45449</v>
      </c>
      <c r="D166" s="3" t="s">
        <v>23</v>
      </c>
      <c r="E166" s="3" t="s">
        <v>359</v>
      </c>
      <c r="F166" s="3">
        <v>11521</v>
      </c>
      <c r="G166" s="3">
        <v>1071</v>
      </c>
      <c r="H166" s="3">
        <v>762</v>
      </c>
      <c r="I166" s="3">
        <v>2539</v>
      </c>
      <c r="J166" s="3">
        <v>12701</v>
      </c>
      <c r="K166" s="3">
        <v>238350</v>
      </c>
      <c r="L166" s="6" t="s">
        <v>25</v>
      </c>
    </row>
    <row r="167" spans="1:12" x14ac:dyDescent="0.3">
      <c r="A167" s="5" t="s">
        <v>124</v>
      </c>
      <c r="B167" s="3" t="s">
        <v>22</v>
      </c>
      <c r="C167" s="2">
        <v>45480</v>
      </c>
      <c r="D167" s="3" t="s">
        <v>23</v>
      </c>
      <c r="E167" s="3" t="s">
        <v>355</v>
      </c>
      <c r="F167" s="3">
        <v>24625</v>
      </c>
      <c r="G167" s="3">
        <v>749</v>
      </c>
      <c r="H167" s="3">
        <v>193</v>
      </c>
      <c r="I167" s="3">
        <v>1340</v>
      </c>
      <c r="J167" s="3">
        <v>4890</v>
      </c>
      <c r="K167" s="3">
        <v>189381</v>
      </c>
      <c r="L167" s="6" t="s">
        <v>16</v>
      </c>
    </row>
    <row r="168" spans="1:12" x14ac:dyDescent="0.3">
      <c r="A168" s="5" t="s">
        <v>124</v>
      </c>
      <c r="B168" s="3" t="s">
        <v>22</v>
      </c>
      <c r="C168" s="2">
        <v>45480</v>
      </c>
      <c r="D168" s="3" t="s">
        <v>23</v>
      </c>
      <c r="E168" s="3" t="s">
        <v>356</v>
      </c>
      <c r="F168" s="3">
        <v>24625</v>
      </c>
      <c r="G168" s="3">
        <v>749</v>
      </c>
      <c r="H168" s="3">
        <v>193</v>
      </c>
      <c r="I168" s="3">
        <v>1340</v>
      </c>
      <c r="J168" s="3">
        <v>4890</v>
      </c>
      <c r="K168" s="3">
        <v>189381</v>
      </c>
      <c r="L168" s="6" t="s">
        <v>16</v>
      </c>
    </row>
    <row r="169" spans="1:12" x14ac:dyDescent="0.3">
      <c r="A169" s="5" t="s">
        <v>125</v>
      </c>
      <c r="B169" s="3" t="s">
        <v>18</v>
      </c>
      <c r="C169" s="2">
        <v>45923</v>
      </c>
      <c r="D169" s="3" t="s">
        <v>14</v>
      </c>
      <c r="E169" s="3" t="s">
        <v>368</v>
      </c>
      <c r="F169" s="3">
        <v>10017</v>
      </c>
      <c r="G169" s="3">
        <v>1357</v>
      </c>
      <c r="H169" s="3">
        <v>966</v>
      </c>
      <c r="I169" s="3">
        <v>2871</v>
      </c>
      <c r="J169" s="3">
        <v>14800</v>
      </c>
      <c r="K169" s="3">
        <v>171691</v>
      </c>
      <c r="L169" s="6" t="s">
        <v>20</v>
      </c>
    </row>
    <row r="170" spans="1:12" x14ac:dyDescent="0.3">
      <c r="A170" s="5" t="s">
        <v>125</v>
      </c>
      <c r="B170" s="3" t="s">
        <v>18</v>
      </c>
      <c r="C170" s="2">
        <v>45923</v>
      </c>
      <c r="D170" s="3" t="s">
        <v>14</v>
      </c>
      <c r="E170" s="3" t="s">
        <v>369</v>
      </c>
      <c r="F170" s="3">
        <v>10017</v>
      </c>
      <c r="G170" s="3">
        <v>1357</v>
      </c>
      <c r="H170" s="3">
        <v>966</v>
      </c>
      <c r="I170" s="3">
        <v>2871</v>
      </c>
      <c r="J170" s="3">
        <v>14800</v>
      </c>
      <c r="K170" s="3">
        <v>171691</v>
      </c>
      <c r="L170" s="6" t="s">
        <v>20</v>
      </c>
    </row>
    <row r="171" spans="1:12" x14ac:dyDescent="0.3">
      <c r="A171" s="5" t="s">
        <v>126</v>
      </c>
      <c r="B171" s="3" t="s">
        <v>40</v>
      </c>
      <c r="C171" s="2">
        <v>45446</v>
      </c>
      <c r="D171" s="3" t="s">
        <v>14</v>
      </c>
      <c r="E171" s="3" t="s">
        <v>359</v>
      </c>
      <c r="F171" s="3">
        <v>8941</v>
      </c>
      <c r="G171" s="3">
        <v>911</v>
      </c>
      <c r="H171" s="3">
        <v>166</v>
      </c>
      <c r="I171" s="3">
        <v>1217</v>
      </c>
      <c r="J171" s="3">
        <v>68817</v>
      </c>
      <c r="K171" s="3">
        <v>221180</v>
      </c>
      <c r="L171" s="6" t="s">
        <v>45</v>
      </c>
    </row>
    <row r="172" spans="1:12" x14ac:dyDescent="0.3">
      <c r="A172" s="5" t="s">
        <v>126</v>
      </c>
      <c r="B172" s="3" t="s">
        <v>40</v>
      </c>
      <c r="C172" s="2">
        <v>45446</v>
      </c>
      <c r="D172" s="3" t="s">
        <v>14</v>
      </c>
      <c r="E172" s="3" t="s">
        <v>366</v>
      </c>
      <c r="F172" s="3">
        <v>8941</v>
      </c>
      <c r="G172" s="3">
        <v>911</v>
      </c>
      <c r="H172" s="3">
        <v>166</v>
      </c>
      <c r="I172" s="3">
        <v>1217</v>
      </c>
      <c r="J172" s="3">
        <v>68817</v>
      </c>
      <c r="K172" s="3">
        <v>221180</v>
      </c>
      <c r="L172" s="6" t="s">
        <v>45</v>
      </c>
    </row>
    <row r="173" spans="1:12" x14ac:dyDescent="0.3">
      <c r="A173" s="5" t="s">
        <v>127</v>
      </c>
      <c r="B173" s="3" t="s">
        <v>18</v>
      </c>
      <c r="C173" s="2">
        <v>45924</v>
      </c>
      <c r="D173" s="3" t="s">
        <v>23</v>
      </c>
      <c r="E173" s="3" t="s">
        <v>361</v>
      </c>
      <c r="F173" s="3">
        <v>12209</v>
      </c>
      <c r="G173" s="3">
        <v>222</v>
      </c>
      <c r="H173" s="3">
        <v>479</v>
      </c>
      <c r="I173" s="3">
        <v>2748</v>
      </c>
      <c r="J173" s="3">
        <v>24615</v>
      </c>
      <c r="K173" s="3">
        <v>74707</v>
      </c>
      <c r="L173" s="6" t="s">
        <v>20</v>
      </c>
    </row>
    <row r="174" spans="1:12" x14ac:dyDescent="0.3">
      <c r="A174" s="5" t="s">
        <v>127</v>
      </c>
      <c r="B174" s="3" t="s">
        <v>18</v>
      </c>
      <c r="C174" s="2">
        <v>45924</v>
      </c>
      <c r="D174" s="3" t="s">
        <v>23</v>
      </c>
      <c r="E174" s="3" t="s">
        <v>362</v>
      </c>
      <c r="F174" s="3">
        <v>12209</v>
      </c>
      <c r="G174" s="3">
        <v>222</v>
      </c>
      <c r="H174" s="3">
        <v>479</v>
      </c>
      <c r="I174" s="3">
        <v>2748</v>
      </c>
      <c r="J174" s="3">
        <v>24615</v>
      </c>
      <c r="K174" s="3">
        <v>74707</v>
      </c>
      <c r="L174" s="6" t="s">
        <v>20</v>
      </c>
    </row>
    <row r="175" spans="1:12" x14ac:dyDescent="0.3">
      <c r="A175" s="5" t="s">
        <v>128</v>
      </c>
      <c r="B175" s="3" t="s">
        <v>18</v>
      </c>
      <c r="C175" s="2">
        <v>45586</v>
      </c>
      <c r="D175" s="3" t="s">
        <v>23</v>
      </c>
      <c r="E175" s="3" t="s">
        <v>355</v>
      </c>
      <c r="F175" s="3">
        <v>19715</v>
      </c>
      <c r="G175" s="3">
        <v>1014</v>
      </c>
      <c r="H175" s="3">
        <v>718</v>
      </c>
      <c r="I175" s="3">
        <v>1185</v>
      </c>
      <c r="J175" s="3">
        <v>37625</v>
      </c>
      <c r="K175" s="3">
        <v>191409</v>
      </c>
      <c r="L175" s="6" t="s">
        <v>16</v>
      </c>
    </row>
    <row r="176" spans="1:12" x14ac:dyDescent="0.3">
      <c r="A176" s="5" t="s">
        <v>128</v>
      </c>
      <c r="B176" s="3" t="s">
        <v>18</v>
      </c>
      <c r="C176" s="2">
        <v>45586</v>
      </c>
      <c r="D176" s="3" t="s">
        <v>23</v>
      </c>
      <c r="E176" s="3" t="s">
        <v>356</v>
      </c>
      <c r="F176" s="3">
        <v>19715</v>
      </c>
      <c r="G176" s="3">
        <v>1014</v>
      </c>
      <c r="H176" s="3">
        <v>718</v>
      </c>
      <c r="I176" s="3">
        <v>1185</v>
      </c>
      <c r="J176" s="3">
        <v>37625</v>
      </c>
      <c r="K176" s="3">
        <v>191409</v>
      </c>
      <c r="L176" s="6" t="s">
        <v>16</v>
      </c>
    </row>
    <row r="177" spans="1:12" x14ac:dyDescent="0.3">
      <c r="A177" s="5" t="s">
        <v>129</v>
      </c>
      <c r="B177" s="3" t="s">
        <v>40</v>
      </c>
      <c r="C177" s="2">
        <v>45637</v>
      </c>
      <c r="D177" s="3" t="s">
        <v>34</v>
      </c>
      <c r="E177" s="3" t="s">
        <v>365</v>
      </c>
      <c r="F177" s="3">
        <v>22645</v>
      </c>
      <c r="G177" s="3">
        <v>545</v>
      </c>
      <c r="H177" s="3">
        <v>972</v>
      </c>
      <c r="I177" s="3">
        <v>321</v>
      </c>
      <c r="J177" s="3">
        <v>8396</v>
      </c>
      <c r="K177" s="3">
        <v>121537</v>
      </c>
      <c r="L177" s="6" t="s">
        <v>45</v>
      </c>
    </row>
    <row r="178" spans="1:12" x14ac:dyDescent="0.3">
      <c r="A178" s="5" t="s">
        <v>129</v>
      </c>
      <c r="B178" s="3" t="s">
        <v>40</v>
      </c>
      <c r="C178" s="2">
        <v>45637</v>
      </c>
      <c r="D178" s="3" t="s">
        <v>34</v>
      </c>
      <c r="E178" s="3" t="s">
        <v>359</v>
      </c>
      <c r="F178" s="3">
        <v>22645</v>
      </c>
      <c r="G178" s="3">
        <v>545</v>
      </c>
      <c r="H178" s="3">
        <v>972</v>
      </c>
      <c r="I178" s="3">
        <v>321</v>
      </c>
      <c r="J178" s="3">
        <v>8396</v>
      </c>
      <c r="K178" s="3">
        <v>121537</v>
      </c>
      <c r="L178" s="6" t="s">
        <v>45</v>
      </c>
    </row>
    <row r="179" spans="1:12" x14ac:dyDescent="0.3">
      <c r="A179" s="5" t="s">
        <v>130</v>
      </c>
      <c r="B179" s="3" t="s">
        <v>40</v>
      </c>
      <c r="C179" s="2">
        <v>45603</v>
      </c>
      <c r="D179" s="3" t="s">
        <v>34</v>
      </c>
      <c r="E179" s="3" t="s">
        <v>365</v>
      </c>
      <c r="F179" s="3">
        <v>11550</v>
      </c>
      <c r="G179" s="3">
        <v>501</v>
      </c>
      <c r="H179" s="3">
        <v>646</v>
      </c>
      <c r="I179" s="3">
        <v>773</v>
      </c>
      <c r="J179" s="3">
        <v>17841</v>
      </c>
      <c r="K179" s="3">
        <v>237576</v>
      </c>
      <c r="L179" s="6" t="s">
        <v>29</v>
      </c>
    </row>
    <row r="180" spans="1:12" x14ac:dyDescent="0.3">
      <c r="A180" s="5" t="s">
        <v>130</v>
      </c>
      <c r="B180" s="3" t="s">
        <v>40</v>
      </c>
      <c r="C180" s="2">
        <v>45603</v>
      </c>
      <c r="D180" s="3" t="s">
        <v>34</v>
      </c>
      <c r="E180" s="3" t="s">
        <v>359</v>
      </c>
      <c r="F180" s="3">
        <v>11550</v>
      </c>
      <c r="G180" s="3">
        <v>501</v>
      </c>
      <c r="H180" s="3">
        <v>646</v>
      </c>
      <c r="I180" s="3">
        <v>773</v>
      </c>
      <c r="J180" s="3">
        <v>17841</v>
      </c>
      <c r="K180" s="3">
        <v>237576</v>
      </c>
      <c r="L180" s="6" t="s">
        <v>29</v>
      </c>
    </row>
    <row r="181" spans="1:12" x14ac:dyDescent="0.3">
      <c r="A181" s="5" t="s">
        <v>131</v>
      </c>
      <c r="B181" s="3" t="s">
        <v>40</v>
      </c>
      <c r="C181" s="2">
        <v>45604</v>
      </c>
      <c r="D181" s="3" t="s">
        <v>23</v>
      </c>
      <c r="E181" s="3" t="s">
        <v>359</v>
      </c>
      <c r="F181" s="3">
        <v>23499</v>
      </c>
      <c r="G181" s="3">
        <v>562</v>
      </c>
      <c r="H181" s="3">
        <v>964</v>
      </c>
      <c r="I181" s="3">
        <v>2557</v>
      </c>
      <c r="J181" s="3">
        <v>56890</v>
      </c>
      <c r="K181" s="3">
        <v>218686</v>
      </c>
      <c r="L181" s="6" t="s">
        <v>29</v>
      </c>
    </row>
    <row r="182" spans="1:12" x14ac:dyDescent="0.3">
      <c r="A182" s="5" t="s">
        <v>131</v>
      </c>
      <c r="B182" s="3" t="s">
        <v>40</v>
      </c>
      <c r="C182" s="2">
        <v>45604</v>
      </c>
      <c r="D182" s="3" t="s">
        <v>23</v>
      </c>
      <c r="E182" s="3" t="s">
        <v>360</v>
      </c>
      <c r="F182" s="3">
        <v>23499</v>
      </c>
      <c r="G182" s="3">
        <v>562</v>
      </c>
      <c r="H182" s="3">
        <v>964</v>
      </c>
      <c r="I182" s="3">
        <v>2557</v>
      </c>
      <c r="J182" s="3">
        <v>56890</v>
      </c>
      <c r="K182" s="3">
        <v>218686</v>
      </c>
      <c r="L182" s="6" t="s">
        <v>29</v>
      </c>
    </row>
    <row r="183" spans="1:12" x14ac:dyDescent="0.3">
      <c r="A183" s="5" t="s">
        <v>132</v>
      </c>
      <c r="B183" s="3" t="s">
        <v>40</v>
      </c>
      <c r="C183" s="2">
        <v>45545</v>
      </c>
      <c r="D183" s="3" t="s">
        <v>34</v>
      </c>
      <c r="E183" s="3" t="s">
        <v>363</v>
      </c>
      <c r="F183" s="3">
        <v>6637</v>
      </c>
      <c r="G183" s="3">
        <v>595</v>
      </c>
      <c r="H183" s="3">
        <v>161</v>
      </c>
      <c r="I183" s="3">
        <v>2653</v>
      </c>
      <c r="J183" s="3">
        <v>19334</v>
      </c>
      <c r="K183" s="3">
        <v>131155</v>
      </c>
      <c r="L183" s="6" t="s">
        <v>25</v>
      </c>
    </row>
    <row r="184" spans="1:12" x14ac:dyDescent="0.3">
      <c r="A184" s="5" t="s">
        <v>132</v>
      </c>
      <c r="B184" s="3" t="s">
        <v>40</v>
      </c>
      <c r="C184" s="2">
        <v>45545</v>
      </c>
      <c r="D184" s="3" t="s">
        <v>34</v>
      </c>
      <c r="E184" s="3" t="s">
        <v>364</v>
      </c>
      <c r="F184" s="3">
        <v>6637</v>
      </c>
      <c r="G184" s="3">
        <v>595</v>
      </c>
      <c r="H184" s="3">
        <v>161</v>
      </c>
      <c r="I184" s="3">
        <v>2653</v>
      </c>
      <c r="J184" s="3">
        <v>19334</v>
      </c>
      <c r="K184" s="3">
        <v>131155</v>
      </c>
      <c r="L184" s="6" t="s">
        <v>25</v>
      </c>
    </row>
    <row r="185" spans="1:12" x14ac:dyDescent="0.3">
      <c r="A185" s="5" t="s">
        <v>133</v>
      </c>
      <c r="B185" s="3" t="s">
        <v>40</v>
      </c>
      <c r="C185" s="2">
        <v>45517</v>
      </c>
      <c r="D185" s="3" t="s">
        <v>34</v>
      </c>
      <c r="E185" s="3" t="s">
        <v>368</v>
      </c>
      <c r="F185" s="3">
        <v>6854</v>
      </c>
      <c r="G185" s="3">
        <v>417</v>
      </c>
      <c r="H185" s="3">
        <v>467</v>
      </c>
      <c r="I185" s="3">
        <v>1003</v>
      </c>
      <c r="J185" s="3">
        <v>61333</v>
      </c>
      <c r="K185" s="3">
        <v>40281</v>
      </c>
      <c r="L185" s="6" t="s">
        <v>16</v>
      </c>
    </row>
    <row r="186" spans="1:12" x14ac:dyDescent="0.3">
      <c r="A186" s="5" t="s">
        <v>133</v>
      </c>
      <c r="B186" s="3" t="s">
        <v>40</v>
      </c>
      <c r="C186" s="2">
        <v>45517</v>
      </c>
      <c r="D186" s="3" t="s">
        <v>34</v>
      </c>
      <c r="E186" s="3" t="s">
        <v>369</v>
      </c>
      <c r="F186" s="3">
        <v>6854</v>
      </c>
      <c r="G186" s="3">
        <v>417</v>
      </c>
      <c r="H186" s="3">
        <v>467</v>
      </c>
      <c r="I186" s="3">
        <v>1003</v>
      </c>
      <c r="J186" s="3">
        <v>61333</v>
      </c>
      <c r="K186" s="3">
        <v>40281</v>
      </c>
      <c r="L186" s="6" t="s">
        <v>16</v>
      </c>
    </row>
    <row r="187" spans="1:12" x14ac:dyDescent="0.3">
      <c r="A187" s="5" t="s">
        <v>134</v>
      </c>
      <c r="B187" s="3" t="s">
        <v>18</v>
      </c>
      <c r="C187" s="2">
        <v>45453</v>
      </c>
      <c r="D187" s="3" t="s">
        <v>27</v>
      </c>
      <c r="E187" s="3" t="s">
        <v>361</v>
      </c>
      <c r="F187" s="3">
        <v>21561</v>
      </c>
      <c r="G187" s="3">
        <v>340</v>
      </c>
      <c r="H187" s="3">
        <v>741</v>
      </c>
      <c r="I187" s="3">
        <v>986</v>
      </c>
      <c r="J187" s="3">
        <v>24826</v>
      </c>
      <c r="K187" s="3">
        <v>198492</v>
      </c>
      <c r="L187" s="6" t="s">
        <v>16</v>
      </c>
    </row>
    <row r="188" spans="1:12" x14ac:dyDescent="0.3">
      <c r="A188" s="5" t="s">
        <v>134</v>
      </c>
      <c r="B188" s="3" t="s">
        <v>18</v>
      </c>
      <c r="C188" s="2">
        <v>45453</v>
      </c>
      <c r="D188" s="3" t="s">
        <v>27</v>
      </c>
      <c r="E188" s="3" t="s">
        <v>362</v>
      </c>
      <c r="F188" s="3">
        <v>21561</v>
      </c>
      <c r="G188" s="3">
        <v>340</v>
      </c>
      <c r="H188" s="3">
        <v>741</v>
      </c>
      <c r="I188" s="3">
        <v>986</v>
      </c>
      <c r="J188" s="3">
        <v>24826</v>
      </c>
      <c r="K188" s="3">
        <v>198492</v>
      </c>
      <c r="L188" s="6" t="s">
        <v>16</v>
      </c>
    </row>
    <row r="189" spans="1:12" x14ac:dyDescent="0.3">
      <c r="A189" s="5" t="s">
        <v>135</v>
      </c>
      <c r="B189" s="3" t="s">
        <v>40</v>
      </c>
      <c r="C189" s="2">
        <v>45475</v>
      </c>
      <c r="D189" s="3" t="s">
        <v>34</v>
      </c>
      <c r="E189" s="3" t="s">
        <v>361</v>
      </c>
      <c r="F189" s="3">
        <v>12320</v>
      </c>
      <c r="G189" s="3">
        <v>1157</v>
      </c>
      <c r="H189" s="3">
        <v>365</v>
      </c>
      <c r="I189" s="3">
        <v>584</v>
      </c>
      <c r="J189" s="3">
        <v>66634</v>
      </c>
      <c r="K189" s="3">
        <v>210102</v>
      </c>
      <c r="L189" s="6" t="s">
        <v>29</v>
      </c>
    </row>
    <row r="190" spans="1:12" x14ac:dyDescent="0.3">
      <c r="A190" s="5" t="s">
        <v>135</v>
      </c>
      <c r="B190" s="3" t="s">
        <v>40</v>
      </c>
      <c r="C190" s="2">
        <v>45475</v>
      </c>
      <c r="D190" s="3" t="s">
        <v>34</v>
      </c>
      <c r="E190" s="3" t="s">
        <v>362</v>
      </c>
      <c r="F190" s="3">
        <v>12320</v>
      </c>
      <c r="G190" s="3">
        <v>1157</v>
      </c>
      <c r="H190" s="3">
        <v>365</v>
      </c>
      <c r="I190" s="3">
        <v>584</v>
      </c>
      <c r="J190" s="3">
        <v>66634</v>
      </c>
      <c r="K190" s="3">
        <v>210102</v>
      </c>
      <c r="L190" s="6" t="s">
        <v>29</v>
      </c>
    </row>
    <row r="191" spans="1:12" x14ac:dyDescent="0.3">
      <c r="A191" s="5" t="s">
        <v>136</v>
      </c>
      <c r="B191" s="3" t="s">
        <v>22</v>
      </c>
      <c r="C191" s="2">
        <v>45925</v>
      </c>
      <c r="D191" s="3" t="s">
        <v>14</v>
      </c>
      <c r="E191" s="3" t="s">
        <v>32</v>
      </c>
      <c r="F191" s="3">
        <v>20564</v>
      </c>
      <c r="G191" s="3">
        <v>1433</v>
      </c>
      <c r="H191" s="3">
        <v>488</v>
      </c>
      <c r="I191" s="3">
        <v>1015</v>
      </c>
      <c r="J191" s="3">
        <v>24333</v>
      </c>
      <c r="K191" s="3">
        <v>172130</v>
      </c>
      <c r="L191" s="6" t="s">
        <v>20</v>
      </c>
    </row>
    <row r="192" spans="1:12" x14ac:dyDescent="0.3">
      <c r="A192" s="5" t="s">
        <v>137</v>
      </c>
      <c r="B192" s="3" t="s">
        <v>13</v>
      </c>
      <c r="C192" s="2">
        <v>45583</v>
      </c>
      <c r="D192" s="3" t="s">
        <v>34</v>
      </c>
      <c r="E192" s="3" t="s">
        <v>355</v>
      </c>
      <c r="F192" s="3">
        <v>6892</v>
      </c>
      <c r="G192" s="3">
        <v>1184</v>
      </c>
      <c r="H192" s="3">
        <v>925</v>
      </c>
      <c r="I192" s="3">
        <v>1062</v>
      </c>
      <c r="J192" s="3">
        <v>75008</v>
      </c>
      <c r="K192" s="3">
        <v>116260</v>
      </c>
      <c r="L192" s="6" t="s">
        <v>45</v>
      </c>
    </row>
    <row r="193" spans="1:12" x14ac:dyDescent="0.3">
      <c r="A193" s="5" t="s">
        <v>137</v>
      </c>
      <c r="B193" s="3" t="s">
        <v>13</v>
      </c>
      <c r="C193" s="2">
        <v>45583</v>
      </c>
      <c r="D193" s="3" t="s">
        <v>34</v>
      </c>
      <c r="E193" s="3" t="s">
        <v>356</v>
      </c>
      <c r="F193" s="3">
        <v>6892</v>
      </c>
      <c r="G193" s="3">
        <v>1184</v>
      </c>
      <c r="H193" s="3">
        <v>925</v>
      </c>
      <c r="I193" s="3">
        <v>1062</v>
      </c>
      <c r="J193" s="3">
        <v>75008</v>
      </c>
      <c r="K193" s="3">
        <v>116260</v>
      </c>
      <c r="L193" s="6" t="s">
        <v>45</v>
      </c>
    </row>
    <row r="194" spans="1:12" x14ac:dyDescent="0.3">
      <c r="A194" s="5" t="s">
        <v>138</v>
      </c>
      <c r="B194" s="3" t="s">
        <v>40</v>
      </c>
      <c r="C194" s="2">
        <v>45926</v>
      </c>
      <c r="D194" s="3" t="s">
        <v>34</v>
      </c>
      <c r="E194" s="3" t="s">
        <v>32</v>
      </c>
      <c r="F194" s="3">
        <v>9043</v>
      </c>
      <c r="G194" s="3">
        <v>1192</v>
      </c>
      <c r="H194" s="3">
        <v>810</v>
      </c>
      <c r="I194" s="3">
        <v>1550</v>
      </c>
      <c r="J194" s="3">
        <v>5221</v>
      </c>
      <c r="K194" s="3">
        <v>199476</v>
      </c>
      <c r="L194" s="6" t="s">
        <v>20</v>
      </c>
    </row>
    <row r="195" spans="1:12" x14ac:dyDescent="0.3">
      <c r="A195" s="5" t="s">
        <v>139</v>
      </c>
      <c r="B195" s="3" t="s">
        <v>40</v>
      </c>
      <c r="C195" s="2">
        <v>45927</v>
      </c>
      <c r="D195" s="3" t="s">
        <v>23</v>
      </c>
      <c r="E195" s="3" t="s">
        <v>355</v>
      </c>
      <c r="F195" s="3">
        <v>18521</v>
      </c>
      <c r="G195" s="3">
        <v>1027</v>
      </c>
      <c r="H195" s="3">
        <v>230</v>
      </c>
      <c r="I195" s="3">
        <v>1247</v>
      </c>
      <c r="J195" s="3">
        <v>39588</v>
      </c>
      <c r="K195" s="3">
        <v>200928</v>
      </c>
      <c r="L195" s="6" t="s">
        <v>20</v>
      </c>
    </row>
    <row r="196" spans="1:12" x14ac:dyDescent="0.3">
      <c r="A196" s="5" t="s">
        <v>139</v>
      </c>
      <c r="B196" s="3" t="s">
        <v>40</v>
      </c>
      <c r="C196" s="2">
        <v>45927</v>
      </c>
      <c r="D196" s="3" t="s">
        <v>23</v>
      </c>
      <c r="E196" s="3" t="s">
        <v>356</v>
      </c>
      <c r="F196" s="3">
        <v>18521</v>
      </c>
      <c r="G196" s="3">
        <v>1027</v>
      </c>
      <c r="H196" s="3">
        <v>230</v>
      </c>
      <c r="I196" s="3">
        <v>1247</v>
      </c>
      <c r="J196" s="3">
        <v>39588</v>
      </c>
      <c r="K196" s="3">
        <v>200928</v>
      </c>
      <c r="L196" s="6" t="s">
        <v>20</v>
      </c>
    </row>
    <row r="197" spans="1:12" x14ac:dyDescent="0.3">
      <c r="A197" s="5" t="s">
        <v>140</v>
      </c>
      <c r="B197" s="3" t="s">
        <v>18</v>
      </c>
      <c r="C197" s="2">
        <v>45739</v>
      </c>
      <c r="D197" s="3" t="s">
        <v>14</v>
      </c>
      <c r="E197" s="3" t="s">
        <v>357</v>
      </c>
      <c r="F197" s="3">
        <v>24711</v>
      </c>
      <c r="G197" s="3">
        <v>882</v>
      </c>
      <c r="H197" s="3">
        <v>876</v>
      </c>
      <c r="I197" s="3">
        <v>2728</v>
      </c>
      <c r="J197" s="3">
        <v>32015</v>
      </c>
      <c r="K197" s="3">
        <v>180272</v>
      </c>
      <c r="L197" s="6" t="s">
        <v>29</v>
      </c>
    </row>
    <row r="198" spans="1:12" x14ac:dyDescent="0.3">
      <c r="A198" s="5" t="s">
        <v>140</v>
      </c>
      <c r="B198" s="3" t="s">
        <v>18</v>
      </c>
      <c r="C198" s="2">
        <v>45739</v>
      </c>
      <c r="D198" s="3" t="s">
        <v>14</v>
      </c>
      <c r="E198" s="3" t="s">
        <v>358</v>
      </c>
      <c r="F198" s="3">
        <v>24711</v>
      </c>
      <c r="G198" s="3">
        <v>882</v>
      </c>
      <c r="H198" s="3">
        <v>876</v>
      </c>
      <c r="I198" s="3">
        <v>2728</v>
      </c>
      <c r="J198" s="3">
        <v>32015</v>
      </c>
      <c r="K198" s="3">
        <v>180272</v>
      </c>
      <c r="L198" s="6" t="s">
        <v>29</v>
      </c>
    </row>
    <row r="199" spans="1:12" x14ac:dyDescent="0.3">
      <c r="A199" s="5" t="s">
        <v>141</v>
      </c>
      <c r="B199" s="3" t="s">
        <v>40</v>
      </c>
      <c r="C199" s="2">
        <v>45457</v>
      </c>
      <c r="D199" s="3" t="s">
        <v>34</v>
      </c>
      <c r="E199" s="3" t="s">
        <v>365</v>
      </c>
      <c r="F199" s="3">
        <v>21856</v>
      </c>
      <c r="G199" s="3">
        <v>1203</v>
      </c>
      <c r="H199" s="3">
        <v>634</v>
      </c>
      <c r="I199" s="3">
        <v>2807</v>
      </c>
      <c r="J199" s="3">
        <v>3647</v>
      </c>
      <c r="K199" s="3">
        <v>104178</v>
      </c>
      <c r="L199" s="6" t="s">
        <v>29</v>
      </c>
    </row>
    <row r="200" spans="1:12" x14ac:dyDescent="0.3">
      <c r="A200" s="5" t="s">
        <v>141</v>
      </c>
      <c r="B200" s="3" t="s">
        <v>40</v>
      </c>
      <c r="C200" s="2">
        <v>45457</v>
      </c>
      <c r="D200" s="3" t="s">
        <v>34</v>
      </c>
      <c r="E200" s="3" t="s">
        <v>359</v>
      </c>
      <c r="F200" s="3">
        <v>21856</v>
      </c>
      <c r="G200" s="3">
        <v>1203</v>
      </c>
      <c r="H200" s="3">
        <v>634</v>
      </c>
      <c r="I200" s="3">
        <v>2807</v>
      </c>
      <c r="J200" s="3">
        <v>3647</v>
      </c>
      <c r="K200" s="3">
        <v>104178</v>
      </c>
      <c r="L200" s="6" t="s">
        <v>29</v>
      </c>
    </row>
    <row r="201" spans="1:12" x14ac:dyDescent="0.3">
      <c r="A201" s="5" t="s">
        <v>142</v>
      </c>
      <c r="B201" s="3" t="s">
        <v>40</v>
      </c>
      <c r="C201" s="2">
        <v>45692</v>
      </c>
      <c r="D201" s="3" t="s">
        <v>34</v>
      </c>
      <c r="E201" s="3" t="s">
        <v>363</v>
      </c>
      <c r="F201" s="3">
        <v>23833</v>
      </c>
      <c r="G201" s="3">
        <v>555</v>
      </c>
      <c r="H201" s="3">
        <v>523</v>
      </c>
      <c r="I201" s="3">
        <v>1330</v>
      </c>
      <c r="J201" s="3">
        <v>69141</v>
      </c>
      <c r="K201" s="3">
        <v>73997</v>
      </c>
      <c r="L201" s="6" t="s">
        <v>29</v>
      </c>
    </row>
    <row r="202" spans="1:12" x14ac:dyDescent="0.3">
      <c r="A202" s="5" t="s">
        <v>142</v>
      </c>
      <c r="B202" s="3" t="s">
        <v>40</v>
      </c>
      <c r="C202" s="2">
        <v>45692</v>
      </c>
      <c r="D202" s="3" t="s">
        <v>34</v>
      </c>
      <c r="E202" s="3" t="s">
        <v>364</v>
      </c>
      <c r="F202" s="3">
        <v>23833</v>
      </c>
      <c r="G202" s="3">
        <v>555</v>
      </c>
      <c r="H202" s="3">
        <v>523</v>
      </c>
      <c r="I202" s="3">
        <v>1330</v>
      </c>
      <c r="J202" s="3">
        <v>69141</v>
      </c>
      <c r="K202" s="3">
        <v>73997</v>
      </c>
      <c r="L202" s="6" t="s">
        <v>29</v>
      </c>
    </row>
    <row r="203" spans="1:12" x14ac:dyDescent="0.3">
      <c r="A203" s="5" t="s">
        <v>143</v>
      </c>
      <c r="B203" s="3" t="s">
        <v>40</v>
      </c>
      <c r="C203" s="2">
        <v>45464</v>
      </c>
      <c r="D203" s="3" t="s">
        <v>27</v>
      </c>
      <c r="E203" s="3" t="s">
        <v>359</v>
      </c>
      <c r="F203" s="3">
        <v>21216</v>
      </c>
      <c r="G203" s="3">
        <v>1207</v>
      </c>
      <c r="H203" s="3">
        <v>859</v>
      </c>
      <c r="I203" s="3">
        <v>328</v>
      </c>
      <c r="J203" s="3">
        <v>91296</v>
      </c>
      <c r="K203" s="3">
        <v>196683</v>
      </c>
      <c r="L203" s="6" t="s">
        <v>25</v>
      </c>
    </row>
    <row r="204" spans="1:12" x14ac:dyDescent="0.3">
      <c r="A204" s="5" t="s">
        <v>143</v>
      </c>
      <c r="B204" s="3" t="s">
        <v>40</v>
      </c>
      <c r="C204" s="2">
        <v>45464</v>
      </c>
      <c r="D204" s="3" t="s">
        <v>27</v>
      </c>
      <c r="E204" s="3" t="s">
        <v>360</v>
      </c>
      <c r="F204" s="3">
        <v>21216</v>
      </c>
      <c r="G204" s="3">
        <v>1207</v>
      </c>
      <c r="H204" s="3">
        <v>859</v>
      </c>
      <c r="I204" s="3">
        <v>328</v>
      </c>
      <c r="J204" s="3">
        <v>91296</v>
      </c>
      <c r="K204" s="3">
        <v>196683</v>
      </c>
      <c r="L204" s="6" t="s">
        <v>25</v>
      </c>
    </row>
    <row r="205" spans="1:12" x14ac:dyDescent="0.3">
      <c r="A205" s="5" t="s">
        <v>144</v>
      </c>
      <c r="B205" s="3" t="s">
        <v>18</v>
      </c>
      <c r="C205" s="2">
        <v>45928</v>
      </c>
      <c r="D205" s="3" t="s">
        <v>34</v>
      </c>
      <c r="E205" s="3" t="s">
        <v>363</v>
      </c>
      <c r="F205" s="3">
        <v>21963</v>
      </c>
      <c r="G205" s="3">
        <v>1356</v>
      </c>
      <c r="H205" s="3">
        <v>349</v>
      </c>
      <c r="I205" s="3">
        <v>1206</v>
      </c>
      <c r="J205" s="3">
        <v>51755</v>
      </c>
      <c r="K205" s="3">
        <v>159273</v>
      </c>
      <c r="L205" s="6" t="s">
        <v>20</v>
      </c>
    </row>
    <row r="206" spans="1:12" x14ac:dyDescent="0.3">
      <c r="A206" s="5" t="s">
        <v>144</v>
      </c>
      <c r="B206" s="3" t="s">
        <v>18</v>
      </c>
      <c r="C206" s="2">
        <v>45928</v>
      </c>
      <c r="D206" s="3" t="s">
        <v>34</v>
      </c>
      <c r="E206" s="3" t="s">
        <v>364</v>
      </c>
      <c r="F206" s="3">
        <v>21963</v>
      </c>
      <c r="G206" s="3">
        <v>1356</v>
      </c>
      <c r="H206" s="3">
        <v>349</v>
      </c>
      <c r="I206" s="3">
        <v>1206</v>
      </c>
      <c r="J206" s="3">
        <v>51755</v>
      </c>
      <c r="K206" s="3">
        <v>159273</v>
      </c>
      <c r="L206" s="6" t="s">
        <v>20</v>
      </c>
    </row>
    <row r="207" spans="1:12" x14ac:dyDescent="0.3">
      <c r="A207" s="5" t="s">
        <v>145</v>
      </c>
      <c r="B207" s="3" t="s">
        <v>40</v>
      </c>
      <c r="C207" s="2">
        <v>45512</v>
      </c>
      <c r="D207" s="3" t="s">
        <v>34</v>
      </c>
      <c r="E207" s="3" t="s">
        <v>363</v>
      </c>
      <c r="F207" s="3">
        <v>24355</v>
      </c>
      <c r="G207" s="3">
        <v>1087</v>
      </c>
      <c r="H207" s="3">
        <v>686</v>
      </c>
      <c r="I207" s="3">
        <v>2426</v>
      </c>
      <c r="J207" s="3">
        <v>24963</v>
      </c>
      <c r="K207" s="3">
        <v>212307</v>
      </c>
      <c r="L207" s="6" t="s">
        <v>16</v>
      </c>
    </row>
    <row r="208" spans="1:12" x14ac:dyDescent="0.3">
      <c r="A208" s="5" t="s">
        <v>145</v>
      </c>
      <c r="B208" s="3" t="s">
        <v>40</v>
      </c>
      <c r="C208" s="2">
        <v>45512</v>
      </c>
      <c r="D208" s="3" t="s">
        <v>34</v>
      </c>
      <c r="E208" s="3" t="s">
        <v>364</v>
      </c>
      <c r="F208" s="3">
        <v>24355</v>
      </c>
      <c r="G208" s="3">
        <v>1087</v>
      </c>
      <c r="H208" s="3">
        <v>686</v>
      </c>
      <c r="I208" s="3">
        <v>2426</v>
      </c>
      <c r="J208" s="3">
        <v>24963</v>
      </c>
      <c r="K208" s="3">
        <v>212307</v>
      </c>
      <c r="L208" s="6" t="s">
        <v>16</v>
      </c>
    </row>
    <row r="209" spans="1:12" x14ac:dyDescent="0.3">
      <c r="A209" s="5" t="s">
        <v>146</v>
      </c>
      <c r="B209" s="3" t="s">
        <v>13</v>
      </c>
      <c r="C209" s="2">
        <v>45502</v>
      </c>
      <c r="D209" s="3" t="s">
        <v>27</v>
      </c>
      <c r="E209" s="3" t="s">
        <v>363</v>
      </c>
      <c r="F209" s="3">
        <v>6164</v>
      </c>
      <c r="G209" s="3">
        <v>326</v>
      </c>
      <c r="H209" s="3">
        <v>615</v>
      </c>
      <c r="I209" s="3">
        <v>2806</v>
      </c>
      <c r="J209" s="3">
        <v>38579</v>
      </c>
      <c r="K209" s="3">
        <v>206129</v>
      </c>
      <c r="L209" s="6" t="s">
        <v>45</v>
      </c>
    </row>
    <row r="210" spans="1:12" x14ac:dyDescent="0.3">
      <c r="A210" s="5" t="s">
        <v>146</v>
      </c>
      <c r="B210" s="3" t="s">
        <v>13</v>
      </c>
      <c r="C210" s="2">
        <v>45502</v>
      </c>
      <c r="D210" s="3" t="s">
        <v>27</v>
      </c>
      <c r="E210" s="3" t="s">
        <v>364</v>
      </c>
      <c r="F210" s="3">
        <v>6164</v>
      </c>
      <c r="G210" s="3">
        <v>326</v>
      </c>
      <c r="H210" s="3">
        <v>615</v>
      </c>
      <c r="I210" s="3">
        <v>2806</v>
      </c>
      <c r="J210" s="3">
        <v>38579</v>
      </c>
      <c r="K210" s="3">
        <v>206129</v>
      </c>
      <c r="L210" s="6" t="s">
        <v>45</v>
      </c>
    </row>
    <row r="211" spans="1:12" x14ac:dyDescent="0.3">
      <c r="A211" s="5" t="s">
        <v>147</v>
      </c>
      <c r="B211" s="3" t="s">
        <v>18</v>
      </c>
      <c r="C211" s="2">
        <v>45619</v>
      </c>
      <c r="D211" s="3" t="s">
        <v>23</v>
      </c>
      <c r="E211" s="3" t="s">
        <v>32</v>
      </c>
      <c r="F211" s="3">
        <v>9941</v>
      </c>
      <c r="G211" s="3">
        <v>1329</v>
      </c>
      <c r="H211" s="3">
        <v>238</v>
      </c>
      <c r="I211" s="3">
        <v>869</v>
      </c>
      <c r="J211" s="3">
        <v>40281</v>
      </c>
      <c r="K211" s="3">
        <v>172311</v>
      </c>
      <c r="L211" s="6" t="s">
        <v>25</v>
      </c>
    </row>
    <row r="212" spans="1:12" x14ac:dyDescent="0.3">
      <c r="A212" s="5" t="s">
        <v>148</v>
      </c>
      <c r="B212" s="3" t="s">
        <v>13</v>
      </c>
      <c r="C212" s="2">
        <v>45570</v>
      </c>
      <c r="D212" s="3" t="s">
        <v>34</v>
      </c>
      <c r="E212" s="3" t="s">
        <v>355</v>
      </c>
      <c r="F212" s="3">
        <v>16388</v>
      </c>
      <c r="G212" s="3">
        <v>1208</v>
      </c>
      <c r="H212" s="3">
        <v>417</v>
      </c>
      <c r="I212" s="3">
        <v>2306</v>
      </c>
      <c r="J212" s="3">
        <v>16865</v>
      </c>
      <c r="K212" s="3">
        <v>236733</v>
      </c>
      <c r="L212" s="6" t="s">
        <v>16</v>
      </c>
    </row>
    <row r="213" spans="1:12" x14ac:dyDescent="0.3">
      <c r="A213" s="5" t="s">
        <v>148</v>
      </c>
      <c r="B213" s="3" t="s">
        <v>13</v>
      </c>
      <c r="C213" s="2">
        <v>45570</v>
      </c>
      <c r="D213" s="3" t="s">
        <v>34</v>
      </c>
      <c r="E213" s="3" t="s">
        <v>356</v>
      </c>
      <c r="F213" s="3">
        <v>16388</v>
      </c>
      <c r="G213" s="3">
        <v>1208</v>
      </c>
      <c r="H213" s="3">
        <v>417</v>
      </c>
      <c r="I213" s="3">
        <v>2306</v>
      </c>
      <c r="J213" s="3">
        <v>16865</v>
      </c>
      <c r="K213" s="3">
        <v>236733</v>
      </c>
      <c r="L213" s="6" t="s">
        <v>16</v>
      </c>
    </row>
    <row r="214" spans="1:12" x14ac:dyDescent="0.3">
      <c r="A214" s="5" t="s">
        <v>149</v>
      </c>
      <c r="B214" s="3" t="s">
        <v>18</v>
      </c>
      <c r="C214" s="2">
        <v>45929</v>
      </c>
      <c r="D214" s="3" t="s">
        <v>27</v>
      </c>
      <c r="E214" s="3" t="s">
        <v>367</v>
      </c>
      <c r="F214" s="3">
        <v>7569</v>
      </c>
      <c r="G214" s="3">
        <v>803</v>
      </c>
      <c r="H214" s="3">
        <v>804</v>
      </c>
      <c r="I214" s="3">
        <v>1753</v>
      </c>
      <c r="J214" s="3">
        <v>43582</v>
      </c>
      <c r="K214" s="3">
        <v>166945</v>
      </c>
      <c r="L214" s="6" t="s">
        <v>20</v>
      </c>
    </row>
    <row r="215" spans="1:12" x14ac:dyDescent="0.3">
      <c r="A215" s="5" t="s">
        <v>149</v>
      </c>
      <c r="B215" s="3" t="s">
        <v>18</v>
      </c>
      <c r="C215" s="2">
        <v>45929</v>
      </c>
      <c r="D215" s="3" t="s">
        <v>27</v>
      </c>
      <c r="E215" s="3" t="s">
        <v>32</v>
      </c>
      <c r="F215" s="3">
        <v>7569</v>
      </c>
      <c r="G215" s="3">
        <v>803</v>
      </c>
      <c r="H215" s="3">
        <v>804</v>
      </c>
      <c r="I215" s="3">
        <v>1753</v>
      </c>
      <c r="J215" s="3">
        <v>43582</v>
      </c>
      <c r="K215" s="3">
        <v>166945</v>
      </c>
      <c r="L215" s="6" t="s">
        <v>20</v>
      </c>
    </row>
    <row r="216" spans="1:12" x14ac:dyDescent="0.3">
      <c r="A216" s="5" t="s">
        <v>150</v>
      </c>
      <c r="B216" s="3" t="s">
        <v>40</v>
      </c>
      <c r="C216" s="2">
        <v>45610</v>
      </c>
      <c r="D216" s="3" t="s">
        <v>14</v>
      </c>
      <c r="E216" s="3" t="s">
        <v>357</v>
      </c>
      <c r="F216" s="3">
        <v>6300</v>
      </c>
      <c r="G216" s="3">
        <v>1213</v>
      </c>
      <c r="H216" s="3">
        <v>720</v>
      </c>
      <c r="I216" s="3">
        <v>1037</v>
      </c>
      <c r="J216" s="3">
        <v>39569</v>
      </c>
      <c r="K216" s="3">
        <v>85272</v>
      </c>
      <c r="L216" s="6" t="s">
        <v>29</v>
      </c>
    </row>
    <row r="217" spans="1:12" x14ac:dyDescent="0.3">
      <c r="A217" s="5" t="s">
        <v>150</v>
      </c>
      <c r="B217" s="3" t="s">
        <v>40</v>
      </c>
      <c r="C217" s="2">
        <v>45610</v>
      </c>
      <c r="D217" s="3" t="s">
        <v>14</v>
      </c>
      <c r="E217" s="3" t="s">
        <v>358</v>
      </c>
      <c r="F217" s="3">
        <v>6300</v>
      </c>
      <c r="G217" s="3">
        <v>1213</v>
      </c>
      <c r="H217" s="3">
        <v>720</v>
      </c>
      <c r="I217" s="3">
        <v>1037</v>
      </c>
      <c r="J217" s="3">
        <v>39569</v>
      </c>
      <c r="K217" s="3">
        <v>85272</v>
      </c>
      <c r="L217" s="6" t="s">
        <v>29</v>
      </c>
    </row>
    <row r="218" spans="1:12" x14ac:dyDescent="0.3">
      <c r="A218" s="5" t="s">
        <v>151</v>
      </c>
      <c r="B218" s="3" t="s">
        <v>13</v>
      </c>
      <c r="C218" s="2">
        <v>45930</v>
      </c>
      <c r="D218" s="3" t="s">
        <v>23</v>
      </c>
      <c r="E218" s="3" t="s">
        <v>353</v>
      </c>
      <c r="F218" s="3">
        <v>8269</v>
      </c>
      <c r="G218" s="3">
        <v>250</v>
      </c>
      <c r="H218" s="3">
        <v>638</v>
      </c>
      <c r="I218" s="3">
        <v>815</v>
      </c>
      <c r="J218" s="3">
        <v>41991</v>
      </c>
      <c r="K218" s="3">
        <v>129393</v>
      </c>
      <c r="L218" s="6" t="s">
        <v>20</v>
      </c>
    </row>
    <row r="219" spans="1:12" x14ac:dyDescent="0.3">
      <c r="A219" s="5" t="s">
        <v>151</v>
      </c>
      <c r="B219" s="3" t="s">
        <v>13</v>
      </c>
      <c r="C219" s="2">
        <v>45930</v>
      </c>
      <c r="D219" s="3" t="s">
        <v>23</v>
      </c>
      <c r="E219" s="3" t="s">
        <v>354</v>
      </c>
      <c r="F219" s="3">
        <v>8269</v>
      </c>
      <c r="G219" s="3">
        <v>250</v>
      </c>
      <c r="H219" s="3">
        <v>638</v>
      </c>
      <c r="I219" s="3">
        <v>815</v>
      </c>
      <c r="J219" s="3">
        <v>41991</v>
      </c>
      <c r="K219" s="3">
        <v>129393</v>
      </c>
      <c r="L219" s="6" t="s">
        <v>20</v>
      </c>
    </row>
    <row r="220" spans="1:12" x14ac:dyDescent="0.3">
      <c r="A220" s="5" t="s">
        <v>152</v>
      </c>
      <c r="B220" s="3" t="s">
        <v>18</v>
      </c>
      <c r="C220" s="2">
        <v>45734</v>
      </c>
      <c r="D220" s="3" t="s">
        <v>14</v>
      </c>
      <c r="E220" s="3" t="s">
        <v>363</v>
      </c>
      <c r="F220" s="3">
        <v>5818</v>
      </c>
      <c r="G220" s="3">
        <v>1252</v>
      </c>
      <c r="H220" s="3">
        <v>687</v>
      </c>
      <c r="I220" s="3">
        <v>2300</v>
      </c>
      <c r="J220" s="3">
        <v>25081</v>
      </c>
      <c r="K220" s="3">
        <v>101212</v>
      </c>
      <c r="L220" s="6" t="s">
        <v>45</v>
      </c>
    </row>
    <row r="221" spans="1:12" x14ac:dyDescent="0.3">
      <c r="A221" s="5" t="s">
        <v>152</v>
      </c>
      <c r="B221" s="3" t="s">
        <v>18</v>
      </c>
      <c r="C221" s="2">
        <v>45734</v>
      </c>
      <c r="D221" s="3" t="s">
        <v>14</v>
      </c>
      <c r="E221" s="3" t="s">
        <v>364</v>
      </c>
      <c r="F221" s="3">
        <v>5818</v>
      </c>
      <c r="G221" s="3">
        <v>1252</v>
      </c>
      <c r="H221" s="3">
        <v>687</v>
      </c>
      <c r="I221" s="3">
        <v>2300</v>
      </c>
      <c r="J221" s="3">
        <v>25081</v>
      </c>
      <c r="K221" s="3">
        <v>101212</v>
      </c>
      <c r="L221" s="6" t="s">
        <v>45</v>
      </c>
    </row>
    <row r="222" spans="1:12" x14ac:dyDescent="0.3">
      <c r="A222" s="5" t="s">
        <v>153</v>
      </c>
      <c r="B222" s="3" t="s">
        <v>22</v>
      </c>
      <c r="C222" s="2">
        <v>45600</v>
      </c>
      <c r="D222" s="3" t="s">
        <v>14</v>
      </c>
      <c r="E222" s="3" t="s">
        <v>359</v>
      </c>
      <c r="F222" s="3">
        <v>14015</v>
      </c>
      <c r="G222" s="3">
        <v>978</v>
      </c>
      <c r="H222" s="3">
        <v>196</v>
      </c>
      <c r="I222" s="3">
        <v>2744</v>
      </c>
      <c r="J222" s="3">
        <v>20190</v>
      </c>
      <c r="K222" s="3">
        <v>186470</v>
      </c>
      <c r="L222" s="6" t="s">
        <v>25</v>
      </c>
    </row>
    <row r="223" spans="1:12" x14ac:dyDescent="0.3">
      <c r="A223" s="5" t="s">
        <v>153</v>
      </c>
      <c r="B223" s="3" t="s">
        <v>22</v>
      </c>
      <c r="C223" s="2">
        <v>45600</v>
      </c>
      <c r="D223" s="3" t="s">
        <v>14</v>
      </c>
      <c r="E223" s="3" t="s">
        <v>366</v>
      </c>
      <c r="F223" s="3">
        <v>14015</v>
      </c>
      <c r="G223" s="3">
        <v>978</v>
      </c>
      <c r="H223" s="3">
        <v>196</v>
      </c>
      <c r="I223" s="3">
        <v>2744</v>
      </c>
      <c r="J223" s="3">
        <v>20190</v>
      </c>
      <c r="K223" s="3">
        <v>186470</v>
      </c>
      <c r="L223" s="6" t="s">
        <v>25</v>
      </c>
    </row>
    <row r="224" spans="1:12" x14ac:dyDescent="0.3">
      <c r="A224" s="5" t="s">
        <v>154</v>
      </c>
      <c r="B224" s="3" t="s">
        <v>40</v>
      </c>
      <c r="C224" s="2">
        <v>45600</v>
      </c>
      <c r="D224" s="3" t="s">
        <v>27</v>
      </c>
      <c r="E224" s="3" t="s">
        <v>32</v>
      </c>
      <c r="F224" s="3">
        <v>14234</v>
      </c>
      <c r="G224" s="3">
        <v>1013</v>
      </c>
      <c r="H224" s="3">
        <v>437</v>
      </c>
      <c r="I224" s="3">
        <v>338</v>
      </c>
      <c r="J224" s="3">
        <v>67754</v>
      </c>
      <c r="K224" s="3">
        <v>160030</v>
      </c>
      <c r="L224" s="6" t="s">
        <v>25</v>
      </c>
    </row>
    <row r="225" spans="1:12" x14ac:dyDescent="0.3">
      <c r="A225" s="5" t="s">
        <v>155</v>
      </c>
      <c r="B225" s="3" t="s">
        <v>18</v>
      </c>
      <c r="C225" s="2">
        <v>45695</v>
      </c>
      <c r="D225" s="3" t="s">
        <v>34</v>
      </c>
      <c r="E225" s="3" t="s">
        <v>368</v>
      </c>
      <c r="F225" s="3">
        <v>20290</v>
      </c>
      <c r="G225" s="3">
        <v>619</v>
      </c>
      <c r="H225" s="3">
        <v>927</v>
      </c>
      <c r="I225" s="3">
        <v>1186</v>
      </c>
      <c r="J225" s="3">
        <v>8924</v>
      </c>
      <c r="K225" s="3">
        <v>96503</v>
      </c>
      <c r="L225" s="6" t="s">
        <v>45</v>
      </c>
    </row>
    <row r="226" spans="1:12" x14ac:dyDescent="0.3">
      <c r="A226" s="5" t="s">
        <v>155</v>
      </c>
      <c r="B226" s="3" t="s">
        <v>18</v>
      </c>
      <c r="C226" s="2">
        <v>45695</v>
      </c>
      <c r="D226" s="3" t="s">
        <v>34</v>
      </c>
      <c r="E226" s="3" t="s">
        <v>369</v>
      </c>
      <c r="F226" s="3">
        <v>20290</v>
      </c>
      <c r="G226" s="3">
        <v>619</v>
      </c>
      <c r="H226" s="3">
        <v>927</v>
      </c>
      <c r="I226" s="3">
        <v>1186</v>
      </c>
      <c r="J226" s="3">
        <v>8924</v>
      </c>
      <c r="K226" s="3">
        <v>96503</v>
      </c>
      <c r="L226" s="6" t="s">
        <v>45</v>
      </c>
    </row>
    <row r="227" spans="1:12" x14ac:dyDescent="0.3">
      <c r="A227" s="5" t="s">
        <v>156</v>
      </c>
      <c r="B227" s="3" t="s">
        <v>22</v>
      </c>
      <c r="C227" s="2">
        <v>45586</v>
      </c>
      <c r="D227" s="3" t="s">
        <v>27</v>
      </c>
      <c r="E227" s="3" t="s">
        <v>359</v>
      </c>
      <c r="F227" s="3">
        <v>8254</v>
      </c>
      <c r="G227" s="3">
        <v>1405</v>
      </c>
      <c r="H227" s="3">
        <v>165</v>
      </c>
      <c r="I227" s="3">
        <v>2504</v>
      </c>
      <c r="J227" s="3">
        <v>8081</v>
      </c>
      <c r="K227" s="3">
        <v>177710</v>
      </c>
      <c r="L227" s="6" t="s">
        <v>16</v>
      </c>
    </row>
    <row r="228" spans="1:12" x14ac:dyDescent="0.3">
      <c r="A228" s="5" t="s">
        <v>156</v>
      </c>
      <c r="B228" s="3" t="s">
        <v>22</v>
      </c>
      <c r="C228" s="2">
        <v>45586</v>
      </c>
      <c r="D228" s="3" t="s">
        <v>27</v>
      </c>
      <c r="E228" s="3" t="s">
        <v>360</v>
      </c>
      <c r="F228" s="3">
        <v>8254</v>
      </c>
      <c r="G228" s="3">
        <v>1405</v>
      </c>
      <c r="H228" s="3">
        <v>165</v>
      </c>
      <c r="I228" s="3">
        <v>2504</v>
      </c>
      <c r="J228" s="3">
        <v>8081</v>
      </c>
      <c r="K228" s="3">
        <v>177710</v>
      </c>
      <c r="L228" s="6" t="s">
        <v>16</v>
      </c>
    </row>
    <row r="229" spans="1:12" x14ac:dyDescent="0.3">
      <c r="A229" s="5" t="s">
        <v>157</v>
      </c>
      <c r="B229" s="3" t="s">
        <v>18</v>
      </c>
      <c r="C229" s="2">
        <v>45502</v>
      </c>
      <c r="D229" s="3" t="s">
        <v>27</v>
      </c>
      <c r="E229" s="3" t="s">
        <v>353</v>
      </c>
      <c r="F229" s="3">
        <v>19144</v>
      </c>
      <c r="G229" s="3">
        <v>1182</v>
      </c>
      <c r="H229" s="3">
        <v>860</v>
      </c>
      <c r="I229" s="3">
        <v>1398</v>
      </c>
      <c r="J229" s="3">
        <v>4185</v>
      </c>
      <c r="K229" s="3">
        <v>46570</v>
      </c>
      <c r="L229" s="6" t="s">
        <v>16</v>
      </c>
    </row>
    <row r="230" spans="1:12" x14ac:dyDescent="0.3">
      <c r="A230" s="5" t="s">
        <v>157</v>
      </c>
      <c r="B230" s="3" t="s">
        <v>18</v>
      </c>
      <c r="C230" s="2">
        <v>45502</v>
      </c>
      <c r="D230" s="3" t="s">
        <v>27</v>
      </c>
      <c r="E230" s="3" t="s">
        <v>354</v>
      </c>
      <c r="F230" s="3">
        <v>19144</v>
      </c>
      <c r="G230" s="3">
        <v>1182</v>
      </c>
      <c r="H230" s="3">
        <v>860</v>
      </c>
      <c r="I230" s="3">
        <v>1398</v>
      </c>
      <c r="J230" s="3">
        <v>4185</v>
      </c>
      <c r="K230" s="3">
        <v>46570</v>
      </c>
      <c r="L230" s="6" t="s">
        <v>16</v>
      </c>
    </row>
    <row r="231" spans="1:12" x14ac:dyDescent="0.3">
      <c r="A231" s="5" t="s">
        <v>158</v>
      </c>
      <c r="B231" s="3" t="s">
        <v>22</v>
      </c>
      <c r="C231" s="2">
        <v>45567</v>
      </c>
      <c r="D231" s="3" t="s">
        <v>27</v>
      </c>
      <c r="E231" s="3" t="s">
        <v>367</v>
      </c>
      <c r="F231" s="3">
        <v>9350</v>
      </c>
      <c r="G231" s="3">
        <v>1024</v>
      </c>
      <c r="H231" s="3">
        <v>550</v>
      </c>
      <c r="I231" s="3">
        <v>2123</v>
      </c>
      <c r="J231" s="3">
        <v>53916</v>
      </c>
      <c r="K231" s="3">
        <v>108785</v>
      </c>
      <c r="L231" s="6" t="s">
        <v>25</v>
      </c>
    </row>
    <row r="232" spans="1:12" x14ac:dyDescent="0.3">
      <c r="A232" s="5" t="s">
        <v>158</v>
      </c>
      <c r="B232" s="3" t="s">
        <v>22</v>
      </c>
      <c r="C232" s="2">
        <v>45567</v>
      </c>
      <c r="D232" s="3" t="s">
        <v>27</v>
      </c>
      <c r="E232" s="3" t="s">
        <v>32</v>
      </c>
      <c r="F232" s="3">
        <v>9350</v>
      </c>
      <c r="G232" s="3">
        <v>1024</v>
      </c>
      <c r="H232" s="3">
        <v>550</v>
      </c>
      <c r="I232" s="3">
        <v>2123</v>
      </c>
      <c r="J232" s="3">
        <v>53916</v>
      </c>
      <c r="K232" s="3">
        <v>108785</v>
      </c>
      <c r="L232" s="6" t="s">
        <v>25</v>
      </c>
    </row>
    <row r="233" spans="1:12" x14ac:dyDescent="0.3">
      <c r="A233" s="5" t="s">
        <v>159</v>
      </c>
      <c r="B233" s="3" t="s">
        <v>40</v>
      </c>
      <c r="C233" s="2">
        <v>45457</v>
      </c>
      <c r="D233" s="3" t="s">
        <v>27</v>
      </c>
      <c r="E233" s="3" t="s">
        <v>359</v>
      </c>
      <c r="F233" s="3">
        <v>17183</v>
      </c>
      <c r="G233" s="3">
        <v>1224</v>
      </c>
      <c r="H233" s="3">
        <v>943</v>
      </c>
      <c r="I233" s="3">
        <v>2010</v>
      </c>
      <c r="J233" s="3">
        <v>21481</v>
      </c>
      <c r="K233" s="3">
        <v>49110</v>
      </c>
      <c r="L233" s="6" t="s">
        <v>25</v>
      </c>
    </row>
    <row r="234" spans="1:12" x14ac:dyDescent="0.3">
      <c r="A234" s="5" t="s">
        <v>159</v>
      </c>
      <c r="B234" s="3" t="s">
        <v>40</v>
      </c>
      <c r="C234" s="2">
        <v>45457</v>
      </c>
      <c r="D234" s="3" t="s">
        <v>27</v>
      </c>
      <c r="E234" s="3" t="s">
        <v>366</v>
      </c>
      <c r="F234" s="3">
        <v>17183</v>
      </c>
      <c r="G234" s="3">
        <v>1224</v>
      </c>
      <c r="H234" s="3">
        <v>943</v>
      </c>
      <c r="I234" s="3">
        <v>2010</v>
      </c>
      <c r="J234" s="3">
        <v>21481</v>
      </c>
      <c r="K234" s="3">
        <v>49110</v>
      </c>
      <c r="L234" s="6" t="s">
        <v>25</v>
      </c>
    </row>
    <row r="235" spans="1:12" x14ac:dyDescent="0.3">
      <c r="A235" s="5" t="s">
        <v>160</v>
      </c>
      <c r="B235" s="3" t="s">
        <v>13</v>
      </c>
      <c r="C235" s="2">
        <v>45753</v>
      </c>
      <c r="D235" s="3" t="s">
        <v>23</v>
      </c>
      <c r="E235" s="3" t="s">
        <v>367</v>
      </c>
      <c r="F235" s="3">
        <v>8238</v>
      </c>
      <c r="G235" s="3">
        <v>766</v>
      </c>
      <c r="H235" s="3">
        <v>235</v>
      </c>
      <c r="I235" s="3">
        <v>1273</v>
      </c>
      <c r="J235" s="3">
        <v>4706</v>
      </c>
      <c r="K235" s="3">
        <v>119141</v>
      </c>
      <c r="L235" s="6" t="s">
        <v>29</v>
      </c>
    </row>
    <row r="236" spans="1:12" x14ac:dyDescent="0.3">
      <c r="A236" s="5" t="s">
        <v>160</v>
      </c>
      <c r="B236" s="3" t="s">
        <v>13</v>
      </c>
      <c r="C236" s="2">
        <v>45753</v>
      </c>
      <c r="D236" s="3" t="s">
        <v>23</v>
      </c>
      <c r="E236" s="3" t="s">
        <v>32</v>
      </c>
      <c r="F236" s="3">
        <v>8238</v>
      </c>
      <c r="G236" s="3">
        <v>766</v>
      </c>
      <c r="H236" s="3">
        <v>235</v>
      </c>
      <c r="I236" s="3">
        <v>1273</v>
      </c>
      <c r="J236" s="3">
        <v>4706</v>
      </c>
      <c r="K236" s="3">
        <v>119141</v>
      </c>
      <c r="L236" s="6" t="s">
        <v>29</v>
      </c>
    </row>
    <row r="237" spans="1:12" x14ac:dyDescent="0.3">
      <c r="A237" s="5" t="s">
        <v>161</v>
      </c>
      <c r="B237" s="3" t="s">
        <v>22</v>
      </c>
      <c r="C237" s="2">
        <v>45543</v>
      </c>
      <c r="D237" s="3" t="s">
        <v>34</v>
      </c>
      <c r="E237" s="3" t="s">
        <v>353</v>
      </c>
      <c r="F237" s="3">
        <v>8090</v>
      </c>
      <c r="G237" s="3">
        <v>570</v>
      </c>
      <c r="H237" s="3">
        <v>399</v>
      </c>
      <c r="I237" s="3">
        <v>1862</v>
      </c>
      <c r="J237" s="3">
        <v>34088</v>
      </c>
      <c r="K237" s="3">
        <v>52115</v>
      </c>
      <c r="L237" s="6" t="s">
        <v>16</v>
      </c>
    </row>
    <row r="238" spans="1:12" x14ac:dyDescent="0.3">
      <c r="A238" s="5" t="s">
        <v>161</v>
      </c>
      <c r="B238" s="3" t="s">
        <v>22</v>
      </c>
      <c r="C238" s="2">
        <v>45543</v>
      </c>
      <c r="D238" s="3" t="s">
        <v>34</v>
      </c>
      <c r="E238" s="3" t="s">
        <v>354</v>
      </c>
      <c r="F238" s="3">
        <v>8090</v>
      </c>
      <c r="G238" s="3">
        <v>570</v>
      </c>
      <c r="H238" s="3">
        <v>399</v>
      </c>
      <c r="I238" s="3">
        <v>1862</v>
      </c>
      <c r="J238" s="3">
        <v>34088</v>
      </c>
      <c r="K238" s="3">
        <v>52115</v>
      </c>
      <c r="L238" s="6" t="s">
        <v>16</v>
      </c>
    </row>
    <row r="239" spans="1:12" x14ac:dyDescent="0.3">
      <c r="A239" s="5" t="s">
        <v>162</v>
      </c>
      <c r="B239" s="3" t="s">
        <v>18</v>
      </c>
      <c r="C239" s="2">
        <v>45744</v>
      </c>
      <c r="D239" s="3" t="s">
        <v>14</v>
      </c>
      <c r="E239" s="3" t="s">
        <v>363</v>
      </c>
      <c r="F239" s="3">
        <v>13637</v>
      </c>
      <c r="G239" s="3">
        <v>1135</v>
      </c>
      <c r="H239" s="3">
        <v>540</v>
      </c>
      <c r="I239" s="3">
        <v>1288</v>
      </c>
      <c r="J239" s="3">
        <v>45183</v>
      </c>
      <c r="K239" s="3">
        <v>79062</v>
      </c>
      <c r="L239" s="6" t="s">
        <v>45</v>
      </c>
    </row>
    <row r="240" spans="1:12" x14ac:dyDescent="0.3">
      <c r="A240" s="5" t="s">
        <v>162</v>
      </c>
      <c r="B240" s="3" t="s">
        <v>18</v>
      </c>
      <c r="C240" s="2">
        <v>45744</v>
      </c>
      <c r="D240" s="3" t="s">
        <v>14</v>
      </c>
      <c r="E240" s="3" t="s">
        <v>364</v>
      </c>
      <c r="F240" s="3">
        <v>13637</v>
      </c>
      <c r="G240" s="3">
        <v>1135</v>
      </c>
      <c r="H240" s="3">
        <v>540</v>
      </c>
      <c r="I240" s="3">
        <v>1288</v>
      </c>
      <c r="J240" s="3">
        <v>45183</v>
      </c>
      <c r="K240" s="3">
        <v>79062</v>
      </c>
      <c r="L240" s="6" t="s">
        <v>45</v>
      </c>
    </row>
    <row r="241" spans="1:12" x14ac:dyDescent="0.3">
      <c r="A241" s="5" t="s">
        <v>163</v>
      </c>
      <c r="B241" s="3" t="s">
        <v>40</v>
      </c>
      <c r="C241" s="2">
        <v>45684</v>
      </c>
      <c r="D241" s="3" t="s">
        <v>14</v>
      </c>
      <c r="E241" s="3" t="s">
        <v>359</v>
      </c>
      <c r="F241" s="3">
        <v>24415</v>
      </c>
      <c r="G241" s="3">
        <v>860</v>
      </c>
      <c r="H241" s="3">
        <v>931</v>
      </c>
      <c r="I241" s="3">
        <v>320</v>
      </c>
      <c r="J241" s="3">
        <v>65049</v>
      </c>
      <c r="K241" s="3">
        <v>62911</v>
      </c>
      <c r="L241" s="6" t="s">
        <v>16</v>
      </c>
    </row>
    <row r="242" spans="1:12" x14ac:dyDescent="0.3">
      <c r="A242" s="5" t="s">
        <v>163</v>
      </c>
      <c r="B242" s="3" t="s">
        <v>40</v>
      </c>
      <c r="C242" s="2">
        <v>45684</v>
      </c>
      <c r="D242" s="3" t="s">
        <v>14</v>
      </c>
      <c r="E242" s="3" t="s">
        <v>366</v>
      </c>
      <c r="F242" s="3">
        <v>24415</v>
      </c>
      <c r="G242" s="3">
        <v>860</v>
      </c>
      <c r="H242" s="3">
        <v>931</v>
      </c>
      <c r="I242" s="3">
        <v>320</v>
      </c>
      <c r="J242" s="3">
        <v>65049</v>
      </c>
      <c r="K242" s="3">
        <v>62911</v>
      </c>
      <c r="L242" s="6" t="s">
        <v>16</v>
      </c>
    </row>
    <row r="243" spans="1:12" x14ac:dyDescent="0.3">
      <c r="A243" s="5" t="s">
        <v>164</v>
      </c>
      <c r="B243" s="3" t="s">
        <v>22</v>
      </c>
      <c r="C243" s="2">
        <v>45667</v>
      </c>
      <c r="D243" s="3" t="s">
        <v>34</v>
      </c>
      <c r="E243" s="3" t="s">
        <v>367</v>
      </c>
      <c r="F243" s="3">
        <v>14647</v>
      </c>
      <c r="G243" s="3">
        <v>1168</v>
      </c>
      <c r="H243" s="3">
        <v>484</v>
      </c>
      <c r="I243" s="3">
        <v>2650</v>
      </c>
      <c r="J243" s="3">
        <v>27217</v>
      </c>
      <c r="K243" s="3">
        <v>144061</v>
      </c>
      <c r="L243" s="6" t="s">
        <v>29</v>
      </c>
    </row>
    <row r="244" spans="1:12" x14ac:dyDescent="0.3">
      <c r="A244" s="5" t="s">
        <v>164</v>
      </c>
      <c r="B244" s="3" t="s">
        <v>22</v>
      </c>
      <c r="C244" s="2">
        <v>45667</v>
      </c>
      <c r="D244" s="3" t="s">
        <v>34</v>
      </c>
      <c r="E244" s="3" t="s">
        <v>32</v>
      </c>
      <c r="F244" s="3">
        <v>14647</v>
      </c>
      <c r="G244" s="3">
        <v>1168</v>
      </c>
      <c r="H244" s="3">
        <v>484</v>
      </c>
      <c r="I244" s="3">
        <v>2650</v>
      </c>
      <c r="J244" s="3">
        <v>27217</v>
      </c>
      <c r="K244" s="3">
        <v>144061</v>
      </c>
      <c r="L244" s="6" t="s">
        <v>29</v>
      </c>
    </row>
    <row r="245" spans="1:12" x14ac:dyDescent="0.3">
      <c r="A245" s="5" t="s">
        <v>165</v>
      </c>
      <c r="B245" s="3" t="s">
        <v>18</v>
      </c>
      <c r="C245" s="2">
        <v>45494</v>
      </c>
      <c r="D245" s="3" t="s">
        <v>14</v>
      </c>
      <c r="E245" s="3" t="s">
        <v>359</v>
      </c>
      <c r="F245" s="3">
        <v>11911</v>
      </c>
      <c r="G245" s="3">
        <v>1360</v>
      </c>
      <c r="H245" s="3">
        <v>778</v>
      </c>
      <c r="I245" s="3">
        <v>1168</v>
      </c>
      <c r="J245" s="3">
        <v>16483</v>
      </c>
      <c r="K245" s="3">
        <v>72556</v>
      </c>
      <c r="L245" s="6" t="s">
        <v>25</v>
      </c>
    </row>
    <row r="246" spans="1:12" x14ac:dyDescent="0.3">
      <c r="A246" s="5" t="s">
        <v>165</v>
      </c>
      <c r="B246" s="3" t="s">
        <v>18</v>
      </c>
      <c r="C246" s="2">
        <v>45494</v>
      </c>
      <c r="D246" s="3" t="s">
        <v>14</v>
      </c>
      <c r="E246" s="3" t="s">
        <v>360</v>
      </c>
      <c r="F246" s="3">
        <v>11911</v>
      </c>
      <c r="G246" s="3">
        <v>1360</v>
      </c>
      <c r="H246" s="3">
        <v>778</v>
      </c>
      <c r="I246" s="3">
        <v>1168</v>
      </c>
      <c r="J246" s="3">
        <v>16483</v>
      </c>
      <c r="K246" s="3">
        <v>72556</v>
      </c>
      <c r="L246" s="6" t="s">
        <v>25</v>
      </c>
    </row>
    <row r="247" spans="1:12" x14ac:dyDescent="0.3">
      <c r="A247" s="5" t="s">
        <v>166</v>
      </c>
      <c r="B247" s="3" t="s">
        <v>18</v>
      </c>
      <c r="C247" s="2">
        <v>45564</v>
      </c>
      <c r="D247" s="3" t="s">
        <v>34</v>
      </c>
      <c r="E247" s="3" t="s">
        <v>355</v>
      </c>
      <c r="F247" s="3">
        <v>10472</v>
      </c>
      <c r="G247" s="3">
        <v>401</v>
      </c>
      <c r="H247" s="3">
        <v>668</v>
      </c>
      <c r="I247" s="3">
        <v>383</v>
      </c>
      <c r="J247" s="3">
        <v>37571</v>
      </c>
      <c r="K247" s="3">
        <v>249203</v>
      </c>
      <c r="L247" s="6" t="s">
        <v>25</v>
      </c>
    </row>
    <row r="248" spans="1:12" x14ac:dyDescent="0.3">
      <c r="A248" s="5" t="s">
        <v>166</v>
      </c>
      <c r="B248" s="3" t="s">
        <v>18</v>
      </c>
      <c r="C248" s="2">
        <v>45564</v>
      </c>
      <c r="D248" s="3" t="s">
        <v>34</v>
      </c>
      <c r="E248" s="3" t="s">
        <v>356</v>
      </c>
      <c r="F248" s="3">
        <v>10472</v>
      </c>
      <c r="G248" s="3">
        <v>401</v>
      </c>
      <c r="H248" s="3">
        <v>668</v>
      </c>
      <c r="I248" s="3">
        <v>383</v>
      </c>
      <c r="J248" s="3">
        <v>37571</v>
      </c>
      <c r="K248" s="3">
        <v>249203</v>
      </c>
      <c r="L248" s="6" t="s">
        <v>25</v>
      </c>
    </row>
    <row r="249" spans="1:12" x14ac:dyDescent="0.3">
      <c r="A249" s="5" t="s">
        <v>167</v>
      </c>
      <c r="B249" s="3" t="s">
        <v>18</v>
      </c>
      <c r="C249" s="2">
        <v>45586</v>
      </c>
      <c r="D249" s="3" t="s">
        <v>14</v>
      </c>
      <c r="E249" s="3" t="s">
        <v>365</v>
      </c>
      <c r="F249" s="3">
        <v>20271</v>
      </c>
      <c r="G249" s="3">
        <v>512</v>
      </c>
      <c r="H249" s="3">
        <v>286</v>
      </c>
      <c r="I249" s="3">
        <v>1982</v>
      </c>
      <c r="J249" s="3">
        <v>43225</v>
      </c>
      <c r="K249" s="3">
        <v>168335</v>
      </c>
      <c r="L249" s="6" t="s">
        <v>29</v>
      </c>
    </row>
    <row r="250" spans="1:12" x14ac:dyDescent="0.3">
      <c r="A250" s="5" t="s">
        <v>167</v>
      </c>
      <c r="B250" s="3" t="s">
        <v>18</v>
      </c>
      <c r="C250" s="2">
        <v>45586</v>
      </c>
      <c r="D250" s="3" t="s">
        <v>14</v>
      </c>
      <c r="E250" s="3" t="s">
        <v>359</v>
      </c>
      <c r="F250" s="3">
        <v>20271</v>
      </c>
      <c r="G250" s="3">
        <v>512</v>
      </c>
      <c r="H250" s="3">
        <v>286</v>
      </c>
      <c r="I250" s="3">
        <v>1982</v>
      </c>
      <c r="J250" s="3">
        <v>43225</v>
      </c>
      <c r="K250" s="3">
        <v>168335</v>
      </c>
      <c r="L250" s="6" t="s">
        <v>29</v>
      </c>
    </row>
    <row r="251" spans="1:12" x14ac:dyDescent="0.3">
      <c r="A251" s="5" t="s">
        <v>168</v>
      </c>
      <c r="B251" s="3" t="s">
        <v>22</v>
      </c>
      <c r="C251" s="2">
        <v>45720</v>
      </c>
      <c r="D251" s="3" t="s">
        <v>27</v>
      </c>
      <c r="E251" s="3" t="s">
        <v>355</v>
      </c>
      <c r="F251" s="3">
        <v>5266</v>
      </c>
      <c r="G251" s="3">
        <v>316</v>
      </c>
      <c r="H251" s="3">
        <v>837</v>
      </c>
      <c r="I251" s="3">
        <v>2276</v>
      </c>
      <c r="J251" s="3">
        <v>20967</v>
      </c>
      <c r="K251" s="3">
        <v>41969</v>
      </c>
      <c r="L251" s="6" t="s">
        <v>45</v>
      </c>
    </row>
    <row r="252" spans="1:12" x14ac:dyDescent="0.3">
      <c r="A252" s="5" t="s">
        <v>168</v>
      </c>
      <c r="B252" s="3" t="s">
        <v>22</v>
      </c>
      <c r="C252" s="2">
        <v>45720</v>
      </c>
      <c r="D252" s="3" t="s">
        <v>27</v>
      </c>
      <c r="E252" s="3" t="s">
        <v>356</v>
      </c>
      <c r="F252" s="3">
        <v>5266</v>
      </c>
      <c r="G252" s="3">
        <v>316</v>
      </c>
      <c r="H252" s="3">
        <v>837</v>
      </c>
      <c r="I252" s="3">
        <v>2276</v>
      </c>
      <c r="J252" s="3">
        <v>20967</v>
      </c>
      <c r="K252" s="3">
        <v>41969</v>
      </c>
      <c r="L252" s="6" t="s">
        <v>45</v>
      </c>
    </row>
    <row r="253" spans="1:12" x14ac:dyDescent="0.3">
      <c r="A253" s="5" t="s">
        <v>169</v>
      </c>
      <c r="B253" s="3" t="s">
        <v>22</v>
      </c>
      <c r="C253" s="2">
        <v>45694</v>
      </c>
      <c r="D253" s="3" t="s">
        <v>14</v>
      </c>
      <c r="E253" s="3" t="s">
        <v>353</v>
      </c>
      <c r="F253" s="3">
        <v>2666</v>
      </c>
      <c r="G253" s="3">
        <v>1136</v>
      </c>
      <c r="H253" s="3">
        <v>989</v>
      </c>
      <c r="I253" s="3">
        <v>1710</v>
      </c>
      <c r="J253" s="3">
        <v>36467</v>
      </c>
      <c r="K253" s="3">
        <v>83753</v>
      </c>
      <c r="L253" s="6" t="s">
        <v>25</v>
      </c>
    </row>
    <row r="254" spans="1:12" x14ac:dyDescent="0.3">
      <c r="A254" s="5" t="s">
        <v>169</v>
      </c>
      <c r="B254" s="3" t="s">
        <v>22</v>
      </c>
      <c r="C254" s="2">
        <v>45694</v>
      </c>
      <c r="D254" s="3" t="s">
        <v>14</v>
      </c>
      <c r="E254" s="3" t="s">
        <v>354</v>
      </c>
      <c r="F254" s="3">
        <v>2666</v>
      </c>
      <c r="G254" s="3">
        <v>1136</v>
      </c>
      <c r="H254" s="3">
        <v>989</v>
      </c>
      <c r="I254" s="3">
        <v>1710</v>
      </c>
      <c r="J254" s="3">
        <v>36467</v>
      </c>
      <c r="K254" s="3">
        <v>83753</v>
      </c>
      <c r="L254" s="6" t="s">
        <v>25</v>
      </c>
    </row>
    <row r="255" spans="1:12" x14ac:dyDescent="0.3">
      <c r="A255" s="5" t="s">
        <v>170</v>
      </c>
      <c r="B255" s="3" t="s">
        <v>22</v>
      </c>
      <c r="C255" s="2">
        <v>45931</v>
      </c>
      <c r="D255" s="3" t="s">
        <v>34</v>
      </c>
      <c r="E255" s="3" t="s">
        <v>32</v>
      </c>
      <c r="F255" s="3">
        <v>6188</v>
      </c>
      <c r="G255" s="3">
        <v>774</v>
      </c>
      <c r="H255" s="3">
        <v>647</v>
      </c>
      <c r="I255" s="3">
        <v>1830</v>
      </c>
      <c r="J255" s="3">
        <v>55436</v>
      </c>
      <c r="K255" s="3">
        <v>175542</v>
      </c>
      <c r="L255" s="6" t="s">
        <v>20</v>
      </c>
    </row>
    <row r="256" spans="1:12" x14ac:dyDescent="0.3">
      <c r="A256" s="5" t="s">
        <v>171</v>
      </c>
      <c r="B256" s="3" t="s">
        <v>13</v>
      </c>
      <c r="C256" s="2">
        <v>45624</v>
      </c>
      <c r="D256" s="3" t="s">
        <v>34</v>
      </c>
      <c r="E256" s="3" t="s">
        <v>365</v>
      </c>
      <c r="F256" s="3">
        <v>19055</v>
      </c>
      <c r="G256" s="3">
        <v>443</v>
      </c>
      <c r="H256" s="3">
        <v>976</v>
      </c>
      <c r="I256" s="3">
        <v>869</v>
      </c>
      <c r="J256" s="3">
        <v>75437</v>
      </c>
      <c r="K256" s="3">
        <v>161863</v>
      </c>
      <c r="L256" s="6" t="s">
        <v>25</v>
      </c>
    </row>
    <row r="257" spans="1:12" x14ac:dyDescent="0.3">
      <c r="A257" s="5" t="s">
        <v>171</v>
      </c>
      <c r="B257" s="3" t="s">
        <v>13</v>
      </c>
      <c r="C257" s="2">
        <v>45624</v>
      </c>
      <c r="D257" s="3" t="s">
        <v>34</v>
      </c>
      <c r="E257" s="3" t="s">
        <v>359</v>
      </c>
      <c r="F257" s="3">
        <v>19055</v>
      </c>
      <c r="G257" s="3">
        <v>443</v>
      </c>
      <c r="H257" s="3">
        <v>976</v>
      </c>
      <c r="I257" s="3">
        <v>869</v>
      </c>
      <c r="J257" s="3">
        <v>75437</v>
      </c>
      <c r="K257" s="3">
        <v>161863</v>
      </c>
      <c r="L257" s="6" t="s">
        <v>25</v>
      </c>
    </row>
    <row r="258" spans="1:12" x14ac:dyDescent="0.3">
      <c r="A258" s="5" t="s">
        <v>172</v>
      </c>
      <c r="B258" s="3" t="s">
        <v>22</v>
      </c>
      <c r="C258" s="2">
        <v>45932</v>
      </c>
      <c r="D258" s="3" t="s">
        <v>34</v>
      </c>
      <c r="E258" s="3" t="s">
        <v>357</v>
      </c>
      <c r="F258" s="3">
        <v>12161</v>
      </c>
      <c r="G258" s="3">
        <v>736</v>
      </c>
      <c r="H258" s="3">
        <v>876</v>
      </c>
      <c r="I258" s="3">
        <v>1233</v>
      </c>
      <c r="J258" s="3">
        <v>21337</v>
      </c>
      <c r="K258" s="3">
        <v>50225</v>
      </c>
      <c r="L258" s="6" t="s">
        <v>20</v>
      </c>
    </row>
    <row r="259" spans="1:12" x14ac:dyDescent="0.3">
      <c r="A259" s="5" t="s">
        <v>172</v>
      </c>
      <c r="B259" s="3" t="s">
        <v>22</v>
      </c>
      <c r="C259" s="2">
        <v>45932</v>
      </c>
      <c r="D259" s="3" t="s">
        <v>34</v>
      </c>
      <c r="E259" s="3" t="s">
        <v>358</v>
      </c>
      <c r="F259" s="3">
        <v>12161</v>
      </c>
      <c r="G259" s="3">
        <v>736</v>
      </c>
      <c r="H259" s="3">
        <v>876</v>
      </c>
      <c r="I259" s="3">
        <v>1233</v>
      </c>
      <c r="J259" s="3">
        <v>21337</v>
      </c>
      <c r="K259" s="3">
        <v>50225</v>
      </c>
      <c r="L259" s="6" t="s">
        <v>20</v>
      </c>
    </row>
    <row r="260" spans="1:12" x14ac:dyDescent="0.3">
      <c r="A260" s="5" t="s">
        <v>173</v>
      </c>
      <c r="B260" s="3" t="s">
        <v>22</v>
      </c>
      <c r="C260" s="2">
        <v>45504</v>
      </c>
      <c r="D260" s="3" t="s">
        <v>34</v>
      </c>
      <c r="E260" s="3" t="s">
        <v>359</v>
      </c>
      <c r="F260" s="3">
        <v>13314</v>
      </c>
      <c r="G260" s="3">
        <v>274</v>
      </c>
      <c r="H260" s="3">
        <v>626</v>
      </c>
      <c r="I260" s="3">
        <v>2280</v>
      </c>
      <c r="J260" s="3">
        <v>14639</v>
      </c>
      <c r="K260" s="3">
        <v>163008</v>
      </c>
      <c r="L260" s="6" t="s">
        <v>29</v>
      </c>
    </row>
    <row r="261" spans="1:12" x14ac:dyDescent="0.3">
      <c r="A261" s="5" t="s">
        <v>173</v>
      </c>
      <c r="B261" s="3" t="s">
        <v>22</v>
      </c>
      <c r="C261" s="2">
        <v>45504</v>
      </c>
      <c r="D261" s="3" t="s">
        <v>34</v>
      </c>
      <c r="E261" s="3" t="s">
        <v>360</v>
      </c>
      <c r="F261" s="3">
        <v>13314</v>
      </c>
      <c r="G261" s="3">
        <v>274</v>
      </c>
      <c r="H261" s="3">
        <v>626</v>
      </c>
      <c r="I261" s="3">
        <v>2280</v>
      </c>
      <c r="J261" s="3">
        <v>14639</v>
      </c>
      <c r="K261" s="3">
        <v>163008</v>
      </c>
      <c r="L261" s="6" t="s">
        <v>29</v>
      </c>
    </row>
    <row r="262" spans="1:12" x14ac:dyDescent="0.3">
      <c r="A262" s="5" t="s">
        <v>174</v>
      </c>
      <c r="B262" s="3" t="s">
        <v>22</v>
      </c>
      <c r="C262" s="2">
        <v>45745</v>
      </c>
      <c r="D262" s="3" t="s">
        <v>34</v>
      </c>
      <c r="E262" s="3" t="s">
        <v>357</v>
      </c>
      <c r="F262" s="3">
        <v>23508</v>
      </c>
      <c r="G262" s="3">
        <v>585</v>
      </c>
      <c r="H262" s="3">
        <v>743</v>
      </c>
      <c r="I262" s="3">
        <v>2155</v>
      </c>
      <c r="J262" s="3">
        <v>3704</v>
      </c>
      <c r="K262" s="3">
        <v>194268</v>
      </c>
      <c r="L262" s="6" t="s">
        <v>29</v>
      </c>
    </row>
    <row r="263" spans="1:12" x14ac:dyDescent="0.3">
      <c r="A263" s="5" t="s">
        <v>174</v>
      </c>
      <c r="B263" s="3" t="s">
        <v>22</v>
      </c>
      <c r="C263" s="2">
        <v>45745</v>
      </c>
      <c r="D263" s="3" t="s">
        <v>34</v>
      </c>
      <c r="E263" s="3" t="s">
        <v>358</v>
      </c>
      <c r="F263" s="3">
        <v>23508</v>
      </c>
      <c r="G263" s="3">
        <v>585</v>
      </c>
      <c r="H263" s="3">
        <v>743</v>
      </c>
      <c r="I263" s="3">
        <v>2155</v>
      </c>
      <c r="J263" s="3">
        <v>3704</v>
      </c>
      <c r="K263" s="3">
        <v>194268</v>
      </c>
      <c r="L263" s="6" t="s">
        <v>29</v>
      </c>
    </row>
    <row r="264" spans="1:12" x14ac:dyDescent="0.3">
      <c r="A264" s="5" t="s">
        <v>175</v>
      </c>
      <c r="B264" s="3" t="s">
        <v>13</v>
      </c>
      <c r="C264" s="2">
        <v>45594</v>
      </c>
      <c r="D264" s="3" t="s">
        <v>23</v>
      </c>
      <c r="E264" s="3" t="s">
        <v>359</v>
      </c>
      <c r="F264" s="3">
        <v>23969</v>
      </c>
      <c r="G264" s="3">
        <v>1433</v>
      </c>
      <c r="H264" s="3">
        <v>372</v>
      </c>
      <c r="I264" s="3">
        <v>1092</v>
      </c>
      <c r="J264" s="3">
        <v>32147</v>
      </c>
      <c r="K264" s="3">
        <v>145823</v>
      </c>
      <c r="L264" s="6" t="s">
        <v>25</v>
      </c>
    </row>
    <row r="265" spans="1:12" x14ac:dyDescent="0.3">
      <c r="A265" s="5" t="s">
        <v>175</v>
      </c>
      <c r="B265" s="3" t="s">
        <v>13</v>
      </c>
      <c r="C265" s="2">
        <v>45594</v>
      </c>
      <c r="D265" s="3" t="s">
        <v>23</v>
      </c>
      <c r="E265" s="3" t="s">
        <v>366</v>
      </c>
      <c r="F265" s="3">
        <v>23969</v>
      </c>
      <c r="G265" s="3">
        <v>1433</v>
      </c>
      <c r="H265" s="3">
        <v>372</v>
      </c>
      <c r="I265" s="3">
        <v>1092</v>
      </c>
      <c r="J265" s="3">
        <v>32147</v>
      </c>
      <c r="K265" s="3">
        <v>145823</v>
      </c>
      <c r="L265" s="6" t="s">
        <v>25</v>
      </c>
    </row>
    <row r="266" spans="1:12" x14ac:dyDescent="0.3">
      <c r="A266" s="5" t="s">
        <v>176</v>
      </c>
      <c r="B266" s="3" t="s">
        <v>22</v>
      </c>
      <c r="C266" s="2">
        <v>45488</v>
      </c>
      <c r="D266" s="3" t="s">
        <v>23</v>
      </c>
      <c r="E266" s="3" t="s">
        <v>361</v>
      </c>
      <c r="F266" s="3">
        <v>14891</v>
      </c>
      <c r="G266" s="3">
        <v>674</v>
      </c>
      <c r="H266" s="3">
        <v>521</v>
      </c>
      <c r="I266" s="3">
        <v>1091</v>
      </c>
      <c r="J266" s="3">
        <v>18101</v>
      </c>
      <c r="K266" s="3">
        <v>53669</v>
      </c>
      <c r="L266" s="6" t="s">
        <v>16</v>
      </c>
    </row>
    <row r="267" spans="1:12" x14ac:dyDescent="0.3">
      <c r="A267" s="5" t="s">
        <v>176</v>
      </c>
      <c r="B267" s="3" t="s">
        <v>22</v>
      </c>
      <c r="C267" s="2">
        <v>45488</v>
      </c>
      <c r="D267" s="3" t="s">
        <v>23</v>
      </c>
      <c r="E267" s="3" t="s">
        <v>362</v>
      </c>
      <c r="F267" s="3">
        <v>14891</v>
      </c>
      <c r="G267" s="3">
        <v>674</v>
      </c>
      <c r="H267" s="3">
        <v>521</v>
      </c>
      <c r="I267" s="3">
        <v>1091</v>
      </c>
      <c r="J267" s="3">
        <v>18101</v>
      </c>
      <c r="K267" s="3">
        <v>53669</v>
      </c>
      <c r="L267" s="6" t="s">
        <v>16</v>
      </c>
    </row>
    <row r="268" spans="1:12" x14ac:dyDescent="0.3">
      <c r="A268" s="5" t="s">
        <v>177</v>
      </c>
      <c r="B268" s="3" t="s">
        <v>18</v>
      </c>
      <c r="C268" s="2">
        <v>45933</v>
      </c>
      <c r="D268" s="3" t="s">
        <v>14</v>
      </c>
      <c r="E268" s="3" t="s">
        <v>365</v>
      </c>
      <c r="F268" s="3">
        <v>6777</v>
      </c>
      <c r="G268" s="3">
        <v>617</v>
      </c>
      <c r="H268" s="3">
        <v>551</v>
      </c>
      <c r="I268" s="3">
        <v>2109</v>
      </c>
      <c r="J268" s="3">
        <v>18559</v>
      </c>
      <c r="K268" s="3">
        <v>208452</v>
      </c>
      <c r="L268" s="6" t="s">
        <v>20</v>
      </c>
    </row>
    <row r="269" spans="1:12" x14ac:dyDescent="0.3">
      <c r="A269" s="5" t="s">
        <v>177</v>
      </c>
      <c r="B269" s="3" t="s">
        <v>18</v>
      </c>
      <c r="C269" s="2">
        <v>45933</v>
      </c>
      <c r="D269" s="3" t="s">
        <v>14</v>
      </c>
      <c r="E269" s="3" t="s">
        <v>359</v>
      </c>
      <c r="F269" s="3">
        <v>6777</v>
      </c>
      <c r="G269" s="3">
        <v>617</v>
      </c>
      <c r="H269" s="3">
        <v>551</v>
      </c>
      <c r="I269" s="3">
        <v>2109</v>
      </c>
      <c r="J269" s="3">
        <v>18559</v>
      </c>
      <c r="K269" s="3">
        <v>208452</v>
      </c>
      <c r="L269" s="6" t="s">
        <v>20</v>
      </c>
    </row>
    <row r="270" spans="1:12" x14ac:dyDescent="0.3">
      <c r="A270" s="5" t="s">
        <v>178</v>
      </c>
      <c r="B270" s="3" t="s">
        <v>22</v>
      </c>
      <c r="C270" s="2">
        <v>45741</v>
      </c>
      <c r="D270" s="3" t="s">
        <v>34</v>
      </c>
      <c r="E270" s="3" t="s">
        <v>357</v>
      </c>
      <c r="F270" s="3">
        <v>5900</v>
      </c>
      <c r="G270" s="3">
        <v>546</v>
      </c>
      <c r="H270" s="3">
        <v>592</v>
      </c>
      <c r="I270" s="3">
        <v>1594</v>
      </c>
      <c r="J270" s="3">
        <v>38627</v>
      </c>
      <c r="K270" s="3">
        <v>164398</v>
      </c>
      <c r="L270" s="6" t="s">
        <v>45</v>
      </c>
    </row>
    <row r="271" spans="1:12" x14ac:dyDescent="0.3">
      <c r="A271" s="5" t="s">
        <v>178</v>
      </c>
      <c r="B271" s="3" t="s">
        <v>22</v>
      </c>
      <c r="C271" s="2">
        <v>45741</v>
      </c>
      <c r="D271" s="3" t="s">
        <v>34</v>
      </c>
      <c r="E271" s="3" t="s">
        <v>358</v>
      </c>
      <c r="F271" s="3">
        <v>5900</v>
      </c>
      <c r="G271" s="3">
        <v>546</v>
      </c>
      <c r="H271" s="3">
        <v>592</v>
      </c>
      <c r="I271" s="3">
        <v>1594</v>
      </c>
      <c r="J271" s="3">
        <v>38627</v>
      </c>
      <c r="K271" s="3">
        <v>164398</v>
      </c>
      <c r="L271" s="6" t="s">
        <v>45</v>
      </c>
    </row>
    <row r="272" spans="1:12" x14ac:dyDescent="0.3">
      <c r="A272" s="5" t="s">
        <v>179</v>
      </c>
      <c r="B272" s="3" t="s">
        <v>18</v>
      </c>
      <c r="C272" s="2">
        <v>45567</v>
      </c>
      <c r="D272" s="3" t="s">
        <v>14</v>
      </c>
      <c r="E272" s="3" t="s">
        <v>357</v>
      </c>
      <c r="F272" s="3">
        <v>15716</v>
      </c>
      <c r="G272" s="3">
        <v>839</v>
      </c>
      <c r="H272" s="3">
        <v>639</v>
      </c>
      <c r="I272" s="3">
        <v>2839</v>
      </c>
      <c r="J272" s="3">
        <v>349</v>
      </c>
      <c r="K272" s="3">
        <v>150677</v>
      </c>
      <c r="L272" s="6" t="s">
        <v>25</v>
      </c>
    </row>
    <row r="273" spans="1:12" x14ac:dyDescent="0.3">
      <c r="A273" s="5" t="s">
        <v>179</v>
      </c>
      <c r="B273" s="3" t="s">
        <v>18</v>
      </c>
      <c r="C273" s="2">
        <v>45567</v>
      </c>
      <c r="D273" s="3" t="s">
        <v>14</v>
      </c>
      <c r="E273" s="3" t="s">
        <v>358</v>
      </c>
      <c r="F273" s="3">
        <v>15716</v>
      </c>
      <c r="G273" s="3">
        <v>839</v>
      </c>
      <c r="H273" s="3">
        <v>639</v>
      </c>
      <c r="I273" s="3">
        <v>2839</v>
      </c>
      <c r="J273" s="3">
        <v>349</v>
      </c>
      <c r="K273" s="3">
        <v>150677</v>
      </c>
      <c r="L273" s="6" t="s">
        <v>25</v>
      </c>
    </row>
    <row r="274" spans="1:12" x14ac:dyDescent="0.3">
      <c r="A274" s="5" t="s">
        <v>180</v>
      </c>
      <c r="B274" s="3" t="s">
        <v>18</v>
      </c>
      <c r="C274" s="2">
        <v>45593</v>
      </c>
      <c r="D274" s="3" t="s">
        <v>34</v>
      </c>
      <c r="E274" s="3" t="s">
        <v>367</v>
      </c>
      <c r="F274" s="3">
        <v>8981</v>
      </c>
      <c r="G274" s="3">
        <v>1138</v>
      </c>
      <c r="H274" s="3">
        <v>764</v>
      </c>
      <c r="I274" s="3">
        <v>2555</v>
      </c>
      <c r="J274" s="3">
        <v>92810</v>
      </c>
      <c r="K274" s="3">
        <v>88320</v>
      </c>
      <c r="L274" s="6" t="s">
        <v>45</v>
      </c>
    </row>
    <row r="275" spans="1:12" x14ac:dyDescent="0.3">
      <c r="A275" s="5" t="s">
        <v>180</v>
      </c>
      <c r="B275" s="3" t="s">
        <v>18</v>
      </c>
      <c r="C275" s="2">
        <v>45593</v>
      </c>
      <c r="D275" s="3" t="s">
        <v>34</v>
      </c>
      <c r="E275" s="3" t="s">
        <v>32</v>
      </c>
      <c r="F275" s="3">
        <v>8981</v>
      </c>
      <c r="G275" s="3">
        <v>1138</v>
      </c>
      <c r="H275" s="3">
        <v>764</v>
      </c>
      <c r="I275" s="3">
        <v>2555</v>
      </c>
      <c r="J275" s="3">
        <v>92810</v>
      </c>
      <c r="K275" s="3">
        <v>88320</v>
      </c>
      <c r="L275" s="6" t="s">
        <v>45</v>
      </c>
    </row>
    <row r="276" spans="1:12" x14ac:dyDescent="0.3">
      <c r="A276" s="5" t="s">
        <v>181</v>
      </c>
      <c r="B276" s="3" t="s">
        <v>18</v>
      </c>
      <c r="C276" s="2">
        <v>45516</v>
      </c>
      <c r="D276" s="3" t="s">
        <v>34</v>
      </c>
      <c r="E276" s="3" t="s">
        <v>355</v>
      </c>
      <c r="F276" s="3">
        <v>8376</v>
      </c>
      <c r="G276" s="3">
        <v>1154</v>
      </c>
      <c r="H276" s="3">
        <v>422</v>
      </c>
      <c r="I276" s="3">
        <v>1907</v>
      </c>
      <c r="J276" s="3">
        <v>36874</v>
      </c>
      <c r="K276" s="3">
        <v>218486</v>
      </c>
      <c r="L276" s="6" t="s">
        <v>25</v>
      </c>
    </row>
    <row r="277" spans="1:12" x14ac:dyDescent="0.3">
      <c r="A277" s="5" t="s">
        <v>181</v>
      </c>
      <c r="B277" s="3" t="s">
        <v>18</v>
      </c>
      <c r="C277" s="2">
        <v>45516</v>
      </c>
      <c r="D277" s="3" t="s">
        <v>34</v>
      </c>
      <c r="E277" s="3" t="s">
        <v>356</v>
      </c>
      <c r="F277" s="3">
        <v>8376</v>
      </c>
      <c r="G277" s="3">
        <v>1154</v>
      </c>
      <c r="H277" s="3">
        <v>422</v>
      </c>
      <c r="I277" s="3">
        <v>1907</v>
      </c>
      <c r="J277" s="3">
        <v>36874</v>
      </c>
      <c r="K277" s="3">
        <v>218486</v>
      </c>
      <c r="L277" s="6" t="s">
        <v>25</v>
      </c>
    </row>
    <row r="278" spans="1:12" x14ac:dyDescent="0.3">
      <c r="A278" s="5" t="s">
        <v>182</v>
      </c>
      <c r="B278" s="3" t="s">
        <v>13</v>
      </c>
      <c r="C278" s="2">
        <v>45448</v>
      </c>
      <c r="D278" s="3" t="s">
        <v>23</v>
      </c>
      <c r="E278" s="3" t="s">
        <v>367</v>
      </c>
      <c r="F278" s="3">
        <v>18907</v>
      </c>
      <c r="G278" s="3">
        <v>1075</v>
      </c>
      <c r="H278" s="3">
        <v>675</v>
      </c>
      <c r="I278" s="3">
        <v>1383</v>
      </c>
      <c r="J278" s="3">
        <v>17875</v>
      </c>
      <c r="K278" s="3">
        <v>186649</v>
      </c>
      <c r="L278" s="6" t="s">
        <v>16</v>
      </c>
    </row>
    <row r="279" spans="1:12" x14ac:dyDescent="0.3">
      <c r="A279" s="5" t="s">
        <v>182</v>
      </c>
      <c r="B279" s="3" t="s">
        <v>13</v>
      </c>
      <c r="C279" s="2">
        <v>45448</v>
      </c>
      <c r="D279" s="3" t="s">
        <v>23</v>
      </c>
      <c r="E279" s="3" t="s">
        <v>32</v>
      </c>
      <c r="F279" s="3">
        <v>18907</v>
      </c>
      <c r="G279" s="3">
        <v>1075</v>
      </c>
      <c r="H279" s="3">
        <v>675</v>
      </c>
      <c r="I279" s="3">
        <v>1383</v>
      </c>
      <c r="J279" s="3">
        <v>17875</v>
      </c>
      <c r="K279" s="3">
        <v>186649</v>
      </c>
      <c r="L279" s="6" t="s">
        <v>16</v>
      </c>
    </row>
    <row r="280" spans="1:12" x14ac:dyDescent="0.3">
      <c r="A280" s="5" t="s">
        <v>183</v>
      </c>
      <c r="B280" s="3" t="s">
        <v>13</v>
      </c>
      <c r="C280" s="2">
        <v>45586</v>
      </c>
      <c r="D280" s="3" t="s">
        <v>23</v>
      </c>
      <c r="E280" s="3" t="s">
        <v>365</v>
      </c>
      <c r="F280" s="3">
        <v>20777</v>
      </c>
      <c r="G280" s="3">
        <v>962</v>
      </c>
      <c r="H280" s="3">
        <v>308</v>
      </c>
      <c r="I280" s="3">
        <v>2777</v>
      </c>
      <c r="J280" s="3">
        <v>25529</v>
      </c>
      <c r="K280" s="3">
        <v>165354</v>
      </c>
      <c r="L280" s="6" t="s">
        <v>16</v>
      </c>
    </row>
    <row r="281" spans="1:12" x14ac:dyDescent="0.3">
      <c r="A281" s="5" t="s">
        <v>183</v>
      </c>
      <c r="B281" s="3" t="s">
        <v>13</v>
      </c>
      <c r="C281" s="2">
        <v>45586</v>
      </c>
      <c r="D281" s="3" t="s">
        <v>23</v>
      </c>
      <c r="E281" s="3" t="s">
        <v>359</v>
      </c>
      <c r="F281" s="3">
        <v>20777</v>
      </c>
      <c r="G281" s="3">
        <v>962</v>
      </c>
      <c r="H281" s="3">
        <v>308</v>
      </c>
      <c r="I281" s="3">
        <v>2777</v>
      </c>
      <c r="J281" s="3">
        <v>25529</v>
      </c>
      <c r="K281" s="3">
        <v>165354</v>
      </c>
      <c r="L281" s="6" t="s">
        <v>16</v>
      </c>
    </row>
    <row r="282" spans="1:12" x14ac:dyDescent="0.3">
      <c r="A282" s="5" t="s">
        <v>184</v>
      </c>
      <c r="B282" s="3" t="s">
        <v>13</v>
      </c>
      <c r="C282" s="2">
        <v>45762</v>
      </c>
      <c r="D282" s="3" t="s">
        <v>27</v>
      </c>
      <c r="E282" s="3" t="s">
        <v>365</v>
      </c>
      <c r="F282" s="3">
        <v>20977</v>
      </c>
      <c r="G282" s="3">
        <v>1402</v>
      </c>
      <c r="H282" s="3">
        <v>301</v>
      </c>
      <c r="I282" s="3">
        <v>1284</v>
      </c>
      <c r="J282" s="3">
        <v>24620</v>
      </c>
      <c r="K282" s="3">
        <v>128009</v>
      </c>
      <c r="L282" s="6" t="s">
        <v>16</v>
      </c>
    </row>
    <row r="283" spans="1:12" x14ac:dyDescent="0.3">
      <c r="A283" s="5" t="s">
        <v>184</v>
      </c>
      <c r="B283" s="3" t="s">
        <v>13</v>
      </c>
      <c r="C283" s="2">
        <v>45762</v>
      </c>
      <c r="D283" s="3" t="s">
        <v>27</v>
      </c>
      <c r="E283" s="3" t="s">
        <v>359</v>
      </c>
      <c r="F283" s="3">
        <v>20977</v>
      </c>
      <c r="G283" s="3">
        <v>1402</v>
      </c>
      <c r="H283" s="3">
        <v>301</v>
      </c>
      <c r="I283" s="3">
        <v>1284</v>
      </c>
      <c r="J283" s="3">
        <v>24620</v>
      </c>
      <c r="K283" s="3">
        <v>128009</v>
      </c>
      <c r="L283" s="6" t="s">
        <v>16</v>
      </c>
    </row>
    <row r="284" spans="1:12" x14ac:dyDescent="0.3">
      <c r="A284" s="5" t="s">
        <v>185</v>
      </c>
      <c r="B284" s="3" t="s">
        <v>22</v>
      </c>
      <c r="C284" s="2">
        <v>45459</v>
      </c>
      <c r="D284" s="3" t="s">
        <v>23</v>
      </c>
      <c r="E284" s="3" t="s">
        <v>353</v>
      </c>
      <c r="F284" s="3">
        <v>12160</v>
      </c>
      <c r="G284" s="3">
        <v>1405</v>
      </c>
      <c r="H284" s="3">
        <v>769</v>
      </c>
      <c r="I284" s="3">
        <v>1980</v>
      </c>
      <c r="J284" s="3">
        <v>33174</v>
      </c>
      <c r="K284" s="3">
        <v>226481</v>
      </c>
      <c r="L284" s="6" t="s">
        <v>16</v>
      </c>
    </row>
    <row r="285" spans="1:12" x14ac:dyDescent="0.3">
      <c r="A285" s="5" t="s">
        <v>185</v>
      </c>
      <c r="B285" s="3" t="s">
        <v>22</v>
      </c>
      <c r="C285" s="2">
        <v>45459</v>
      </c>
      <c r="D285" s="3" t="s">
        <v>23</v>
      </c>
      <c r="E285" s="3" t="s">
        <v>354</v>
      </c>
      <c r="F285" s="3">
        <v>12160</v>
      </c>
      <c r="G285" s="3">
        <v>1405</v>
      </c>
      <c r="H285" s="3">
        <v>769</v>
      </c>
      <c r="I285" s="3">
        <v>1980</v>
      </c>
      <c r="J285" s="3">
        <v>33174</v>
      </c>
      <c r="K285" s="3">
        <v>226481</v>
      </c>
      <c r="L285" s="6" t="s">
        <v>16</v>
      </c>
    </row>
    <row r="286" spans="1:12" x14ac:dyDescent="0.3">
      <c r="A286" s="5" t="s">
        <v>186</v>
      </c>
      <c r="B286" s="3" t="s">
        <v>18</v>
      </c>
      <c r="C286" s="2">
        <v>45526</v>
      </c>
      <c r="D286" s="3" t="s">
        <v>27</v>
      </c>
      <c r="E286" s="3" t="s">
        <v>367</v>
      </c>
      <c r="F286" s="3">
        <v>16124</v>
      </c>
      <c r="G286" s="3">
        <v>863</v>
      </c>
      <c r="H286" s="3">
        <v>337</v>
      </c>
      <c r="I286" s="3">
        <v>819</v>
      </c>
      <c r="J286" s="3">
        <v>85788</v>
      </c>
      <c r="K286" s="3">
        <v>68625</v>
      </c>
      <c r="L286" s="6" t="s">
        <v>29</v>
      </c>
    </row>
    <row r="287" spans="1:12" x14ac:dyDescent="0.3">
      <c r="A287" s="5" t="s">
        <v>186</v>
      </c>
      <c r="B287" s="3" t="s">
        <v>18</v>
      </c>
      <c r="C287" s="2">
        <v>45526</v>
      </c>
      <c r="D287" s="3" t="s">
        <v>27</v>
      </c>
      <c r="E287" s="3" t="s">
        <v>32</v>
      </c>
      <c r="F287" s="3">
        <v>16124</v>
      </c>
      <c r="G287" s="3">
        <v>863</v>
      </c>
      <c r="H287" s="3">
        <v>337</v>
      </c>
      <c r="I287" s="3">
        <v>819</v>
      </c>
      <c r="J287" s="3">
        <v>85788</v>
      </c>
      <c r="K287" s="3">
        <v>68625</v>
      </c>
      <c r="L287" s="6" t="s">
        <v>29</v>
      </c>
    </row>
    <row r="288" spans="1:12" x14ac:dyDescent="0.3">
      <c r="A288" s="5" t="s">
        <v>187</v>
      </c>
      <c r="B288" s="3" t="s">
        <v>13</v>
      </c>
      <c r="C288" s="2">
        <v>45499</v>
      </c>
      <c r="D288" s="3" t="s">
        <v>27</v>
      </c>
      <c r="E288" s="3" t="s">
        <v>64</v>
      </c>
      <c r="F288" s="3">
        <v>18282</v>
      </c>
      <c r="G288" s="3">
        <v>224</v>
      </c>
      <c r="H288" s="3">
        <v>962</v>
      </c>
      <c r="I288" s="3">
        <v>890</v>
      </c>
      <c r="J288" s="3">
        <v>35105</v>
      </c>
      <c r="K288" s="3">
        <v>64089</v>
      </c>
      <c r="L288" s="6" t="s">
        <v>29</v>
      </c>
    </row>
    <row r="289" spans="1:12" x14ac:dyDescent="0.3">
      <c r="A289" s="5" t="s">
        <v>188</v>
      </c>
      <c r="B289" s="3" t="s">
        <v>13</v>
      </c>
      <c r="C289" s="2">
        <v>45934</v>
      </c>
      <c r="D289" s="3" t="s">
        <v>27</v>
      </c>
      <c r="E289" s="3" t="s">
        <v>368</v>
      </c>
      <c r="F289" s="3">
        <v>12488</v>
      </c>
      <c r="G289" s="3">
        <v>1403</v>
      </c>
      <c r="H289" s="3">
        <v>247</v>
      </c>
      <c r="I289" s="3">
        <v>1350</v>
      </c>
      <c r="J289" s="3">
        <v>28370</v>
      </c>
      <c r="K289" s="3">
        <v>76487</v>
      </c>
      <c r="L289" s="6" t="s">
        <v>20</v>
      </c>
    </row>
    <row r="290" spans="1:12" x14ac:dyDescent="0.3">
      <c r="A290" s="5" t="s">
        <v>188</v>
      </c>
      <c r="B290" s="3" t="s">
        <v>13</v>
      </c>
      <c r="C290" s="2">
        <v>45934</v>
      </c>
      <c r="D290" s="3" t="s">
        <v>27</v>
      </c>
      <c r="E290" s="3" t="s">
        <v>369</v>
      </c>
      <c r="F290" s="3">
        <v>12488</v>
      </c>
      <c r="G290" s="3">
        <v>1403</v>
      </c>
      <c r="H290" s="3">
        <v>247</v>
      </c>
      <c r="I290" s="3">
        <v>1350</v>
      </c>
      <c r="J290" s="3">
        <v>28370</v>
      </c>
      <c r="K290" s="3">
        <v>76487</v>
      </c>
      <c r="L290" s="6" t="s">
        <v>20</v>
      </c>
    </row>
    <row r="291" spans="1:12" x14ac:dyDescent="0.3">
      <c r="A291" s="5" t="s">
        <v>189</v>
      </c>
      <c r="B291" s="3" t="s">
        <v>22</v>
      </c>
      <c r="C291" s="2">
        <v>45658</v>
      </c>
      <c r="D291" s="3" t="s">
        <v>27</v>
      </c>
      <c r="E291" s="3" t="s">
        <v>355</v>
      </c>
      <c r="F291" s="3">
        <v>24574</v>
      </c>
      <c r="G291" s="3">
        <v>909</v>
      </c>
      <c r="H291" s="3">
        <v>280</v>
      </c>
      <c r="I291" s="3">
        <v>2009</v>
      </c>
      <c r="J291" s="3">
        <v>6221</v>
      </c>
      <c r="K291" s="3">
        <v>236910</v>
      </c>
      <c r="L291" s="6" t="s">
        <v>45</v>
      </c>
    </row>
    <row r="292" spans="1:12" x14ac:dyDescent="0.3">
      <c r="A292" s="5" t="s">
        <v>189</v>
      </c>
      <c r="B292" s="3" t="s">
        <v>22</v>
      </c>
      <c r="C292" s="2">
        <v>45658</v>
      </c>
      <c r="D292" s="3" t="s">
        <v>27</v>
      </c>
      <c r="E292" s="3" t="s">
        <v>356</v>
      </c>
      <c r="F292" s="3">
        <v>24574</v>
      </c>
      <c r="G292" s="3">
        <v>909</v>
      </c>
      <c r="H292" s="3">
        <v>280</v>
      </c>
      <c r="I292" s="3">
        <v>2009</v>
      </c>
      <c r="J292" s="3">
        <v>6221</v>
      </c>
      <c r="K292" s="3">
        <v>236910</v>
      </c>
      <c r="L292" s="6" t="s">
        <v>45</v>
      </c>
    </row>
    <row r="293" spans="1:12" x14ac:dyDescent="0.3">
      <c r="A293" s="5" t="s">
        <v>190</v>
      </c>
      <c r="B293" s="3" t="s">
        <v>13</v>
      </c>
      <c r="C293" s="2">
        <v>45574</v>
      </c>
      <c r="D293" s="3" t="s">
        <v>27</v>
      </c>
      <c r="E293" s="3" t="s">
        <v>365</v>
      </c>
      <c r="F293" s="3">
        <v>7240</v>
      </c>
      <c r="G293" s="3">
        <v>1384</v>
      </c>
      <c r="H293" s="3">
        <v>954</v>
      </c>
      <c r="I293" s="3">
        <v>2335</v>
      </c>
      <c r="J293" s="3">
        <v>6757</v>
      </c>
      <c r="K293" s="3">
        <v>150448</v>
      </c>
      <c r="L293" s="6" t="s">
        <v>25</v>
      </c>
    </row>
    <row r="294" spans="1:12" x14ac:dyDescent="0.3">
      <c r="A294" s="5" t="s">
        <v>190</v>
      </c>
      <c r="B294" s="3" t="s">
        <v>13</v>
      </c>
      <c r="C294" s="2">
        <v>45574</v>
      </c>
      <c r="D294" s="3" t="s">
        <v>27</v>
      </c>
      <c r="E294" s="3" t="s">
        <v>359</v>
      </c>
      <c r="F294" s="3">
        <v>7240</v>
      </c>
      <c r="G294" s="3">
        <v>1384</v>
      </c>
      <c r="H294" s="3">
        <v>954</v>
      </c>
      <c r="I294" s="3">
        <v>2335</v>
      </c>
      <c r="J294" s="3">
        <v>6757</v>
      </c>
      <c r="K294" s="3">
        <v>150448</v>
      </c>
      <c r="L294" s="6" t="s">
        <v>25</v>
      </c>
    </row>
    <row r="295" spans="1:12" x14ac:dyDescent="0.3">
      <c r="A295" s="5" t="s">
        <v>191</v>
      </c>
      <c r="B295" s="3" t="s">
        <v>22</v>
      </c>
      <c r="C295" s="2">
        <v>45647</v>
      </c>
      <c r="D295" s="3" t="s">
        <v>14</v>
      </c>
      <c r="E295" s="3" t="s">
        <v>353</v>
      </c>
      <c r="F295" s="3">
        <v>12453</v>
      </c>
      <c r="G295" s="3">
        <v>376</v>
      </c>
      <c r="H295" s="3">
        <v>320</v>
      </c>
      <c r="I295" s="3">
        <v>2546</v>
      </c>
      <c r="J295" s="3">
        <v>22617</v>
      </c>
      <c r="K295" s="3">
        <v>90138</v>
      </c>
      <c r="L295" s="6" t="s">
        <v>25</v>
      </c>
    </row>
    <row r="296" spans="1:12" x14ac:dyDescent="0.3">
      <c r="A296" s="5" t="s">
        <v>191</v>
      </c>
      <c r="B296" s="3" t="s">
        <v>22</v>
      </c>
      <c r="C296" s="2">
        <v>45647</v>
      </c>
      <c r="D296" s="3" t="s">
        <v>14</v>
      </c>
      <c r="E296" s="3" t="s">
        <v>354</v>
      </c>
      <c r="F296" s="3">
        <v>12453</v>
      </c>
      <c r="G296" s="3">
        <v>376</v>
      </c>
      <c r="H296" s="3">
        <v>320</v>
      </c>
      <c r="I296" s="3">
        <v>2546</v>
      </c>
      <c r="J296" s="3">
        <v>22617</v>
      </c>
      <c r="K296" s="3">
        <v>90138</v>
      </c>
      <c r="L296" s="6" t="s">
        <v>25</v>
      </c>
    </row>
    <row r="297" spans="1:12" x14ac:dyDescent="0.3">
      <c r="A297" s="5" t="s">
        <v>192</v>
      </c>
      <c r="B297" s="3" t="s">
        <v>40</v>
      </c>
      <c r="C297" s="2">
        <v>45587</v>
      </c>
      <c r="D297" s="3" t="s">
        <v>23</v>
      </c>
      <c r="E297" s="3" t="s">
        <v>361</v>
      </c>
      <c r="F297" s="3">
        <v>12478</v>
      </c>
      <c r="G297" s="3">
        <v>484</v>
      </c>
      <c r="H297" s="3">
        <v>332</v>
      </c>
      <c r="I297" s="3">
        <v>2734</v>
      </c>
      <c r="J297" s="3">
        <v>43338</v>
      </c>
      <c r="K297" s="3">
        <v>213895</v>
      </c>
      <c r="L297" s="6" t="s">
        <v>29</v>
      </c>
    </row>
    <row r="298" spans="1:12" x14ac:dyDescent="0.3">
      <c r="A298" s="5" t="s">
        <v>192</v>
      </c>
      <c r="B298" s="3" t="s">
        <v>40</v>
      </c>
      <c r="C298" s="2">
        <v>45587</v>
      </c>
      <c r="D298" s="3" t="s">
        <v>23</v>
      </c>
      <c r="E298" s="3" t="s">
        <v>362</v>
      </c>
      <c r="F298" s="3">
        <v>12478</v>
      </c>
      <c r="G298" s="3">
        <v>484</v>
      </c>
      <c r="H298" s="3">
        <v>332</v>
      </c>
      <c r="I298" s="3">
        <v>2734</v>
      </c>
      <c r="J298" s="3">
        <v>43338</v>
      </c>
      <c r="K298" s="3">
        <v>213895</v>
      </c>
      <c r="L298" s="6" t="s">
        <v>29</v>
      </c>
    </row>
    <row r="299" spans="1:12" x14ac:dyDescent="0.3">
      <c r="A299" s="5" t="s">
        <v>193</v>
      </c>
      <c r="B299" s="3" t="s">
        <v>13</v>
      </c>
      <c r="C299" s="2">
        <v>45496</v>
      </c>
      <c r="D299" s="3" t="s">
        <v>27</v>
      </c>
      <c r="E299" s="3" t="s">
        <v>367</v>
      </c>
      <c r="F299" s="3">
        <v>24877</v>
      </c>
      <c r="G299" s="3">
        <v>262</v>
      </c>
      <c r="H299" s="3">
        <v>513</v>
      </c>
      <c r="I299" s="3">
        <v>648</v>
      </c>
      <c r="J299" s="3">
        <v>47544</v>
      </c>
      <c r="K299" s="3">
        <v>208280</v>
      </c>
      <c r="L299" s="6" t="s">
        <v>25</v>
      </c>
    </row>
    <row r="300" spans="1:12" x14ac:dyDescent="0.3">
      <c r="A300" s="5" t="s">
        <v>193</v>
      </c>
      <c r="B300" s="3" t="s">
        <v>13</v>
      </c>
      <c r="C300" s="2">
        <v>45496</v>
      </c>
      <c r="D300" s="3" t="s">
        <v>27</v>
      </c>
      <c r="E300" s="3" t="s">
        <v>32</v>
      </c>
      <c r="F300" s="3">
        <v>24877</v>
      </c>
      <c r="G300" s="3">
        <v>262</v>
      </c>
      <c r="H300" s="3">
        <v>513</v>
      </c>
      <c r="I300" s="3">
        <v>648</v>
      </c>
      <c r="J300" s="3">
        <v>47544</v>
      </c>
      <c r="K300" s="3">
        <v>208280</v>
      </c>
      <c r="L300" s="6" t="s">
        <v>25</v>
      </c>
    </row>
    <row r="301" spans="1:12" x14ac:dyDescent="0.3">
      <c r="A301" s="5" t="s">
        <v>194</v>
      </c>
      <c r="B301" s="3" t="s">
        <v>40</v>
      </c>
      <c r="C301" s="2">
        <v>45515</v>
      </c>
      <c r="D301" s="3" t="s">
        <v>34</v>
      </c>
      <c r="E301" s="3" t="s">
        <v>355</v>
      </c>
      <c r="F301" s="3">
        <v>14394</v>
      </c>
      <c r="G301" s="3">
        <v>1202</v>
      </c>
      <c r="H301" s="3">
        <v>188</v>
      </c>
      <c r="I301" s="3">
        <v>1259</v>
      </c>
      <c r="J301" s="3">
        <v>21925</v>
      </c>
      <c r="K301" s="3">
        <v>94061</v>
      </c>
      <c r="L301" s="6" t="s">
        <v>29</v>
      </c>
    </row>
    <row r="302" spans="1:12" x14ac:dyDescent="0.3">
      <c r="A302" s="5" t="s">
        <v>194</v>
      </c>
      <c r="B302" s="3" t="s">
        <v>40</v>
      </c>
      <c r="C302" s="2">
        <v>45515</v>
      </c>
      <c r="D302" s="3" t="s">
        <v>34</v>
      </c>
      <c r="E302" s="3" t="s">
        <v>356</v>
      </c>
      <c r="F302" s="3">
        <v>14394</v>
      </c>
      <c r="G302" s="3">
        <v>1202</v>
      </c>
      <c r="H302" s="3">
        <v>188</v>
      </c>
      <c r="I302" s="3">
        <v>1259</v>
      </c>
      <c r="J302" s="3">
        <v>21925</v>
      </c>
      <c r="K302" s="3">
        <v>94061</v>
      </c>
      <c r="L302" s="6" t="s">
        <v>29</v>
      </c>
    </row>
    <row r="303" spans="1:12" x14ac:dyDescent="0.3">
      <c r="A303" s="5" t="s">
        <v>195</v>
      </c>
      <c r="B303" s="3" t="s">
        <v>22</v>
      </c>
      <c r="C303" s="2">
        <v>45935</v>
      </c>
      <c r="D303" s="3" t="s">
        <v>23</v>
      </c>
      <c r="E303" s="3" t="s">
        <v>361</v>
      </c>
      <c r="F303" s="3">
        <v>21262</v>
      </c>
      <c r="G303" s="3">
        <v>861</v>
      </c>
      <c r="H303" s="3">
        <v>676</v>
      </c>
      <c r="I303" s="3">
        <v>2263</v>
      </c>
      <c r="J303" s="3">
        <v>12085</v>
      </c>
      <c r="K303" s="3">
        <v>201731</v>
      </c>
      <c r="L303" s="6" t="s">
        <v>20</v>
      </c>
    </row>
    <row r="304" spans="1:12" x14ac:dyDescent="0.3">
      <c r="A304" s="5" t="s">
        <v>195</v>
      </c>
      <c r="B304" s="3" t="s">
        <v>22</v>
      </c>
      <c r="C304" s="2">
        <v>45935</v>
      </c>
      <c r="D304" s="3" t="s">
        <v>23</v>
      </c>
      <c r="E304" s="3" t="s">
        <v>362</v>
      </c>
      <c r="F304" s="3">
        <v>21262</v>
      </c>
      <c r="G304" s="3">
        <v>861</v>
      </c>
      <c r="H304" s="3">
        <v>676</v>
      </c>
      <c r="I304" s="3">
        <v>2263</v>
      </c>
      <c r="J304" s="3">
        <v>12085</v>
      </c>
      <c r="K304" s="3">
        <v>201731</v>
      </c>
      <c r="L304" s="6" t="s">
        <v>20</v>
      </c>
    </row>
    <row r="305" spans="1:12" x14ac:dyDescent="0.3">
      <c r="A305" s="5" t="s">
        <v>196</v>
      </c>
      <c r="B305" s="3" t="s">
        <v>18</v>
      </c>
      <c r="C305" s="2">
        <v>45528</v>
      </c>
      <c r="D305" s="3" t="s">
        <v>23</v>
      </c>
      <c r="E305" s="3" t="s">
        <v>367</v>
      </c>
      <c r="F305" s="3">
        <v>22527</v>
      </c>
      <c r="G305" s="3">
        <v>865</v>
      </c>
      <c r="H305" s="3">
        <v>646</v>
      </c>
      <c r="I305" s="3">
        <v>992</v>
      </c>
      <c r="J305" s="3">
        <v>18654</v>
      </c>
      <c r="K305" s="3">
        <v>141376</v>
      </c>
      <c r="L305" s="6" t="s">
        <v>45</v>
      </c>
    </row>
    <row r="306" spans="1:12" x14ac:dyDescent="0.3">
      <c r="A306" s="5" t="s">
        <v>196</v>
      </c>
      <c r="B306" s="3" t="s">
        <v>18</v>
      </c>
      <c r="C306" s="2">
        <v>45528</v>
      </c>
      <c r="D306" s="3" t="s">
        <v>23</v>
      </c>
      <c r="E306" s="3" t="s">
        <v>32</v>
      </c>
      <c r="F306" s="3">
        <v>22527</v>
      </c>
      <c r="G306" s="3">
        <v>865</v>
      </c>
      <c r="H306" s="3">
        <v>646</v>
      </c>
      <c r="I306" s="3">
        <v>992</v>
      </c>
      <c r="J306" s="3">
        <v>18654</v>
      </c>
      <c r="K306" s="3">
        <v>141376</v>
      </c>
      <c r="L306" s="6" t="s">
        <v>45</v>
      </c>
    </row>
    <row r="307" spans="1:12" x14ac:dyDescent="0.3">
      <c r="A307" s="5" t="s">
        <v>197</v>
      </c>
      <c r="B307" s="3" t="s">
        <v>13</v>
      </c>
      <c r="C307" s="2">
        <v>45936</v>
      </c>
      <c r="D307" s="3" t="s">
        <v>27</v>
      </c>
      <c r="E307" s="3" t="s">
        <v>357</v>
      </c>
      <c r="F307" s="3">
        <v>22028</v>
      </c>
      <c r="G307" s="3">
        <v>355</v>
      </c>
      <c r="H307" s="3">
        <v>665</v>
      </c>
      <c r="I307" s="3">
        <v>1859</v>
      </c>
      <c r="J307" s="3">
        <v>50565</v>
      </c>
      <c r="K307" s="3">
        <v>202962</v>
      </c>
      <c r="L307" s="6" t="s">
        <v>20</v>
      </c>
    </row>
    <row r="308" spans="1:12" x14ac:dyDescent="0.3">
      <c r="A308" s="5" t="s">
        <v>197</v>
      </c>
      <c r="B308" s="3" t="s">
        <v>13</v>
      </c>
      <c r="C308" s="2">
        <v>45936</v>
      </c>
      <c r="D308" s="3" t="s">
        <v>27</v>
      </c>
      <c r="E308" s="3" t="s">
        <v>358</v>
      </c>
      <c r="F308" s="3">
        <v>22028</v>
      </c>
      <c r="G308" s="3">
        <v>355</v>
      </c>
      <c r="H308" s="3">
        <v>665</v>
      </c>
      <c r="I308" s="3">
        <v>1859</v>
      </c>
      <c r="J308" s="3">
        <v>50565</v>
      </c>
      <c r="K308" s="3">
        <v>202962</v>
      </c>
      <c r="L308" s="6" t="s">
        <v>20</v>
      </c>
    </row>
    <row r="309" spans="1:12" x14ac:dyDescent="0.3">
      <c r="A309" s="5" t="s">
        <v>198</v>
      </c>
      <c r="B309" s="3" t="s">
        <v>22</v>
      </c>
      <c r="C309" s="2">
        <v>45748</v>
      </c>
      <c r="D309" s="3" t="s">
        <v>14</v>
      </c>
      <c r="E309" s="3" t="s">
        <v>361</v>
      </c>
      <c r="F309" s="3">
        <v>6432</v>
      </c>
      <c r="G309" s="3">
        <v>1272</v>
      </c>
      <c r="H309" s="3">
        <v>498</v>
      </c>
      <c r="I309" s="3">
        <v>677</v>
      </c>
      <c r="J309" s="3">
        <v>47305</v>
      </c>
      <c r="K309" s="3">
        <v>119134</v>
      </c>
      <c r="L309" s="6" t="s">
        <v>16</v>
      </c>
    </row>
    <row r="310" spans="1:12" x14ac:dyDescent="0.3">
      <c r="A310" s="5" t="s">
        <v>198</v>
      </c>
      <c r="B310" s="3" t="s">
        <v>22</v>
      </c>
      <c r="C310" s="2">
        <v>45748</v>
      </c>
      <c r="D310" s="3" t="s">
        <v>14</v>
      </c>
      <c r="E310" s="3" t="s">
        <v>362</v>
      </c>
      <c r="F310" s="3">
        <v>6432</v>
      </c>
      <c r="G310" s="3">
        <v>1272</v>
      </c>
      <c r="H310" s="3">
        <v>498</v>
      </c>
      <c r="I310" s="3">
        <v>677</v>
      </c>
      <c r="J310" s="3">
        <v>47305</v>
      </c>
      <c r="K310" s="3">
        <v>119134</v>
      </c>
      <c r="L310" s="6" t="s">
        <v>16</v>
      </c>
    </row>
    <row r="311" spans="1:12" x14ac:dyDescent="0.3">
      <c r="A311" s="5" t="s">
        <v>199</v>
      </c>
      <c r="B311" s="3" t="s">
        <v>18</v>
      </c>
      <c r="C311" s="2">
        <v>45755</v>
      </c>
      <c r="D311" s="3" t="s">
        <v>27</v>
      </c>
      <c r="E311" s="3" t="s">
        <v>353</v>
      </c>
      <c r="F311" s="3">
        <v>15568</v>
      </c>
      <c r="G311" s="3">
        <v>1166</v>
      </c>
      <c r="H311" s="3">
        <v>546</v>
      </c>
      <c r="I311" s="3">
        <v>826</v>
      </c>
      <c r="J311" s="3">
        <v>21836</v>
      </c>
      <c r="K311" s="3">
        <v>87055</v>
      </c>
      <c r="L311" s="6" t="s">
        <v>16</v>
      </c>
    </row>
    <row r="312" spans="1:12" x14ac:dyDescent="0.3">
      <c r="A312" s="5" t="s">
        <v>199</v>
      </c>
      <c r="B312" s="3" t="s">
        <v>18</v>
      </c>
      <c r="C312" s="2">
        <v>45755</v>
      </c>
      <c r="D312" s="3" t="s">
        <v>27</v>
      </c>
      <c r="E312" s="3" t="s">
        <v>354</v>
      </c>
      <c r="F312" s="3">
        <v>15568</v>
      </c>
      <c r="G312" s="3">
        <v>1166</v>
      </c>
      <c r="H312" s="3">
        <v>546</v>
      </c>
      <c r="I312" s="3">
        <v>826</v>
      </c>
      <c r="J312" s="3">
        <v>21836</v>
      </c>
      <c r="K312" s="3">
        <v>87055</v>
      </c>
      <c r="L312" s="6" t="s">
        <v>16</v>
      </c>
    </row>
    <row r="313" spans="1:12" x14ac:dyDescent="0.3">
      <c r="A313" s="5" t="s">
        <v>200</v>
      </c>
      <c r="B313" s="3" t="s">
        <v>18</v>
      </c>
      <c r="C313" s="2">
        <v>45715</v>
      </c>
      <c r="D313" s="3" t="s">
        <v>14</v>
      </c>
      <c r="E313" s="3" t="s">
        <v>355</v>
      </c>
      <c r="F313" s="3">
        <v>16178</v>
      </c>
      <c r="G313" s="3">
        <v>1048</v>
      </c>
      <c r="H313" s="3">
        <v>871</v>
      </c>
      <c r="I313" s="3">
        <v>2553</v>
      </c>
      <c r="J313" s="3">
        <v>39025</v>
      </c>
      <c r="K313" s="3">
        <v>59508</v>
      </c>
      <c r="L313" s="6" t="s">
        <v>16</v>
      </c>
    </row>
    <row r="314" spans="1:12" x14ac:dyDescent="0.3">
      <c r="A314" s="5" t="s">
        <v>200</v>
      </c>
      <c r="B314" s="3" t="s">
        <v>18</v>
      </c>
      <c r="C314" s="2">
        <v>45715</v>
      </c>
      <c r="D314" s="3" t="s">
        <v>14</v>
      </c>
      <c r="E314" s="3" t="s">
        <v>356</v>
      </c>
      <c r="F314" s="3">
        <v>16178</v>
      </c>
      <c r="G314" s="3">
        <v>1048</v>
      </c>
      <c r="H314" s="3">
        <v>871</v>
      </c>
      <c r="I314" s="3">
        <v>2553</v>
      </c>
      <c r="J314" s="3">
        <v>39025</v>
      </c>
      <c r="K314" s="3">
        <v>59508</v>
      </c>
      <c r="L314" s="6" t="s">
        <v>16</v>
      </c>
    </row>
    <row r="315" spans="1:12" x14ac:dyDescent="0.3">
      <c r="A315" s="5" t="s">
        <v>201</v>
      </c>
      <c r="B315" s="3" t="s">
        <v>40</v>
      </c>
      <c r="C315" s="2">
        <v>45937</v>
      </c>
      <c r="D315" s="3" t="s">
        <v>34</v>
      </c>
      <c r="E315" s="3" t="s">
        <v>363</v>
      </c>
      <c r="F315" s="3">
        <v>19660</v>
      </c>
      <c r="G315" s="3">
        <v>1307</v>
      </c>
      <c r="H315" s="3">
        <v>310</v>
      </c>
      <c r="I315" s="3">
        <v>2802</v>
      </c>
      <c r="J315" s="3">
        <v>22171</v>
      </c>
      <c r="K315" s="3">
        <v>213359</v>
      </c>
      <c r="L315" s="6" t="s">
        <v>20</v>
      </c>
    </row>
    <row r="316" spans="1:12" x14ac:dyDescent="0.3">
      <c r="A316" s="5" t="s">
        <v>201</v>
      </c>
      <c r="B316" s="3" t="s">
        <v>40</v>
      </c>
      <c r="C316" s="2">
        <v>45937</v>
      </c>
      <c r="D316" s="3" t="s">
        <v>34</v>
      </c>
      <c r="E316" s="3" t="s">
        <v>364</v>
      </c>
      <c r="F316" s="3">
        <v>19660</v>
      </c>
      <c r="G316" s="3">
        <v>1307</v>
      </c>
      <c r="H316" s="3">
        <v>310</v>
      </c>
      <c r="I316" s="3">
        <v>2802</v>
      </c>
      <c r="J316" s="3">
        <v>22171</v>
      </c>
      <c r="K316" s="3">
        <v>213359</v>
      </c>
      <c r="L316" s="6" t="s">
        <v>20</v>
      </c>
    </row>
    <row r="317" spans="1:12" x14ac:dyDescent="0.3">
      <c r="A317" s="5" t="s">
        <v>202</v>
      </c>
      <c r="B317" s="3" t="s">
        <v>22</v>
      </c>
      <c r="C317" s="2">
        <v>45704</v>
      </c>
      <c r="D317" s="3" t="s">
        <v>23</v>
      </c>
      <c r="E317" s="3" t="s">
        <v>359</v>
      </c>
      <c r="F317" s="3">
        <v>24195</v>
      </c>
      <c r="G317" s="3">
        <v>888</v>
      </c>
      <c r="H317" s="3">
        <v>165</v>
      </c>
      <c r="I317" s="3">
        <v>1559</v>
      </c>
      <c r="J317" s="3">
        <v>11596</v>
      </c>
      <c r="K317" s="3">
        <v>249988</v>
      </c>
      <c r="L317" s="6" t="s">
        <v>25</v>
      </c>
    </row>
    <row r="318" spans="1:12" x14ac:dyDescent="0.3">
      <c r="A318" s="5" t="s">
        <v>202</v>
      </c>
      <c r="B318" s="3" t="s">
        <v>22</v>
      </c>
      <c r="C318" s="2">
        <v>45704</v>
      </c>
      <c r="D318" s="3" t="s">
        <v>23</v>
      </c>
      <c r="E318" s="3" t="s">
        <v>366</v>
      </c>
      <c r="F318" s="3">
        <v>24195</v>
      </c>
      <c r="G318" s="3">
        <v>888</v>
      </c>
      <c r="H318" s="3">
        <v>165</v>
      </c>
      <c r="I318" s="3">
        <v>1559</v>
      </c>
      <c r="J318" s="3">
        <v>11596</v>
      </c>
      <c r="K318" s="3">
        <v>249988</v>
      </c>
      <c r="L318" s="6" t="s">
        <v>25</v>
      </c>
    </row>
    <row r="319" spans="1:12" x14ac:dyDescent="0.3">
      <c r="A319" s="5" t="s">
        <v>203</v>
      </c>
      <c r="B319" s="3" t="s">
        <v>18</v>
      </c>
      <c r="C319" s="2">
        <v>45624</v>
      </c>
      <c r="D319" s="3" t="s">
        <v>34</v>
      </c>
      <c r="E319" s="3" t="s">
        <v>359</v>
      </c>
      <c r="F319" s="3">
        <v>2302</v>
      </c>
      <c r="G319" s="3">
        <v>347</v>
      </c>
      <c r="H319" s="3">
        <v>642</v>
      </c>
      <c r="I319" s="3">
        <v>2175</v>
      </c>
      <c r="J319" s="3">
        <v>56378</v>
      </c>
      <c r="K319" s="3">
        <v>198056</v>
      </c>
      <c r="L319" s="6" t="s">
        <v>45</v>
      </c>
    </row>
    <row r="320" spans="1:12" x14ac:dyDescent="0.3">
      <c r="A320" s="5" t="s">
        <v>203</v>
      </c>
      <c r="B320" s="3" t="s">
        <v>18</v>
      </c>
      <c r="C320" s="2">
        <v>45624</v>
      </c>
      <c r="D320" s="3" t="s">
        <v>34</v>
      </c>
      <c r="E320" s="3" t="s">
        <v>366</v>
      </c>
      <c r="F320" s="3">
        <v>2302</v>
      </c>
      <c r="G320" s="3">
        <v>347</v>
      </c>
      <c r="H320" s="3">
        <v>642</v>
      </c>
      <c r="I320" s="3">
        <v>2175</v>
      </c>
      <c r="J320" s="3">
        <v>56378</v>
      </c>
      <c r="K320" s="3">
        <v>198056</v>
      </c>
      <c r="L320" s="6" t="s">
        <v>45</v>
      </c>
    </row>
    <row r="321" spans="1:12" x14ac:dyDescent="0.3">
      <c r="A321" s="5" t="s">
        <v>204</v>
      </c>
      <c r="B321" s="3" t="s">
        <v>13</v>
      </c>
      <c r="C321" s="2">
        <v>45608</v>
      </c>
      <c r="D321" s="3" t="s">
        <v>14</v>
      </c>
      <c r="E321" s="3" t="s">
        <v>355</v>
      </c>
      <c r="F321" s="3">
        <v>19022</v>
      </c>
      <c r="G321" s="3">
        <v>541</v>
      </c>
      <c r="H321" s="3">
        <v>575</v>
      </c>
      <c r="I321" s="3">
        <v>2063</v>
      </c>
      <c r="J321" s="3">
        <v>42743</v>
      </c>
      <c r="K321" s="3">
        <v>150169</v>
      </c>
      <c r="L321" s="6" t="s">
        <v>16</v>
      </c>
    </row>
    <row r="322" spans="1:12" x14ac:dyDescent="0.3">
      <c r="A322" s="5" t="s">
        <v>204</v>
      </c>
      <c r="B322" s="3" t="s">
        <v>13</v>
      </c>
      <c r="C322" s="2">
        <v>45608</v>
      </c>
      <c r="D322" s="3" t="s">
        <v>14</v>
      </c>
      <c r="E322" s="3" t="s">
        <v>356</v>
      </c>
      <c r="F322" s="3">
        <v>19022</v>
      </c>
      <c r="G322" s="3">
        <v>541</v>
      </c>
      <c r="H322" s="3">
        <v>575</v>
      </c>
      <c r="I322" s="3">
        <v>2063</v>
      </c>
      <c r="J322" s="3">
        <v>42743</v>
      </c>
      <c r="K322" s="3">
        <v>150169</v>
      </c>
      <c r="L322" s="6" t="s">
        <v>16</v>
      </c>
    </row>
    <row r="323" spans="1:12" x14ac:dyDescent="0.3">
      <c r="A323" s="5" t="s">
        <v>205</v>
      </c>
      <c r="B323" s="3" t="s">
        <v>13</v>
      </c>
      <c r="C323" s="2">
        <v>45629</v>
      </c>
      <c r="D323" s="3" t="s">
        <v>14</v>
      </c>
      <c r="E323" s="3" t="s">
        <v>361</v>
      </c>
      <c r="F323" s="3">
        <v>2055</v>
      </c>
      <c r="G323" s="3">
        <v>675</v>
      </c>
      <c r="H323" s="3">
        <v>257</v>
      </c>
      <c r="I323" s="3">
        <v>820</v>
      </c>
      <c r="J323" s="3">
        <v>33534</v>
      </c>
      <c r="K323" s="3">
        <v>48125</v>
      </c>
      <c r="L323" s="6" t="s">
        <v>16</v>
      </c>
    </row>
    <row r="324" spans="1:12" x14ac:dyDescent="0.3">
      <c r="A324" s="5" t="s">
        <v>205</v>
      </c>
      <c r="B324" s="3" t="s">
        <v>13</v>
      </c>
      <c r="C324" s="2">
        <v>45629</v>
      </c>
      <c r="D324" s="3" t="s">
        <v>14</v>
      </c>
      <c r="E324" s="3" t="s">
        <v>362</v>
      </c>
      <c r="F324" s="3">
        <v>2055</v>
      </c>
      <c r="G324" s="3">
        <v>675</v>
      </c>
      <c r="H324" s="3">
        <v>257</v>
      </c>
      <c r="I324" s="3">
        <v>820</v>
      </c>
      <c r="J324" s="3">
        <v>33534</v>
      </c>
      <c r="K324" s="3">
        <v>48125</v>
      </c>
      <c r="L324" s="6" t="s">
        <v>16</v>
      </c>
    </row>
    <row r="325" spans="1:12" x14ac:dyDescent="0.3">
      <c r="A325" s="5" t="s">
        <v>206</v>
      </c>
      <c r="B325" s="3" t="s">
        <v>40</v>
      </c>
      <c r="C325" s="2">
        <v>45775</v>
      </c>
      <c r="D325" s="3" t="s">
        <v>34</v>
      </c>
      <c r="E325" s="3" t="s">
        <v>367</v>
      </c>
      <c r="F325" s="3">
        <v>15013</v>
      </c>
      <c r="G325" s="3">
        <v>1286</v>
      </c>
      <c r="H325" s="3">
        <v>599</v>
      </c>
      <c r="I325" s="3">
        <v>2001</v>
      </c>
      <c r="J325" s="3">
        <v>67839</v>
      </c>
      <c r="K325" s="3">
        <v>76059</v>
      </c>
      <c r="L325" s="6" t="s">
        <v>16</v>
      </c>
    </row>
    <row r="326" spans="1:12" x14ac:dyDescent="0.3">
      <c r="A326" s="5" t="s">
        <v>206</v>
      </c>
      <c r="B326" s="3" t="s">
        <v>40</v>
      </c>
      <c r="C326" s="2">
        <v>45775</v>
      </c>
      <c r="D326" s="3" t="s">
        <v>34</v>
      </c>
      <c r="E326" s="3" t="s">
        <v>32</v>
      </c>
      <c r="F326" s="3">
        <v>15013</v>
      </c>
      <c r="G326" s="3">
        <v>1286</v>
      </c>
      <c r="H326" s="3">
        <v>599</v>
      </c>
      <c r="I326" s="3">
        <v>2001</v>
      </c>
      <c r="J326" s="3">
        <v>67839</v>
      </c>
      <c r="K326" s="3">
        <v>76059</v>
      </c>
      <c r="L326" s="6" t="s">
        <v>16</v>
      </c>
    </row>
    <row r="327" spans="1:12" x14ac:dyDescent="0.3">
      <c r="A327" s="5" t="s">
        <v>207</v>
      </c>
      <c r="B327" s="3" t="s">
        <v>18</v>
      </c>
      <c r="C327" s="2">
        <v>45657</v>
      </c>
      <c r="D327" s="3" t="s">
        <v>14</v>
      </c>
      <c r="E327" s="3" t="s">
        <v>353</v>
      </c>
      <c r="F327" s="3">
        <v>10717</v>
      </c>
      <c r="G327" s="3">
        <v>760</v>
      </c>
      <c r="H327" s="3">
        <v>460</v>
      </c>
      <c r="I327" s="3">
        <v>1316</v>
      </c>
      <c r="J327" s="3">
        <v>18164</v>
      </c>
      <c r="K327" s="3">
        <v>240641</v>
      </c>
      <c r="L327" s="6" t="s">
        <v>45</v>
      </c>
    </row>
    <row r="328" spans="1:12" x14ac:dyDescent="0.3">
      <c r="A328" s="5" t="s">
        <v>207</v>
      </c>
      <c r="B328" s="3" t="s">
        <v>18</v>
      </c>
      <c r="C328" s="2">
        <v>45657</v>
      </c>
      <c r="D328" s="3" t="s">
        <v>14</v>
      </c>
      <c r="E328" s="3" t="s">
        <v>354</v>
      </c>
      <c r="F328" s="3">
        <v>10717</v>
      </c>
      <c r="G328" s="3">
        <v>760</v>
      </c>
      <c r="H328" s="3">
        <v>460</v>
      </c>
      <c r="I328" s="3">
        <v>1316</v>
      </c>
      <c r="J328" s="3">
        <v>18164</v>
      </c>
      <c r="K328" s="3">
        <v>240641</v>
      </c>
      <c r="L328" s="6" t="s">
        <v>45</v>
      </c>
    </row>
    <row r="329" spans="1:12" x14ac:dyDescent="0.3">
      <c r="A329" s="5" t="s">
        <v>208</v>
      </c>
      <c r="B329" s="3" t="s">
        <v>22</v>
      </c>
      <c r="C329" s="2">
        <v>45518</v>
      </c>
      <c r="D329" s="3" t="s">
        <v>34</v>
      </c>
      <c r="E329" s="3" t="s">
        <v>368</v>
      </c>
      <c r="F329" s="3">
        <v>10150</v>
      </c>
      <c r="G329" s="3">
        <v>526</v>
      </c>
      <c r="H329" s="3">
        <v>888</v>
      </c>
      <c r="I329" s="3">
        <v>1313</v>
      </c>
      <c r="J329" s="3">
        <v>51605</v>
      </c>
      <c r="K329" s="3">
        <v>143409</v>
      </c>
      <c r="L329" s="6" t="s">
        <v>16</v>
      </c>
    </row>
    <row r="330" spans="1:12" x14ac:dyDescent="0.3">
      <c r="A330" s="5" t="s">
        <v>208</v>
      </c>
      <c r="B330" s="3" t="s">
        <v>22</v>
      </c>
      <c r="C330" s="2">
        <v>45518</v>
      </c>
      <c r="D330" s="3" t="s">
        <v>34</v>
      </c>
      <c r="E330" s="3" t="s">
        <v>369</v>
      </c>
      <c r="F330" s="3">
        <v>10150</v>
      </c>
      <c r="G330" s="3">
        <v>526</v>
      </c>
      <c r="H330" s="3">
        <v>888</v>
      </c>
      <c r="I330" s="3">
        <v>1313</v>
      </c>
      <c r="J330" s="3">
        <v>51605</v>
      </c>
      <c r="K330" s="3">
        <v>143409</v>
      </c>
      <c r="L330" s="6" t="s">
        <v>16</v>
      </c>
    </row>
    <row r="331" spans="1:12" x14ac:dyDescent="0.3">
      <c r="A331" s="5" t="s">
        <v>209</v>
      </c>
      <c r="B331" s="3" t="s">
        <v>13</v>
      </c>
      <c r="C331" s="2">
        <v>45631</v>
      </c>
      <c r="D331" s="3" t="s">
        <v>23</v>
      </c>
      <c r="E331" s="3" t="s">
        <v>359</v>
      </c>
      <c r="F331" s="3">
        <v>4125</v>
      </c>
      <c r="G331" s="3">
        <v>1364</v>
      </c>
      <c r="H331" s="3">
        <v>319</v>
      </c>
      <c r="I331" s="3">
        <v>2848</v>
      </c>
      <c r="J331" s="3">
        <v>15379</v>
      </c>
      <c r="K331" s="3">
        <v>188159</v>
      </c>
      <c r="L331" s="6" t="s">
        <v>45</v>
      </c>
    </row>
    <row r="332" spans="1:12" x14ac:dyDescent="0.3">
      <c r="A332" s="5" t="s">
        <v>209</v>
      </c>
      <c r="B332" s="3" t="s">
        <v>13</v>
      </c>
      <c r="C332" s="2">
        <v>45631</v>
      </c>
      <c r="D332" s="3" t="s">
        <v>23</v>
      </c>
      <c r="E332" s="3" t="s">
        <v>366</v>
      </c>
      <c r="F332" s="3">
        <v>4125</v>
      </c>
      <c r="G332" s="3">
        <v>1364</v>
      </c>
      <c r="H332" s="3">
        <v>319</v>
      </c>
      <c r="I332" s="3">
        <v>2848</v>
      </c>
      <c r="J332" s="3">
        <v>15379</v>
      </c>
      <c r="K332" s="3">
        <v>188159</v>
      </c>
      <c r="L332" s="6" t="s">
        <v>45</v>
      </c>
    </row>
    <row r="333" spans="1:12" x14ac:dyDescent="0.3">
      <c r="A333" s="5" t="s">
        <v>210</v>
      </c>
      <c r="B333" s="3" t="s">
        <v>18</v>
      </c>
      <c r="C333" s="2">
        <v>45465</v>
      </c>
      <c r="D333" s="3" t="s">
        <v>34</v>
      </c>
      <c r="E333" s="3" t="s">
        <v>353</v>
      </c>
      <c r="F333" s="3">
        <v>13479</v>
      </c>
      <c r="G333" s="3">
        <v>1189</v>
      </c>
      <c r="H333" s="3">
        <v>695</v>
      </c>
      <c r="I333" s="3">
        <v>416</v>
      </c>
      <c r="J333" s="3">
        <v>30229</v>
      </c>
      <c r="K333" s="3">
        <v>45704</v>
      </c>
      <c r="L333" s="6" t="s">
        <v>16</v>
      </c>
    </row>
    <row r="334" spans="1:12" x14ac:dyDescent="0.3">
      <c r="A334" s="5" t="s">
        <v>210</v>
      </c>
      <c r="B334" s="3" t="s">
        <v>18</v>
      </c>
      <c r="C334" s="2">
        <v>45465</v>
      </c>
      <c r="D334" s="3" t="s">
        <v>34</v>
      </c>
      <c r="E334" s="3" t="s">
        <v>354</v>
      </c>
      <c r="F334" s="3">
        <v>13479</v>
      </c>
      <c r="G334" s="3">
        <v>1189</v>
      </c>
      <c r="H334" s="3">
        <v>695</v>
      </c>
      <c r="I334" s="3">
        <v>416</v>
      </c>
      <c r="J334" s="3">
        <v>30229</v>
      </c>
      <c r="K334" s="3">
        <v>45704</v>
      </c>
      <c r="L334" s="6" t="s">
        <v>16</v>
      </c>
    </row>
    <row r="335" spans="1:12" x14ac:dyDescent="0.3">
      <c r="A335" s="5" t="s">
        <v>211</v>
      </c>
      <c r="B335" s="3" t="s">
        <v>18</v>
      </c>
      <c r="C335" s="2">
        <v>45938</v>
      </c>
      <c r="D335" s="3" t="s">
        <v>23</v>
      </c>
      <c r="E335" s="3" t="s">
        <v>359</v>
      </c>
      <c r="F335" s="3">
        <v>17745</v>
      </c>
      <c r="G335" s="3">
        <v>414</v>
      </c>
      <c r="H335" s="3">
        <v>563</v>
      </c>
      <c r="I335" s="3">
        <v>2733</v>
      </c>
      <c r="J335" s="3">
        <v>995</v>
      </c>
      <c r="K335" s="3">
        <v>231648</v>
      </c>
      <c r="L335" s="6" t="s">
        <v>20</v>
      </c>
    </row>
    <row r="336" spans="1:12" x14ac:dyDescent="0.3">
      <c r="A336" s="5" t="s">
        <v>211</v>
      </c>
      <c r="B336" s="3" t="s">
        <v>18</v>
      </c>
      <c r="C336" s="2">
        <v>45938</v>
      </c>
      <c r="D336" s="3" t="s">
        <v>23</v>
      </c>
      <c r="E336" s="3" t="s">
        <v>366</v>
      </c>
      <c r="F336" s="3">
        <v>17745</v>
      </c>
      <c r="G336" s="3">
        <v>414</v>
      </c>
      <c r="H336" s="3">
        <v>563</v>
      </c>
      <c r="I336" s="3">
        <v>2733</v>
      </c>
      <c r="J336" s="3">
        <v>995</v>
      </c>
      <c r="K336" s="3">
        <v>231648</v>
      </c>
      <c r="L336" s="6" t="s">
        <v>20</v>
      </c>
    </row>
    <row r="337" spans="1:12" x14ac:dyDescent="0.3">
      <c r="A337" s="5" t="s">
        <v>212</v>
      </c>
      <c r="B337" s="3" t="s">
        <v>40</v>
      </c>
      <c r="C337" s="2">
        <v>45939</v>
      </c>
      <c r="D337" s="3" t="s">
        <v>34</v>
      </c>
      <c r="E337" s="3" t="s">
        <v>357</v>
      </c>
      <c r="F337" s="3">
        <v>18748</v>
      </c>
      <c r="G337" s="3">
        <v>634</v>
      </c>
      <c r="H337" s="3">
        <v>400</v>
      </c>
      <c r="I337" s="3">
        <v>1667</v>
      </c>
      <c r="J337" s="3">
        <v>75813</v>
      </c>
      <c r="K337" s="3">
        <v>244456</v>
      </c>
      <c r="L337" s="6" t="s">
        <v>20</v>
      </c>
    </row>
    <row r="338" spans="1:12" x14ac:dyDescent="0.3">
      <c r="A338" s="5" t="s">
        <v>212</v>
      </c>
      <c r="B338" s="3" t="s">
        <v>40</v>
      </c>
      <c r="C338" s="2">
        <v>45939</v>
      </c>
      <c r="D338" s="3" t="s">
        <v>34</v>
      </c>
      <c r="E338" s="3" t="s">
        <v>358</v>
      </c>
      <c r="F338" s="3">
        <v>18748</v>
      </c>
      <c r="G338" s="3">
        <v>634</v>
      </c>
      <c r="H338" s="3">
        <v>400</v>
      </c>
      <c r="I338" s="3">
        <v>1667</v>
      </c>
      <c r="J338" s="3">
        <v>75813</v>
      </c>
      <c r="K338" s="3">
        <v>244456</v>
      </c>
      <c r="L338" s="6" t="s">
        <v>20</v>
      </c>
    </row>
    <row r="339" spans="1:12" x14ac:dyDescent="0.3">
      <c r="A339" s="5" t="s">
        <v>213</v>
      </c>
      <c r="B339" s="3" t="s">
        <v>13</v>
      </c>
      <c r="C339" s="2">
        <v>45483</v>
      </c>
      <c r="D339" s="3" t="s">
        <v>14</v>
      </c>
      <c r="E339" s="3" t="s">
        <v>367</v>
      </c>
      <c r="F339" s="3">
        <v>8809</v>
      </c>
      <c r="G339" s="3">
        <v>1151</v>
      </c>
      <c r="H339" s="3">
        <v>908</v>
      </c>
      <c r="I339" s="3">
        <v>883</v>
      </c>
      <c r="J339" s="3">
        <v>42921</v>
      </c>
      <c r="K339" s="3">
        <v>151279</v>
      </c>
      <c r="L339" s="6" t="s">
        <v>45</v>
      </c>
    </row>
    <row r="340" spans="1:12" x14ac:dyDescent="0.3">
      <c r="A340" s="5" t="s">
        <v>213</v>
      </c>
      <c r="B340" s="3" t="s">
        <v>13</v>
      </c>
      <c r="C340" s="2">
        <v>45483</v>
      </c>
      <c r="D340" s="3" t="s">
        <v>14</v>
      </c>
      <c r="E340" s="3" t="s">
        <v>32</v>
      </c>
      <c r="F340" s="3">
        <v>8809</v>
      </c>
      <c r="G340" s="3">
        <v>1151</v>
      </c>
      <c r="H340" s="3">
        <v>908</v>
      </c>
      <c r="I340" s="3">
        <v>883</v>
      </c>
      <c r="J340" s="3">
        <v>42921</v>
      </c>
      <c r="K340" s="3">
        <v>151279</v>
      </c>
      <c r="L340" s="6" t="s">
        <v>45</v>
      </c>
    </row>
    <row r="341" spans="1:12" x14ac:dyDescent="0.3">
      <c r="A341" s="5" t="s">
        <v>214</v>
      </c>
      <c r="B341" s="3" t="s">
        <v>13</v>
      </c>
      <c r="C341" s="2">
        <v>45940</v>
      </c>
      <c r="D341" s="3" t="s">
        <v>34</v>
      </c>
      <c r="E341" s="3" t="s">
        <v>357</v>
      </c>
      <c r="F341" s="3">
        <v>6621</v>
      </c>
      <c r="G341" s="3">
        <v>922</v>
      </c>
      <c r="H341" s="3">
        <v>930</v>
      </c>
      <c r="I341" s="3">
        <v>694</v>
      </c>
      <c r="J341" s="3">
        <v>839</v>
      </c>
      <c r="K341" s="3">
        <v>243532</v>
      </c>
      <c r="L341" s="6" t="s">
        <v>20</v>
      </c>
    </row>
    <row r="342" spans="1:12" x14ac:dyDescent="0.3">
      <c r="A342" s="5" t="s">
        <v>214</v>
      </c>
      <c r="B342" s="3" t="s">
        <v>13</v>
      </c>
      <c r="C342" s="2">
        <v>45940</v>
      </c>
      <c r="D342" s="3" t="s">
        <v>34</v>
      </c>
      <c r="E342" s="3" t="s">
        <v>358</v>
      </c>
      <c r="F342" s="3">
        <v>6621</v>
      </c>
      <c r="G342" s="3">
        <v>922</v>
      </c>
      <c r="H342" s="3">
        <v>930</v>
      </c>
      <c r="I342" s="3">
        <v>694</v>
      </c>
      <c r="J342" s="3">
        <v>839</v>
      </c>
      <c r="K342" s="3">
        <v>243532</v>
      </c>
      <c r="L342" s="6" t="s">
        <v>20</v>
      </c>
    </row>
    <row r="343" spans="1:12" x14ac:dyDescent="0.3">
      <c r="A343" s="5" t="s">
        <v>215</v>
      </c>
      <c r="B343" s="3" t="s">
        <v>22</v>
      </c>
      <c r="C343" s="2">
        <v>45488</v>
      </c>
      <c r="D343" s="3" t="s">
        <v>14</v>
      </c>
      <c r="E343" s="3" t="s">
        <v>359</v>
      </c>
      <c r="F343" s="3">
        <v>17034</v>
      </c>
      <c r="G343" s="3">
        <v>231</v>
      </c>
      <c r="H343" s="3">
        <v>290</v>
      </c>
      <c r="I343" s="3">
        <v>1387</v>
      </c>
      <c r="J343" s="3">
        <v>63550</v>
      </c>
      <c r="K343" s="3">
        <v>198280</v>
      </c>
      <c r="L343" s="6" t="s">
        <v>45</v>
      </c>
    </row>
    <row r="344" spans="1:12" x14ac:dyDescent="0.3">
      <c r="A344" s="5" t="s">
        <v>215</v>
      </c>
      <c r="B344" s="3" t="s">
        <v>22</v>
      </c>
      <c r="C344" s="2">
        <v>45488</v>
      </c>
      <c r="D344" s="3" t="s">
        <v>14</v>
      </c>
      <c r="E344" s="3" t="s">
        <v>366</v>
      </c>
      <c r="F344" s="3">
        <v>17034</v>
      </c>
      <c r="G344" s="3">
        <v>231</v>
      </c>
      <c r="H344" s="3">
        <v>290</v>
      </c>
      <c r="I344" s="3">
        <v>1387</v>
      </c>
      <c r="J344" s="3">
        <v>63550</v>
      </c>
      <c r="K344" s="3">
        <v>198280</v>
      </c>
      <c r="L344" s="6" t="s">
        <v>45</v>
      </c>
    </row>
    <row r="345" spans="1:12" x14ac:dyDescent="0.3">
      <c r="A345" s="5" t="s">
        <v>216</v>
      </c>
      <c r="B345" s="3" t="s">
        <v>13</v>
      </c>
      <c r="C345" s="2">
        <v>45941</v>
      </c>
      <c r="D345" s="3" t="s">
        <v>34</v>
      </c>
      <c r="E345" s="3" t="s">
        <v>363</v>
      </c>
      <c r="F345" s="3">
        <v>15623</v>
      </c>
      <c r="G345" s="3">
        <v>869</v>
      </c>
      <c r="H345" s="3">
        <v>423</v>
      </c>
      <c r="I345" s="3">
        <v>371</v>
      </c>
      <c r="J345" s="3">
        <v>47579</v>
      </c>
      <c r="K345" s="3">
        <v>158516</v>
      </c>
      <c r="L345" s="6" t="s">
        <v>20</v>
      </c>
    </row>
    <row r="346" spans="1:12" x14ac:dyDescent="0.3">
      <c r="A346" s="5" t="s">
        <v>216</v>
      </c>
      <c r="B346" s="3" t="s">
        <v>13</v>
      </c>
      <c r="C346" s="2">
        <v>45941</v>
      </c>
      <c r="D346" s="3" t="s">
        <v>34</v>
      </c>
      <c r="E346" s="3" t="s">
        <v>364</v>
      </c>
      <c r="F346" s="3">
        <v>15623</v>
      </c>
      <c r="G346" s="3">
        <v>869</v>
      </c>
      <c r="H346" s="3">
        <v>423</v>
      </c>
      <c r="I346" s="3">
        <v>371</v>
      </c>
      <c r="J346" s="3">
        <v>47579</v>
      </c>
      <c r="K346" s="3">
        <v>158516</v>
      </c>
      <c r="L346" s="6" t="s">
        <v>20</v>
      </c>
    </row>
    <row r="347" spans="1:12" x14ac:dyDescent="0.3">
      <c r="A347" s="5" t="s">
        <v>217</v>
      </c>
      <c r="B347" s="3" t="s">
        <v>22</v>
      </c>
      <c r="C347" s="2">
        <v>45942</v>
      </c>
      <c r="D347" s="3" t="s">
        <v>34</v>
      </c>
      <c r="E347" s="3" t="s">
        <v>363</v>
      </c>
      <c r="F347" s="3">
        <v>7126</v>
      </c>
      <c r="G347" s="3">
        <v>484</v>
      </c>
      <c r="H347" s="3">
        <v>565</v>
      </c>
      <c r="I347" s="3">
        <v>573</v>
      </c>
      <c r="J347" s="3">
        <v>7389</v>
      </c>
      <c r="K347" s="3">
        <v>237096</v>
      </c>
      <c r="L347" s="6" t="s">
        <v>20</v>
      </c>
    </row>
    <row r="348" spans="1:12" x14ac:dyDescent="0.3">
      <c r="A348" s="5" t="s">
        <v>217</v>
      </c>
      <c r="B348" s="3" t="s">
        <v>22</v>
      </c>
      <c r="C348" s="2">
        <v>45942</v>
      </c>
      <c r="D348" s="3" t="s">
        <v>34</v>
      </c>
      <c r="E348" s="3" t="s">
        <v>364</v>
      </c>
      <c r="F348" s="3">
        <v>7126</v>
      </c>
      <c r="G348" s="3">
        <v>484</v>
      </c>
      <c r="H348" s="3">
        <v>565</v>
      </c>
      <c r="I348" s="3">
        <v>573</v>
      </c>
      <c r="J348" s="3">
        <v>7389</v>
      </c>
      <c r="K348" s="3">
        <v>237096</v>
      </c>
      <c r="L348" s="6" t="s">
        <v>20</v>
      </c>
    </row>
    <row r="349" spans="1:12" x14ac:dyDescent="0.3">
      <c r="A349" s="5" t="s">
        <v>218</v>
      </c>
      <c r="B349" s="3" t="s">
        <v>13</v>
      </c>
      <c r="C349" s="2">
        <v>45504</v>
      </c>
      <c r="D349" s="3" t="s">
        <v>27</v>
      </c>
      <c r="E349" s="3" t="s">
        <v>357</v>
      </c>
      <c r="F349" s="3">
        <v>7122</v>
      </c>
      <c r="G349" s="3">
        <v>628</v>
      </c>
      <c r="H349" s="3">
        <v>757</v>
      </c>
      <c r="I349" s="3">
        <v>2313</v>
      </c>
      <c r="J349" s="3">
        <v>50924</v>
      </c>
      <c r="K349" s="3">
        <v>210954</v>
      </c>
      <c r="L349" s="6" t="s">
        <v>45</v>
      </c>
    </row>
    <row r="350" spans="1:12" x14ac:dyDescent="0.3">
      <c r="A350" s="5" t="s">
        <v>218</v>
      </c>
      <c r="B350" s="3" t="s">
        <v>13</v>
      </c>
      <c r="C350" s="2">
        <v>45504</v>
      </c>
      <c r="D350" s="3" t="s">
        <v>27</v>
      </c>
      <c r="E350" s="3" t="s">
        <v>358</v>
      </c>
      <c r="F350" s="3">
        <v>7122</v>
      </c>
      <c r="G350" s="3">
        <v>628</v>
      </c>
      <c r="H350" s="3">
        <v>757</v>
      </c>
      <c r="I350" s="3">
        <v>2313</v>
      </c>
      <c r="J350" s="3">
        <v>50924</v>
      </c>
      <c r="K350" s="3">
        <v>210954</v>
      </c>
      <c r="L350" s="6" t="s">
        <v>45</v>
      </c>
    </row>
    <row r="351" spans="1:12" x14ac:dyDescent="0.3">
      <c r="A351" s="5" t="s">
        <v>219</v>
      </c>
      <c r="B351" s="3" t="s">
        <v>40</v>
      </c>
      <c r="C351" s="2">
        <v>45643</v>
      </c>
      <c r="D351" s="3" t="s">
        <v>14</v>
      </c>
      <c r="E351" s="3" t="s">
        <v>363</v>
      </c>
      <c r="F351" s="3">
        <v>20030</v>
      </c>
      <c r="G351" s="3">
        <v>485</v>
      </c>
      <c r="H351" s="3">
        <v>888</v>
      </c>
      <c r="I351" s="3">
        <v>1643</v>
      </c>
      <c r="J351" s="3">
        <v>4322</v>
      </c>
      <c r="K351" s="3">
        <v>196995</v>
      </c>
      <c r="L351" s="6" t="s">
        <v>25</v>
      </c>
    </row>
    <row r="352" spans="1:12" x14ac:dyDescent="0.3">
      <c r="A352" s="5" t="s">
        <v>219</v>
      </c>
      <c r="B352" s="3" t="s">
        <v>40</v>
      </c>
      <c r="C352" s="2">
        <v>45643</v>
      </c>
      <c r="D352" s="3" t="s">
        <v>14</v>
      </c>
      <c r="E352" s="3" t="s">
        <v>364</v>
      </c>
      <c r="F352" s="3">
        <v>20030</v>
      </c>
      <c r="G352" s="3">
        <v>485</v>
      </c>
      <c r="H352" s="3">
        <v>888</v>
      </c>
      <c r="I352" s="3">
        <v>1643</v>
      </c>
      <c r="J352" s="3">
        <v>4322</v>
      </c>
      <c r="K352" s="3">
        <v>196995</v>
      </c>
      <c r="L352" s="6" t="s">
        <v>25</v>
      </c>
    </row>
    <row r="353" spans="1:12" x14ac:dyDescent="0.3">
      <c r="A353" s="5" t="s">
        <v>220</v>
      </c>
      <c r="B353" s="3" t="s">
        <v>13</v>
      </c>
      <c r="C353" s="2">
        <v>45943</v>
      </c>
      <c r="D353" s="3" t="s">
        <v>27</v>
      </c>
      <c r="E353" s="3" t="s">
        <v>359</v>
      </c>
      <c r="F353" s="3">
        <v>19302</v>
      </c>
      <c r="G353" s="3">
        <v>1367</v>
      </c>
      <c r="H353" s="3">
        <v>188</v>
      </c>
      <c r="I353" s="3">
        <v>637</v>
      </c>
      <c r="J353" s="3">
        <v>31404</v>
      </c>
      <c r="K353" s="3">
        <v>154044</v>
      </c>
      <c r="L353" s="6" t="s">
        <v>20</v>
      </c>
    </row>
    <row r="354" spans="1:12" x14ac:dyDescent="0.3">
      <c r="A354" s="5" t="s">
        <v>220</v>
      </c>
      <c r="B354" s="3" t="s">
        <v>13</v>
      </c>
      <c r="C354" s="2">
        <v>45943</v>
      </c>
      <c r="D354" s="3" t="s">
        <v>27</v>
      </c>
      <c r="E354" s="3" t="s">
        <v>366</v>
      </c>
      <c r="F354" s="3">
        <v>19302</v>
      </c>
      <c r="G354" s="3">
        <v>1367</v>
      </c>
      <c r="H354" s="3">
        <v>188</v>
      </c>
      <c r="I354" s="3">
        <v>637</v>
      </c>
      <c r="J354" s="3">
        <v>31404</v>
      </c>
      <c r="K354" s="3">
        <v>154044</v>
      </c>
      <c r="L354" s="6" t="s">
        <v>20</v>
      </c>
    </row>
    <row r="355" spans="1:12" x14ac:dyDescent="0.3">
      <c r="A355" s="5" t="s">
        <v>221</v>
      </c>
      <c r="B355" s="3" t="s">
        <v>22</v>
      </c>
      <c r="C355" s="2">
        <v>45668</v>
      </c>
      <c r="D355" s="3" t="s">
        <v>14</v>
      </c>
      <c r="E355" s="3" t="s">
        <v>355</v>
      </c>
      <c r="F355" s="3">
        <v>21181</v>
      </c>
      <c r="G355" s="3">
        <v>1242</v>
      </c>
      <c r="H355" s="3">
        <v>963</v>
      </c>
      <c r="I355" s="3">
        <v>1689</v>
      </c>
      <c r="J355" s="3">
        <v>49329</v>
      </c>
      <c r="K355" s="3">
        <v>69165</v>
      </c>
      <c r="L355" s="6" t="s">
        <v>16</v>
      </c>
    </row>
    <row r="356" spans="1:12" x14ac:dyDescent="0.3">
      <c r="A356" s="5" t="s">
        <v>221</v>
      </c>
      <c r="B356" s="3" t="s">
        <v>22</v>
      </c>
      <c r="C356" s="2">
        <v>45668</v>
      </c>
      <c r="D356" s="3" t="s">
        <v>14</v>
      </c>
      <c r="E356" s="3" t="s">
        <v>356</v>
      </c>
      <c r="F356" s="3">
        <v>21181</v>
      </c>
      <c r="G356" s="3">
        <v>1242</v>
      </c>
      <c r="H356" s="3">
        <v>963</v>
      </c>
      <c r="I356" s="3">
        <v>1689</v>
      </c>
      <c r="J356" s="3">
        <v>49329</v>
      </c>
      <c r="K356" s="3">
        <v>69165</v>
      </c>
      <c r="L356" s="6" t="s">
        <v>16</v>
      </c>
    </row>
    <row r="357" spans="1:12" x14ac:dyDescent="0.3">
      <c r="A357" s="5" t="s">
        <v>222</v>
      </c>
      <c r="B357" s="3" t="s">
        <v>22</v>
      </c>
      <c r="C357" s="2">
        <v>45528</v>
      </c>
      <c r="D357" s="3" t="s">
        <v>27</v>
      </c>
      <c r="E357" s="3" t="s">
        <v>357</v>
      </c>
      <c r="F357" s="3">
        <v>24890</v>
      </c>
      <c r="G357" s="3">
        <v>217</v>
      </c>
      <c r="H357" s="3">
        <v>178</v>
      </c>
      <c r="I357" s="3">
        <v>906</v>
      </c>
      <c r="J357" s="3">
        <v>54826</v>
      </c>
      <c r="K357" s="3">
        <v>107203</v>
      </c>
      <c r="L357" s="6" t="s">
        <v>25</v>
      </c>
    </row>
    <row r="358" spans="1:12" x14ac:dyDescent="0.3">
      <c r="A358" s="5" t="s">
        <v>222</v>
      </c>
      <c r="B358" s="3" t="s">
        <v>22</v>
      </c>
      <c r="C358" s="2">
        <v>45528</v>
      </c>
      <c r="D358" s="3" t="s">
        <v>27</v>
      </c>
      <c r="E358" s="3" t="s">
        <v>358</v>
      </c>
      <c r="F358" s="3">
        <v>24890</v>
      </c>
      <c r="G358" s="3">
        <v>217</v>
      </c>
      <c r="H358" s="3">
        <v>178</v>
      </c>
      <c r="I358" s="3">
        <v>906</v>
      </c>
      <c r="J358" s="3">
        <v>54826</v>
      </c>
      <c r="K358" s="3">
        <v>107203</v>
      </c>
      <c r="L358" s="6" t="s">
        <v>25</v>
      </c>
    </row>
    <row r="359" spans="1:12" x14ac:dyDescent="0.3">
      <c r="A359" s="5" t="s">
        <v>223</v>
      </c>
      <c r="B359" s="3" t="s">
        <v>40</v>
      </c>
      <c r="C359" s="2">
        <v>45648</v>
      </c>
      <c r="D359" s="3" t="s">
        <v>23</v>
      </c>
      <c r="E359" s="3" t="s">
        <v>368</v>
      </c>
      <c r="F359" s="3">
        <v>7870</v>
      </c>
      <c r="G359" s="3">
        <v>968</v>
      </c>
      <c r="H359" s="3">
        <v>626</v>
      </c>
      <c r="I359" s="3">
        <v>465</v>
      </c>
      <c r="J359" s="3">
        <v>27184</v>
      </c>
      <c r="K359" s="3">
        <v>44114</v>
      </c>
      <c r="L359" s="6" t="s">
        <v>45</v>
      </c>
    </row>
    <row r="360" spans="1:12" x14ac:dyDescent="0.3">
      <c r="A360" s="5" t="s">
        <v>223</v>
      </c>
      <c r="B360" s="3" t="s">
        <v>40</v>
      </c>
      <c r="C360" s="2">
        <v>45648</v>
      </c>
      <c r="D360" s="3" t="s">
        <v>23</v>
      </c>
      <c r="E360" s="3" t="s">
        <v>369</v>
      </c>
      <c r="F360" s="3">
        <v>7870</v>
      </c>
      <c r="G360" s="3">
        <v>968</v>
      </c>
      <c r="H360" s="3">
        <v>626</v>
      </c>
      <c r="I360" s="3">
        <v>465</v>
      </c>
      <c r="J360" s="3">
        <v>27184</v>
      </c>
      <c r="K360" s="3">
        <v>44114</v>
      </c>
      <c r="L360" s="6" t="s">
        <v>45</v>
      </c>
    </row>
    <row r="361" spans="1:12" x14ac:dyDescent="0.3">
      <c r="A361" s="5" t="s">
        <v>224</v>
      </c>
      <c r="B361" s="3" t="s">
        <v>13</v>
      </c>
      <c r="C361" s="2">
        <v>45449</v>
      </c>
      <c r="D361" s="3" t="s">
        <v>34</v>
      </c>
      <c r="E361" s="3" t="s">
        <v>368</v>
      </c>
      <c r="F361" s="3">
        <v>3531</v>
      </c>
      <c r="G361" s="3">
        <v>789</v>
      </c>
      <c r="H361" s="3">
        <v>467</v>
      </c>
      <c r="I361" s="3">
        <v>1867</v>
      </c>
      <c r="J361" s="3">
        <v>40816</v>
      </c>
      <c r="K361" s="3">
        <v>236037</v>
      </c>
      <c r="L361" s="6" t="s">
        <v>25</v>
      </c>
    </row>
    <row r="362" spans="1:12" x14ac:dyDescent="0.3">
      <c r="A362" s="5" t="s">
        <v>224</v>
      </c>
      <c r="B362" s="3" t="s">
        <v>13</v>
      </c>
      <c r="C362" s="2">
        <v>45449</v>
      </c>
      <c r="D362" s="3" t="s">
        <v>34</v>
      </c>
      <c r="E362" s="3" t="s">
        <v>369</v>
      </c>
      <c r="F362" s="3">
        <v>3531</v>
      </c>
      <c r="G362" s="3">
        <v>789</v>
      </c>
      <c r="H362" s="3">
        <v>467</v>
      </c>
      <c r="I362" s="3">
        <v>1867</v>
      </c>
      <c r="J362" s="3">
        <v>40816</v>
      </c>
      <c r="K362" s="3">
        <v>236037</v>
      </c>
      <c r="L362" s="6" t="s">
        <v>25</v>
      </c>
    </row>
    <row r="363" spans="1:12" x14ac:dyDescent="0.3">
      <c r="A363" s="5" t="s">
        <v>225</v>
      </c>
      <c r="B363" s="3" t="s">
        <v>13</v>
      </c>
      <c r="C363" s="2">
        <v>45740</v>
      </c>
      <c r="D363" s="3" t="s">
        <v>14</v>
      </c>
      <c r="E363" s="3" t="s">
        <v>32</v>
      </c>
      <c r="F363" s="3">
        <v>10172</v>
      </c>
      <c r="G363" s="3">
        <v>1398</v>
      </c>
      <c r="H363" s="3">
        <v>394</v>
      </c>
      <c r="I363" s="3">
        <v>2358</v>
      </c>
      <c r="J363" s="3">
        <v>59610</v>
      </c>
      <c r="K363" s="3">
        <v>76321</v>
      </c>
      <c r="L363" s="6" t="s">
        <v>29</v>
      </c>
    </row>
    <row r="364" spans="1:12" x14ac:dyDescent="0.3">
      <c r="A364" s="5" t="s">
        <v>226</v>
      </c>
      <c r="B364" s="3" t="s">
        <v>40</v>
      </c>
      <c r="C364" s="2">
        <v>45569</v>
      </c>
      <c r="D364" s="3" t="s">
        <v>14</v>
      </c>
      <c r="E364" s="3" t="s">
        <v>361</v>
      </c>
      <c r="F364" s="3">
        <v>21729</v>
      </c>
      <c r="G364" s="3">
        <v>1209</v>
      </c>
      <c r="H364" s="3">
        <v>897</v>
      </c>
      <c r="I364" s="3">
        <v>1624</v>
      </c>
      <c r="J364" s="3">
        <v>38771</v>
      </c>
      <c r="K364" s="3">
        <v>113297</v>
      </c>
      <c r="L364" s="6" t="s">
        <v>29</v>
      </c>
    </row>
    <row r="365" spans="1:12" x14ac:dyDescent="0.3">
      <c r="A365" s="5" t="s">
        <v>226</v>
      </c>
      <c r="B365" s="3" t="s">
        <v>40</v>
      </c>
      <c r="C365" s="2">
        <v>45569</v>
      </c>
      <c r="D365" s="3" t="s">
        <v>14</v>
      </c>
      <c r="E365" s="3" t="s">
        <v>362</v>
      </c>
      <c r="F365" s="3">
        <v>21729</v>
      </c>
      <c r="G365" s="3">
        <v>1209</v>
      </c>
      <c r="H365" s="3">
        <v>897</v>
      </c>
      <c r="I365" s="3">
        <v>1624</v>
      </c>
      <c r="J365" s="3">
        <v>38771</v>
      </c>
      <c r="K365" s="3">
        <v>113297</v>
      </c>
      <c r="L365" s="6" t="s">
        <v>29</v>
      </c>
    </row>
    <row r="366" spans="1:12" x14ac:dyDescent="0.3">
      <c r="A366" s="5" t="s">
        <v>227</v>
      </c>
      <c r="B366" s="3" t="s">
        <v>13</v>
      </c>
      <c r="C366" s="2">
        <v>45944</v>
      </c>
      <c r="D366" s="3" t="s">
        <v>34</v>
      </c>
      <c r="E366" s="3" t="s">
        <v>367</v>
      </c>
      <c r="F366" s="3">
        <v>9673</v>
      </c>
      <c r="G366" s="3">
        <v>393</v>
      </c>
      <c r="H366" s="3">
        <v>846</v>
      </c>
      <c r="I366" s="3">
        <v>1028</v>
      </c>
      <c r="J366" s="3">
        <v>55556</v>
      </c>
      <c r="K366" s="3">
        <v>136652</v>
      </c>
      <c r="L366" s="6" t="s">
        <v>20</v>
      </c>
    </row>
    <row r="367" spans="1:12" x14ac:dyDescent="0.3">
      <c r="A367" s="5" t="s">
        <v>227</v>
      </c>
      <c r="B367" s="3" t="s">
        <v>13</v>
      </c>
      <c r="C367" s="2">
        <v>45944</v>
      </c>
      <c r="D367" s="3" t="s">
        <v>34</v>
      </c>
      <c r="E367" s="3" t="s">
        <v>32</v>
      </c>
      <c r="F367" s="3">
        <v>9673</v>
      </c>
      <c r="G367" s="3">
        <v>393</v>
      </c>
      <c r="H367" s="3">
        <v>846</v>
      </c>
      <c r="I367" s="3">
        <v>1028</v>
      </c>
      <c r="J367" s="3">
        <v>55556</v>
      </c>
      <c r="K367" s="3">
        <v>136652</v>
      </c>
      <c r="L367" s="6" t="s">
        <v>20</v>
      </c>
    </row>
    <row r="368" spans="1:12" x14ac:dyDescent="0.3">
      <c r="A368" s="5" t="s">
        <v>228</v>
      </c>
      <c r="B368" s="3" t="s">
        <v>13</v>
      </c>
      <c r="C368" s="2">
        <v>45945</v>
      </c>
      <c r="D368" s="3" t="s">
        <v>14</v>
      </c>
      <c r="E368" s="3" t="s">
        <v>363</v>
      </c>
      <c r="F368" s="3">
        <v>8882</v>
      </c>
      <c r="G368" s="3">
        <v>701</v>
      </c>
      <c r="H368" s="3">
        <v>421</v>
      </c>
      <c r="I368" s="3">
        <v>2343</v>
      </c>
      <c r="J368" s="3">
        <v>13588</v>
      </c>
      <c r="K368" s="3">
        <v>139304</v>
      </c>
      <c r="L368" s="6" t="s">
        <v>20</v>
      </c>
    </row>
    <row r="369" spans="1:12" x14ac:dyDescent="0.3">
      <c r="A369" s="5" t="s">
        <v>228</v>
      </c>
      <c r="B369" s="3" t="s">
        <v>13</v>
      </c>
      <c r="C369" s="2">
        <v>45945</v>
      </c>
      <c r="D369" s="3" t="s">
        <v>14</v>
      </c>
      <c r="E369" s="3" t="s">
        <v>364</v>
      </c>
      <c r="F369" s="3">
        <v>8882</v>
      </c>
      <c r="G369" s="3">
        <v>701</v>
      </c>
      <c r="H369" s="3">
        <v>421</v>
      </c>
      <c r="I369" s="3">
        <v>2343</v>
      </c>
      <c r="J369" s="3">
        <v>13588</v>
      </c>
      <c r="K369" s="3">
        <v>139304</v>
      </c>
      <c r="L369" s="6" t="s">
        <v>20</v>
      </c>
    </row>
    <row r="370" spans="1:12" x14ac:dyDescent="0.3">
      <c r="A370" s="5" t="s">
        <v>229</v>
      </c>
      <c r="B370" s="3" t="s">
        <v>22</v>
      </c>
      <c r="C370" s="2">
        <v>45546</v>
      </c>
      <c r="D370" s="3" t="s">
        <v>14</v>
      </c>
      <c r="E370" s="3" t="s">
        <v>363</v>
      </c>
      <c r="F370" s="3">
        <v>3906</v>
      </c>
      <c r="G370" s="3">
        <v>1187</v>
      </c>
      <c r="H370" s="3">
        <v>589</v>
      </c>
      <c r="I370" s="3">
        <v>401</v>
      </c>
      <c r="J370" s="3">
        <v>52687</v>
      </c>
      <c r="K370" s="3">
        <v>196498</v>
      </c>
      <c r="L370" s="6" t="s">
        <v>16</v>
      </c>
    </row>
    <row r="371" spans="1:12" x14ac:dyDescent="0.3">
      <c r="A371" s="5" t="s">
        <v>229</v>
      </c>
      <c r="B371" s="3" t="s">
        <v>22</v>
      </c>
      <c r="C371" s="2">
        <v>45546</v>
      </c>
      <c r="D371" s="3" t="s">
        <v>14</v>
      </c>
      <c r="E371" s="3" t="s">
        <v>364</v>
      </c>
      <c r="F371" s="3">
        <v>3906</v>
      </c>
      <c r="G371" s="3">
        <v>1187</v>
      </c>
      <c r="H371" s="3">
        <v>589</v>
      </c>
      <c r="I371" s="3">
        <v>401</v>
      </c>
      <c r="J371" s="3">
        <v>52687</v>
      </c>
      <c r="K371" s="3">
        <v>196498</v>
      </c>
      <c r="L371" s="6" t="s">
        <v>16</v>
      </c>
    </row>
    <row r="372" spans="1:12" x14ac:dyDescent="0.3">
      <c r="A372" s="5" t="s">
        <v>230</v>
      </c>
      <c r="B372" s="3" t="s">
        <v>13</v>
      </c>
      <c r="C372" s="2">
        <v>45567</v>
      </c>
      <c r="D372" s="3" t="s">
        <v>27</v>
      </c>
      <c r="E372" s="3" t="s">
        <v>361</v>
      </c>
      <c r="F372" s="3">
        <v>5086</v>
      </c>
      <c r="G372" s="3">
        <v>1336</v>
      </c>
      <c r="H372" s="3">
        <v>897</v>
      </c>
      <c r="I372" s="3">
        <v>1715</v>
      </c>
      <c r="J372" s="3">
        <v>60592</v>
      </c>
      <c r="K372" s="3">
        <v>57772</v>
      </c>
      <c r="L372" s="6" t="s">
        <v>25</v>
      </c>
    </row>
    <row r="373" spans="1:12" x14ac:dyDescent="0.3">
      <c r="A373" s="5" t="s">
        <v>230</v>
      </c>
      <c r="B373" s="3" t="s">
        <v>13</v>
      </c>
      <c r="C373" s="2">
        <v>45567</v>
      </c>
      <c r="D373" s="3" t="s">
        <v>27</v>
      </c>
      <c r="E373" s="3" t="s">
        <v>362</v>
      </c>
      <c r="F373" s="3">
        <v>5086</v>
      </c>
      <c r="G373" s="3">
        <v>1336</v>
      </c>
      <c r="H373" s="3">
        <v>897</v>
      </c>
      <c r="I373" s="3">
        <v>1715</v>
      </c>
      <c r="J373" s="3">
        <v>60592</v>
      </c>
      <c r="K373" s="3">
        <v>57772</v>
      </c>
      <c r="L373" s="6" t="s">
        <v>25</v>
      </c>
    </row>
    <row r="374" spans="1:12" x14ac:dyDescent="0.3">
      <c r="A374" s="5" t="s">
        <v>231</v>
      </c>
      <c r="B374" s="3" t="s">
        <v>13</v>
      </c>
      <c r="C374" s="2">
        <v>45519</v>
      </c>
      <c r="D374" s="3" t="s">
        <v>14</v>
      </c>
      <c r="E374" s="3" t="s">
        <v>365</v>
      </c>
      <c r="F374" s="3">
        <v>15503</v>
      </c>
      <c r="G374" s="3">
        <v>313</v>
      </c>
      <c r="H374" s="3">
        <v>388</v>
      </c>
      <c r="I374" s="3">
        <v>1078</v>
      </c>
      <c r="J374" s="3">
        <v>11500</v>
      </c>
      <c r="K374" s="3">
        <v>143754</v>
      </c>
      <c r="L374" s="6" t="s">
        <v>29</v>
      </c>
    </row>
    <row r="375" spans="1:12" x14ac:dyDescent="0.3">
      <c r="A375" s="5" t="s">
        <v>231</v>
      </c>
      <c r="B375" s="3" t="s">
        <v>13</v>
      </c>
      <c r="C375" s="2">
        <v>45519</v>
      </c>
      <c r="D375" s="3" t="s">
        <v>14</v>
      </c>
      <c r="E375" s="3" t="s">
        <v>359</v>
      </c>
      <c r="F375" s="3">
        <v>15503</v>
      </c>
      <c r="G375" s="3">
        <v>313</v>
      </c>
      <c r="H375" s="3">
        <v>388</v>
      </c>
      <c r="I375" s="3">
        <v>1078</v>
      </c>
      <c r="J375" s="3">
        <v>11500</v>
      </c>
      <c r="K375" s="3">
        <v>143754</v>
      </c>
      <c r="L375" s="6" t="s">
        <v>29</v>
      </c>
    </row>
    <row r="376" spans="1:12" x14ac:dyDescent="0.3">
      <c r="A376" s="5" t="s">
        <v>232</v>
      </c>
      <c r="B376" s="3" t="s">
        <v>40</v>
      </c>
      <c r="C376" s="2">
        <v>45918</v>
      </c>
      <c r="D376" s="3" t="s">
        <v>23</v>
      </c>
      <c r="E376" s="3" t="s">
        <v>64</v>
      </c>
      <c r="F376" s="3">
        <v>10152</v>
      </c>
      <c r="G376" s="3">
        <v>1445</v>
      </c>
      <c r="H376" s="3">
        <v>526</v>
      </c>
      <c r="I376" s="3">
        <v>513</v>
      </c>
      <c r="J376" s="3">
        <v>18959</v>
      </c>
      <c r="K376" s="3">
        <v>43712</v>
      </c>
      <c r="L376" s="6" t="s">
        <v>20</v>
      </c>
    </row>
    <row r="377" spans="1:12" x14ac:dyDescent="0.3">
      <c r="A377" s="5" t="s">
        <v>233</v>
      </c>
      <c r="B377" s="3" t="s">
        <v>40</v>
      </c>
      <c r="C377" s="2">
        <v>45587</v>
      </c>
      <c r="D377" s="3" t="s">
        <v>23</v>
      </c>
      <c r="E377" s="3" t="s">
        <v>357</v>
      </c>
      <c r="F377" s="3">
        <v>7750</v>
      </c>
      <c r="G377" s="3">
        <v>1146</v>
      </c>
      <c r="H377" s="3">
        <v>415</v>
      </c>
      <c r="I377" s="3">
        <v>1411</v>
      </c>
      <c r="J377" s="3">
        <v>85339</v>
      </c>
      <c r="K377" s="3">
        <v>172439</v>
      </c>
      <c r="L377" s="6" t="s">
        <v>25</v>
      </c>
    </row>
    <row r="378" spans="1:12" x14ac:dyDescent="0.3">
      <c r="A378" s="5" t="s">
        <v>233</v>
      </c>
      <c r="B378" s="3" t="s">
        <v>40</v>
      </c>
      <c r="C378" s="2">
        <v>45587</v>
      </c>
      <c r="D378" s="3" t="s">
        <v>23</v>
      </c>
      <c r="E378" s="3" t="s">
        <v>358</v>
      </c>
      <c r="F378" s="3">
        <v>7750</v>
      </c>
      <c r="G378" s="3">
        <v>1146</v>
      </c>
      <c r="H378" s="3">
        <v>415</v>
      </c>
      <c r="I378" s="3">
        <v>1411</v>
      </c>
      <c r="J378" s="3">
        <v>85339</v>
      </c>
      <c r="K378" s="3">
        <v>172439</v>
      </c>
      <c r="L378" s="6" t="s">
        <v>25</v>
      </c>
    </row>
    <row r="379" spans="1:12" x14ac:dyDescent="0.3">
      <c r="A379" s="5" t="s">
        <v>234</v>
      </c>
      <c r="B379" s="3" t="s">
        <v>18</v>
      </c>
      <c r="C379" s="2">
        <v>45919</v>
      </c>
      <c r="D379" s="3" t="s">
        <v>34</v>
      </c>
      <c r="E379" s="3" t="s">
        <v>359</v>
      </c>
      <c r="F379" s="3">
        <v>14772</v>
      </c>
      <c r="G379" s="3">
        <v>1030</v>
      </c>
      <c r="H379" s="3">
        <v>508</v>
      </c>
      <c r="I379" s="3">
        <v>1876</v>
      </c>
      <c r="J379" s="3">
        <v>8882</v>
      </c>
      <c r="K379" s="3">
        <v>155142</v>
      </c>
      <c r="L379" s="6" t="s">
        <v>20</v>
      </c>
    </row>
    <row r="380" spans="1:12" x14ac:dyDescent="0.3">
      <c r="A380" s="5" t="s">
        <v>234</v>
      </c>
      <c r="B380" s="3" t="s">
        <v>18</v>
      </c>
      <c r="C380" s="2">
        <v>45919</v>
      </c>
      <c r="D380" s="3" t="s">
        <v>34</v>
      </c>
      <c r="E380" s="3" t="s">
        <v>360</v>
      </c>
      <c r="F380" s="3">
        <v>14772</v>
      </c>
      <c r="G380" s="3">
        <v>1030</v>
      </c>
      <c r="H380" s="3">
        <v>508</v>
      </c>
      <c r="I380" s="3">
        <v>1876</v>
      </c>
      <c r="J380" s="3">
        <v>8882</v>
      </c>
      <c r="K380" s="3">
        <v>155142</v>
      </c>
      <c r="L380" s="6" t="s">
        <v>20</v>
      </c>
    </row>
    <row r="381" spans="1:12" x14ac:dyDescent="0.3">
      <c r="A381" s="5" t="s">
        <v>235</v>
      </c>
      <c r="B381" s="3" t="s">
        <v>22</v>
      </c>
      <c r="C381" s="2">
        <v>45920</v>
      </c>
      <c r="D381" s="3" t="s">
        <v>14</v>
      </c>
      <c r="E381" s="3" t="s">
        <v>363</v>
      </c>
      <c r="F381" s="3">
        <v>12267</v>
      </c>
      <c r="G381" s="3">
        <v>1487</v>
      </c>
      <c r="H381" s="3">
        <v>489</v>
      </c>
      <c r="I381" s="3">
        <v>2748</v>
      </c>
      <c r="J381" s="3">
        <v>34685</v>
      </c>
      <c r="K381" s="3">
        <v>131736</v>
      </c>
      <c r="L381" s="6" t="s">
        <v>20</v>
      </c>
    </row>
    <row r="382" spans="1:12" x14ac:dyDescent="0.3">
      <c r="A382" s="5" t="s">
        <v>235</v>
      </c>
      <c r="B382" s="3" t="s">
        <v>22</v>
      </c>
      <c r="C382" s="2">
        <v>45920</v>
      </c>
      <c r="D382" s="3" t="s">
        <v>14</v>
      </c>
      <c r="E382" s="3" t="s">
        <v>364</v>
      </c>
      <c r="F382" s="3">
        <v>12267</v>
      </c>
      <c r="G382" s="3">
        <v>1487</v>
      </c>
      <c r="H382" s="3">
        <v>489</v>
      </c>
      <c r="I382" s="3">
        <v>2748</v>
      </c>
      <c r="J382" s="3">
        <v>34685</v>
      </c>
      <c r="K382" s="3">
        <v>131736</v>
      </c>
      <c r="L382" s="6" t="s">
        <v>20</v>
      </c>
    </row>
    <row r="383" spans="1:12" x14ac:dyDescent="0.3">
      <c r="A383" s="5" t="s">
        <v>236</v>
      </c>
      <c r="B383" s="3" t="s">
        <v>13</v>
      </c>
      <c r="C383" s="2">
        <v>45754</v>
      </c>
      <c r="D383" s="3" t="s">
        <v>34</v>
      </c>
      <c r="E383" s="3" t="s">
        <v>367</v>
      </c>
      <c r="F383" s="3">
        <v>3062</v>
      </c>
      <c r="G383" s="3">
        <v>1124</v>
      </c>
      <c r="H383" s="3">
        <v>538</v>
      </c>
      <c r="I383" s="3">
        <v>2935</v>
      </c>
      <c r="J383" s="3">
        <v>69749</v>
      </c>
      <c r="K383" s="3">
        <v>91924</v>
      </c>
      <c r="L383" s="6" t="s">
        <v>29</v>
      </c>
    </row>
    <row r="384" spans="1:12" x14ac:dyDescent="0.3">
      <c r="A384" s="5" t="s">
        <v>236</v>
      </c>
      <c r="B384" s="3" t="s">
        <v>13</v>
      </c>
      <c r="C384" s="2">
        <v>45754</v>
      </c>
      <c r="D384" s="3" t="s">
        <v>34</v>
      </c>
      <c r="E384" s="3" t="s">
        <v>32</v>
      </c>
      <c r="F384" s="3">
        <v>3062</v>
      </c>
      <c r="G384" s="3">
        <v>1124</v>
      </c>
      <c r="H384" s="3">
        <v>538</v>
      </c>
      <c r="I384" s="3">
        <v>2935</v>
      </c>
      <c r="J384" s="3">
        <v>69749</v>
      </c>
      <c r="K384" s="3">
        <v>91924</v>
      </c>
      <c r="L384" s="6" t="s">
        <v>29</v>
      </c>
    </row>
    <row r="385" spans="1:12" x14ac:dyDescent="0.3">
      <c r="A385" s="5" t="s">
        <v>237</v>
      </c>
      <c r="B385" s="3" t="s">
        <v>13</v>
      </c>
      <c r="C385" s="2">
        <v>45672</v>
      </c>
      <c r="D385" s="3" t="s">
        <v>23</v>
      </c>
      <c r="E385" s="3" t="s">
        <v>32</v>
      </c>
      <c r="F385" s="3">
        <v>20360</v>
      </c>
      <c r="G385" s="3">
        <v>254</v>
      </c>
      <c r="H385" s="3">
        <v>726</v>
      </c>
      <c r="I385" s="3">
        <v>1995</v>
      </c>
      <c r="J385" s="3">
        <v>14280</v>
      </c>
      <c r="K385" s="3">
        <v>43726</v>
      </c>
      <c r="L385" s="6" t="s">
        <v>29</v>
      </c>
    </row>
    <row r="386" spans="1:12" x14ac:dyDescent="0.3">
      <c r="A386" s="5" t="s">
        <v>238</v>
      </c>
      <c r="B386" s="3" t="s">
        <v>18</v>
      </c>
      <c r="C386" s="2">
        <v>45921</v>
      </c>
      <c r="D386" s="3" t="s">
        <v>14</v>
      </c>
      <c r="E386" s="3" t="s">
        <v>368</v>
      </c>
      <c r="F386" s="3">
        <v>19680</v>
      </c>
      <c r="G386" s="3">
        <v>999</v>
      </c>
      <c r="H386" s="3">
        <v>838</v>
      </c>
      <c r="I386" s="3">
        <v>891</v>
      </c>
      <c r="J386" s="3">
        <v>29576</v>
      </c>
      <c r="K386" s="3">
        <v>129152</v>
      </c>
      <c r="L386" s="6" t="s">
        <v>20</v>
      </c>
    </row>
    <row r="387" spans="1:12" x14ac:dyDescent="0.3">
      <c r="A387" s="5" t="s">
        <v>238</v>
      </c>
      <c r="B387" s="3" t="s">
        <v>18</v>
      </c>
      <c r="C387" s="2">
        <v>45921</v>
      </c>
      <c r="D387" s="3" t="s">
        <v>14</v>
      </c>
      <c r="E387" s="3" t="s">
        <v>369</v>
      </c>
      <c r="F387" s="3">
        <v>19680</v>
      </c>
      <c r="G387" s="3">
        <v>999</v>
      </c>
      <c r="H387" s="3">
        <v>838</v>
      </c>
      <c r="I387" s="3">
        <v>891</v>
      </c>
      <c r="J387" s="3">
        <v>29576</v>
      </c>
      <c r="K387" s="3">
        <v>129152</v>
      </c>
      <c r="L387" s="6" t="s">
        <v>20</v>
      </c>
    </row>
    <row r="388" spans="1:12" x14ac:dyDescent="0.3">
      <c r="A388" s="5" t="s">
        <v>239</v>
      </c>
      <c r="B388" s="3" t="s">
        <v>13</v>
      </c>
      <c r="C388" s="2">
        <v>45617</v>
      </c>
      <c r="D388" s="3" t="s">
        <v>14</v>
      </c>
      <c r="E388" s="3" t="s">
        <v>363</v>
      </c>
      <c r="F388" s="3">
        <v>8229</v>
      </c>
      <c r="G388" s="3">
        <v>977</v>
      </c>
      <c r="H388" s="3">
        <v>152</v>
      </c>
      <c r="I388" s="3">
        <v>1633</v>
      </c>
      <c r="J388" s="3">
        <v>71447</v>
      </c>
      <c r="K388" s="3">
        <v>67723</v>
      </c>
      <c r="L388" s="6" t="s">
        <v>45</v>
      </c>
    </row>
    <row r="389" spans="1:12" x14ac:dyDescent="0.3">
      <c r="A389" s="5" t="s">
        <v>239</v>
      </c>
      <c r="B389" s="3" t="s">
        <v>13</v>
      </c>
      <c r="C389" s="2">
        <v>45617</v>
      </c>
      <c r="D389" s="3" t="s">
        <v>14</v>
      </c>
      <c r="E389" s="3" t="s">
        <v>364</v>
      </c>
      <c r="F389" s="3">
        <v>8229</v>
      </c>
      <c r="G389" s="3">
        <v>977</v>
      </c>
      <c r="H389" s="3">
        <v>152</v>
      </c>
      <c r="I389" s="3">
        <v>1633</v>
      </c>
      <c r="J389" s="3">
        <v>71447</v>
      </c>
      <c r="K389" s="3">
        <v>67723</v>
      </c>
      <c r="L389" s="6" t="s">
        <v>45</v>
      </c>
    </row>
    <row r="390" spans="1:12" x14ac:dyDescent="0.3">
      <c r="A390" s="5" t="s">
        <v>240</v>
      </c>
      <c r="B390" s="3" t="s">
        <v>22</v>
      </c>
      <c r="C390" s="2">
        <v>45922</v>
      </c>
      <c r="D390" s="3" t="s">
        <v>34</v>
      </c>
      <c r="E390" s="3" t="s">
        <v>32</v>
      </c>
      <c r="F390" s="3">
        <v>18509</v>
      </c>
      <c r="G390" s="3">
        <v>361</v>
      </c>
      <c r="H390" s="3">
        <v>578</v>
      </c>
      <c r="I390" s="3">
        <v>1409</v>
      </c>
      <c r="J390" s="3">
        <v>10569</v>
      </c>
      <c r="K390" s="3">
        <v>166969</v>
      </c>
      <c r="L390" s="6" t="s">
        <v>20</v>
      </c>
    </row>
    <row r="391" spans="1:12" x14ac:dyDescent="0.3">
      <c r="A391" s="5" t="s">
        <v>241</v>
      </c>
      <c r="B391" s="3" t="s">
        <v>18</v>
      </c>
      <c r="C391" s="2">
        <v>45923</v>
      </c>
      <c r="D391" s="3" t="s">
        <v>23</v>
      </c>
      <c r="E391" s="3" t="s">
        <v>359</v>
      </c>
      <c r="F391" s="3">
        <v>17147</v>
      </c>
      <c r="G391" s="3">
        <v>286</v>
      </c>
      <c r="H391" s="3">
        <v>291</v>
      </c>
      <c r="I391" s="3">
        <v>2439</v>
      </c>
      <c r="J391" s="3">
        <v>45631</v>
      </c>
      <c r="K391" s="3">
        <v>140494</v>
      </c>
      <c r="L391" s="6" t="s">
        <v>20</v>
      </c>
    </row>
    <row r="392" spans="1:12" x14ac:dyDescent="0.3">
      <c r="A392" s="5" t="s">
        <v>241</v>
      </c>
      <c r="B392" s="3" t="s">
        <v>18</v>
      </c>
      <c r="C392" s="2">
        <v>45923</v>
      </c>
      <c r="D392" s="3" t="s">
        <v>23</v>
      </c>
      <c r="E392" s="3" t="s">
        <v>366</v>
      </c>
      <c r="F392" s="3">
        <v>17147</v>
      </c>
      <c r="G392" s="3">
        <v>286</v>
      </c>
      <c r="H392" s="3">
        <v>291</v>
      </c>
      <c r="I392" s="3">
        <v>2439</v>
      </c>
      <c r="J392" s="3">
        <v>45631</v>
      </c>
      <c r="K392" s="3">
        <v>140494</v>
      </c>
      <c r="L392" s="6" t="s">
        <v>20</v>
      </c>
    </row>
    <row r="393" spans="1:12" x14ac:dyDescent="0.3">
      <c r="A393" s="5" t="s">
        <v>242</v>
      </c>
      <c r="B393" s="3" t="s">
        <v>22</v>
      </c>
      <c r="C393" s="2">
        <v>45467</v>
      </c>
      <c r="D393" s="3" t="s">
        <v>14</v>
      </c>
      <c r="E393" s="3" t="s">
        <v>359</v>
      </c>
      <c r="F393" s="3">
        <v>6632</v>
      </c>
      <c r="G393" s="3">
        <v>254</v>
      </c>
      <c r="H393" s="3">
        <v>525</v>
      </c>
      <c r="I393" s="3">
        <v>1013</v>
      </c>
      <c r="J393" s="3">
        <v>13838</v>
      </c>
      <c r="K393" s="3">
        <v>180180</v>
      </c>
      <c r="L393" s="6" t="s">
        <v>16</v>
      </c>
    </row>
    <row r="394" spans="1:12" x14ac:dyDescent="0.3">
      <c r="A394" s="5" t="s">
        <v>242</v>
      </c>
      <c r="B394" s="3" t="s">
        <v>22</v>
      </c>
      <c r="C394" s="2">
        <v>45467</v>
      </c>
      <c r="D394" s="3" t="s">
        <v>14</v>
      </c>
      <c r="E394" s="3" t="s">
        <v>366</v>
      </c>
      <c r="F394" s="3">
        <v>6632</v>
      </c>
      <c r="G394" s="3">
        <v>254</v>
      </c>
      <c r="H394" s="3">
        <v>525</v>
      </c>
      <c r="I394" s="3">
        <v>1013</v>
      </c>
      <c r="J394" s="3">
        <v>13838</v>
      </c>
      <c r="K394" s="3">
        <v>180180</v>
      </c>
      <c r="L394" s="6" t="s">
        <v>16</v>
      </c>
    </row>
    <row r="395" spans="1:12" x14ac:dyDescent="0.3">
      <c r="A395" s="5" t="s">
        <v>243</v>
      </c>
      <c r="B395" s="3" t="s">
        <v>18</v>
      </c>
      <c r="C395" s="2">
        <v>45655</v>
      </c>
      <c r="D395" s="3" t="s">
        <v>34</v>
      </c>
      <c r="E395" s="3" t="s">
        <v>64</v>
      </c>
      <c r="F395" s="3">
        <v>8288</v>
      </c>
      <c r="G395" s="3">
        <v>1401</v>
      </c>
      <c r="H395" s="3">
        <v>819</v>
      </c>
      <c r="I395" s="3">
        <v>1235</v>
      </c>
      <c r="J395" s="3">
        <v>33446</v>
      </c>
      <c r="K395" s="3">
        <v>248786</v>
      </c>
      <c r="L395" s="6" t="s">
        <v>16</v>
      </c>
    </row>
    <row r="396" spans="1:12" x14ac:dyDescent="0.3">
      <c r="A396" s="5" t="s">
        <v>244</v>
      </c>
      <c r="B396" s="3" t="s">
        <v>18</v>
      </c>
      <c r="C396" s="2">
        <v>45467</v>
      </c>
      <c r="D396" s="3" t="s">
        <v>23</v>
      </c>
      <c r="E396" s="3" t="s">
        <v>355</v>
      </c>
      <c r="F396" s="3">
        <v>5596</v>
      </c>
      <c r="G396" s="3">
        <v>1231</v>
      </c>
      <c r="H396" s="3">
        <v>473</v>
      </c>
      <c r="I396" s="3">
        <v>2251</v>
      </c>
      <c r="J396" s="3">
        <v>43705</v>
      </c>
      <c r="K396" s="3">
        <v>75643</v>
      </c>
      <c r="L396" s="6" t="s">
        <v>16</v>
      </c>
    </row>
    <row r="397" spans="1:12" x14ac:dyDescent="0.3">
      <c r="A397" s="5" t="s">
        <v>244</v>
      </c>
      <c r="B397" s="3" t="s">
        <v>18</v>
      </c>
      <c r="C397" s="2">
        <v>45467</v>
      </c>
      <c r="D397" s="3" t="s">
        <v>23</v>
      </c>
      <c r="E397" s="3" t="s">
        <v>356</v>
      </c>
      <c r="F397" s="3">
        <v>5596</v>
      </c>
      <c r="G397" s="3">
        <v>1231</v>
      </c>
      <c r="H397" s="3">
        <v>473</v>
      </c>
      <c r="I397" s="3">
        <v>2251</v>
      </c>
      <c r="J397" s="3">
        <v>43705</v>
      </c>
      <c r="K397" s="3">
        <v>75643</v>
      </c>
      <c r="L397" s="6" t="s">
        <v>16</v>
      </c>
    </row>
    <row r="398" spans="1:12" x14ac:dyDescent="0.3">
      <c r="A398" s="5" t="s">
        <v>245</v>
      </c>
      <c r="B398" s="3" t="s">
        <v>40</v>
      </c>
      <c r="C398" s="2">
        <v>45735</v>
      </c>
      <c r="D398" s="3" t="s">
        <v>34</v>
      </c>
      <c r="E398" s="3" t="s">
        <v>359</v>
      </c>
      <c r="F398" s="3">
        <v>13475</v>
      </c>
      <c r="G398" s="3">
        <v>1032</v>
      </c>
      <c r="H398" s="3">
        <v>295</v>
      </c>
      <c r="I398" s="3">
        <v>541</v>
      </c>
      <c r="J398" s="3">
        <v>43666</v>
      </c>
      <c r="K398" s="3">
        <v>202396</v>
      </c>
      <c r="L398" s="6" t="s">
        <v>45</v>
      </c>
    </row>
    <row r="399" spans="1:12" x14ac:dyDescent="0.3">
      <c r="A399" s="5" t="s">
        <v>245</v>
      </c>
      <c r="B399" s="3" t="s">
        <v>40</v>
      </c>
      <c r="C399" s="2">
        <v>45735</v>
      </c>
      <c r="D399" s="3" t="s">
        <v>34</v>
      </c>
      <c r="E399" s="3" t="s">
        <v>360</v>
      </c>
      <c r="F399" s="3">
        <v>13475</v>
      </c>
      <c r="G399" s="3">
        <v>1032</v>
      </c>
      <c r="H399" s="3">
        <v>295</v>
      </c>
      <c r="I399" s="3">
        <v>541</v>
      </c>
      <c r="J399" s="3">
        <v>43666</v>
      </c>
      <c r="K399" s="3">
        <v>202396</v>
      </c>
      <c r="L399" s="6" t="s">
        <v>45</v>
      </c>
    </row>
    <row r="400" spans="1:12" x14ac:dyDescent="0.3">
      <c r="A400" s="5" t="s">
        <v>246</v>
      </c>
      <c r="B400" s="3" t="s">
        <v>22</v>
      </c>
      <c r="C400" s="2">
        <v>45707</v>
      </c>
      <c r="D400" s="3" t="s">
        <v>27</v>
      </c>
      <c r="E400" s="3" t="s">
        <v>365</v>
      </c>
      <c r="F400" s="3">
        <v>8168</v>
      </c>
      <c r="G400" s="3">
        <v>512</v>
      </c>
      <c r="H400" s="3">
        <v>442</v>
      </c>
      <c r="I400" s="3">
        <v>2343</v>
      </c>
      <c r="J400" s="3">
        <v>2753</v>
      </c>
      <c r="K400" s="3">
        <v>143896</v>
      </c>
      <c r="L400" s="6" t="s">
        <v>45</v>
      </c>
    </row>
    <row r="401" spans="1:12" x14ac:dyDescent="0.3">
      <c r="A401" s="5" t="s">
        <v>246</v>
      </c>
      <c r="B401" s="3" t="s">
        <v>22</v>
      </c>
      <c r="C401" s="2">
        <v>45707</v>
      </c>
      <c r="D401" s="3" t="s">
        <v>27</v>
      </c>
      <c r="E401" s="3" t="s">
        <v>359</v>
      </c>
      <c r="F401" s="3">
        <v>8168</v>
      </c>
      <c r="G401" s="3">
        <v>512</v>
      </c>
      <c r="H401" s="3">
        <v>442</v>
      </c>
      <c r="I401" s="3">
        <v>2343</v>
      </c>
      <c r="J401" s="3">
        <v>2753</v>
      </c>
      <c r="K401" s="3">
        <v>143896</v>
      </c>
      <c r="L401" s="6" t="s">
        <v>45</v>
      </c>
    </row>
    <row r="402" spans="1:12" x14ac:dyDescent="0.3">
      <c r="A402" s="5" t="s">
        <v>247</v>
      </c>
      <c r="B402" s="3" t="s">
        <v>13</v>
      </c>
      <c r="C402" s="2">
        <v>45924</v>
      </c>
      <c r="D402" s="3" t="s">
        <v>14</v>
      </c>
      <c r="E402" s="3" t="s">
        <v>64</v>
      </c>
      <c r="F402" s="3">
        <v>11795</v>
      </c>
      <c r="G402" s="3">
        <v>958</v>
      </c>
      <c r="H402" s="3">
        <v>814</v>
      </c>
      <c r="I402" s="3">
        <v>301</v>
      </c>
      <c r="J402" s="3">
        <v>12564</v>
      </c>
      <c r="K402" s="3">
        <v>179999</v>
      </c>
      <c r="L402" s="6" t="s">
        <v>20</v>
      </c>
    </row>
    <row r="403" spans="1:12" x14ac:dyDescent="0.3">
      <c r="A403" s="5" t="s">
        <v>248</v>
      </c>
      <c r="B403" s="3" t="s">
        <v>13</v>
      </c>
      <c r="C403" s="2">
        <v>45719</v>
      </c>
      <c r="D403" s="3" t="s">
        <v>27</v>
      </c>
      <c r="E403" s="3" t="s">
        <v>353</v>
      </c>
      <c r="F403" s="3">
        <v>9561</v>
      </c>
      <c r="G403" s="3">
        <v>642</v>
      </c>
      <c r="H403" s="3">
        <v>581</v>
      </c>
      <c r="I403" s="3">
        <v>2572</v>
      </c>
      <c r="J403" s="3">
        <v>38552</v>
      </c>
      <c r="K403" s="3">
        <v>133680</v>
      </c>
      <c r="L403" s="6" t="s">
        <v>16</v>
      </c>
    </row>
    <row r="404" spans="1:12" x14ac:dyDescent="0.3">
      <c r="A404" s="5" t="s">
        <v>248</v>
      </c>
      <c r="B404" s="3" t="s">
        <v>13</v>
      </c>
      <c r="C404" s="2">
        <v>45719</v>
      </c>
      <c r="D404" s="3" t="s">
        <v>27</v>
      </c>
      <c r="E404" s="3" t="s">
        <v>354</v>
      </c>
      <c r="F404" s="3">
        <v>9561</v>
      </c>
      <c r="G404" s="3">
        <v>642</v>
      </c>
      <c r="H404" s="3">
        <v>581</v>
      </c>
      <c r="I404" s="3">
        <v>2572</v>
      </c>
      <c r="J404" s="3">
        <v>38552</v>
      </c>
      <c r="K404" s="3">
        <v>133680</v>
      </c>
      <c r="L404" s="6" t="s">
        <v>16</v>
      </c>
    </row>
    <row r="405" spans="1:12" x14ac:dyDescent="0.3">
      <c r="A405" s="5" t="s">
        <v>249</v>
      </c>
      <c r="B405" s="3" t="s">
        <v>22</v>
      </c>
      <c r="C405" s="2">
        <v>45778</v>
      </c>
      <c r="D405" s="3" t="s">
        <v>23</v>
      </c>
      <c r="E405" s="3" t="s">
        <v>365</v>
      </c>
      <c r="F405" s="3">
        <v>10258</v>
      </c>
      <c r="G405" s="3">
        <v>527</v>
      </c>
      <c r="H405" s="3">
        <v>854</v>
      </c>
      <c r="I405" s="3">
        <v>2068</v>
      </c>
      <c r="J405" s="3">
        <v>45632</v>
      </c>
      <c r="K405" s="3">
        <v>136546</v>
      </c>
      <c r="L405" s="6" t="s">
        <v>45</v>
      </c>
    </row>
    <row r="406" spans="1:12" x14ac:dyDescent="0.3">
      <c r="A406" s="5" t="s">
        <v>249</v>
      </c>
      <c r="B406" s="3" t="s">
        <v>22</v>
      </c>
      <c r="C406" s="2">
        <v>45778</v>
      </c>
      <c r="D406" s="3" t="s">
        <v>23</v>
      </c>
      <c r="E406" s="3" t="s">
        <v>359</v>
      </c>
      <c r="F406" s="3">
        <v>10258</v>
      </c>
      <c r="G406" s="3">
        <v>527</v>
      </c>
      <c r="H406" s="3">
        <v>854</v>
      </c>
      <c r="I406" s="3">
        <v>2068</v>
      </c>
      <c r="J406" s="3">
        <v>45632</v>
      </c>
      <c r="K406" s="3">
        <v>136546</v>
      </c>
      <c r="L406" s="6" t="s">
        <v>45</v>
      </c>
    </row>
    <row r="407" spans="1:12" x14ac:dyDescent="0.3">
      <c r="A407" s="5" t="s">
        <v>250</v>
      </c>
      <c r="B407" s="3" t="s">
        <v>13</v>
      </c>
      <c r="C407" s="2">
        <v>45649</v>
      </c>
      <c r="D407" s="3" t="s">
        <v>27</v>
      </c>
      <c r="E407" s="3" t="s">
        <v>357</v>
      </c>
      <c r="F407" s="3">
        <v>18616</v>
      </c>
      <c r="G407" s="3">
        <v>1277</v>
      </c>
      <c r="H407" s="3">
        <v>734</v>
      </c>
      <c r="I407" s="3">
        <v>2249</v>
      </c>
      <c r="J407" s="3">
        <v>3399</v>
      </c>
      <c r="K407" s="3">
        <v>193515</v>
      </c>
      <c r="L407" s="6" t="s">
        <v>29</v>
      </c>
    </row>
    <row r="408" spans="1:12" x14ac:dyDescent="0.3">
      <c r="A408" s="5" t="s">
        <v>250</v>
      </c>
      <c r="B408" s="3" t="s">
        <v>13</v>
      </c>
      <c r="C408" s="2">
        <v>45649</v>
      </c>
      <c r="D408" s="3" t="s">
        <v>27</v>
      </c>
      <c r="E408" s="3" t="s">
        <v>358</v>
      </c>
      <c r="F408" s="3">
        <v>18616</v>
      </c>
      <c r="G408" s="3">
        <v>1277</v>
      </c>
      <c r="H408" s="3">
        <v>734</v>
      </c>
      <c r="I408" s="3">
        <v>2249</v>
      </c>
      <c r="J408" s="3">
        <v>3399</v>
      </c>
      <c r="K408" s="3">
        <v>193515</v>
      </c>
      <c r="L408" s="6" t="s">
        <v>29</v>
      </c>
    </row>
    <row r="409" spans="1:12" x14ac:dyDescent="0.3">
      <c r="A409" s="5" t="s">
        <v>251</v>
      </c>
      <c r="B409" s="3" t="s">
        <v>13</v>
      </c>
      <c r="C409" s="2">
        <v>45925</v>
      </c>
      <c r="D409" s="3" t="s">
        <v>27</v>
      </c>
      <c r="E409" s="3" t="s">
        <v>367</v>
      </c>
      <c r="F409" s="3">
        <v>8371</v>
      </c>
      <c r="G409" s="3">
        <v>960</v>
      </c>
      <c r="H409" s="3">
        <v>548</v>
      </c>
      <c r="I409" s="3">
        <v>2936</v>
      </c>
      <c r="J409" s="3">
        <v>82543</v>
      </c>
      <c r="K409" s="3">
        <v>119973</v>
      </c>
      <c r="L409" s="6" t="s">
        <v>20</v>
      </c>
    </row>
    <row r="410" spans="1:12" x14ac:dyDescent="0.3">
      <c r="A410" s="5" t="s">
        <v>251</v>
      </c>
      <c r="B410" s="3" t="s">
        <v>13</v>
      </c>
      <c r="C410" s="2">
        <v>45925</v>
      </c>
      <c r="D410" s="3" t="s">
        <v>27</v>
      </c>
      <c r="E410" s="3" t="s">
        <v>32</v>
      </c>
      <c r="F410" s="3">
        <v>8371</v>
      </c>
      <c r="G410" s="3">
        <v>960</v>
      </c>
      <c r="H410" s="3">
        <v>548</v>
      </c>
      <c r="I410" s="3">
        <v>2936</v>
      </c>
      <c r="J410" s="3">
        <v>82543</v>
      </c>
      <c r="K410" s="3">
        <v>119973</v>
      </c>
      <c r="L410" s="6" t="s">
        <v>20</v>
      </c>
    </row>
    <row r="411" spans="1:12" x14ac:dyDescent="0.3">
      <c r="A411" s="5" t="s">
        <v>252</v>
      </c>
      <c r="B411" s="3" t="s">
        <v>22</v>
      </c>
      <c r="C411" s="2">
        <v>45502</v>
      </c>
      <c r="D411" s="3" t="s">
        <v>23</v>
      </c>
      <c r="E411" s="3" t="s">
        <v>353</v>
      </c>
      <c r="F411" s="3">
        <v>22590</v>
      </c>
      <c r="G411" s="3">
        <v>1462</v>
      </c>
      <c r="H411" s="3">
        <v>966</v>
      </c>
      <c r="I411" s="3">
        <v>2463</v>
      </c>
      <c r="J411" s="3">
        <v>29689</v>
      </c>
      <c r="K411" s="3">
        <v>103449</v>
      </c>
      <c r="L411" s="6" t="s">
        <v>25</v>
      </c>
    </row>
    <row r="412" spans="1:12" x14ac:dyDescent="0.3">
      <c r="A412" s="5" t="s">
        <v>252</v>
      </c>
      <c r="B412" s="3" t="s">
        <v>22</v>
      </c>
      <c r="C412" s="2">
        <v>45502</v>
      </c>
      <c r="D412" s="3" t="s">
        <v>23</v>
      </c>
      <c r="E412" s="3" t="s">
        <v>354</v>
      </c>
      <c r="F412" s="3">
        <v>22590</v>
      </c>
      <c r="G412" s="3">
        <v>1462</v>
      </c>
      <c r="H412" s="3">
        <v>966</v>
      </c>
      <c r="I412" s="3">
        <v>2463</v>
      </c>
      <c r="J412" s="3">
        <v>29689</v>
      </c>
      <c r="K412" s="3">
        <v>103449</v>
      </c>
      <c r="L412" s="6" t="s">
        <v>25</v>
      </c>
    </row>
    <row r="413" spans="1:12" x14ac:dyDescent="0.3">
      <c r="A413" s="5" t="s">
        <v>253</v>
      </c>
      <c r="B413" s="3" t="s">
        <v>18</v>
      </c>
      <c r="C413" s="2">
        <v>45926</v>
      </c>
      <c r="D413" s="3" t="s">
        <v>34</v>
      </c>
      <c r="E413" s="3" t="s">
        <v>353</v>
      </c>
      <c r="F413" s="3">
        <v>16369</v>
      </c>
      <c r="G413" s="3">
        <v>1452</v>
      </c>
      <c r="H413" s="3">
        <v>493</v>
      </c>
      <c r="I413" s="3">
        <v>1217</v>
      </c>
      <c r="J413" s="3">
        <v>91440</v>
      </c>
      <c r="K413" s="3">
        <v>149834</v>
      </c>
      <c r="L413" s="6" t="s">
        <v>20</v>
      </c>
    </row>
    <row r="414" spans="1:12" x14ac:dyDescent="0.3">
      <c r="A414" s="5" t="s">
        <v>253</v>
      </c>
      <c r="B414" s="3" t="s">
        <v>18</v>
      </c>
      <c r="C414" s="2">
        <v>45926</v>
      </c>
      <c r="D414" s="3" t="s">
        <v>34</v>
      </c>
      <c r="E414" s="3" t="s">
        <v>354</v>
      </c>
      <c r="F414" s="3">
        <v>16369</v>
      </c>
      <c r="G414" s="3">
        <v>1452</v>
      </c>
      <c r="H414" s="3">
        <v>493</v>
      </c>
      <c r="I414" s="3">
        <v>1217</v>
      </c>
      <c r="J414" s="3">
        <v>91440</v>
      </c>
      <c r="K414" s="3">
        <v>149834</v>
      </c>
      <c r="L414" s="6" t="s">
        <v>20</v>
      </c>
    </row>
    <row r="415" spans="1:12" x14ac:dyDescent="0.3">
      <c r="A415" s="5" t="s">
        <v>254</v>
      </c>
      <c r="B415" s="3" t="s">
        <v>22</v>
      </c>
      <c r="C415" s="2">
        <v>45454</v>
      </c>
      <c r="D415" s="3" t="s">
        <v>27</v>
      </c>
      <c r="E415" s="3" t="s">
        <v>64</v>
      </c>
      <c r="F415" s="3">
        <v>14910</v>
      </c>
      <c r="G415" s="3">
        <v>778</v>
      </c>
      <c r="H415" s="3">
        <v>289</v>
      </c>
      <c r="I415" s="3">
        <v>2541</v>
      </c>
      <c r="J415" s="3">
        <v>14309</v>
      </c>
      <c r="K415" s="3">
        <v>247815</v>
      </c>
      <c r="L415" s="6" t="s">
        <v>25</v>
      </c>
    </row>
    <row r="416" spans="1:12" x14ac:dyDescent="0.3">
      <c r="A416" s="5" t="s">
        <v>255</v>
      </c>
      <c r="B416" s="3" t="s">
        <v>18</v>
      </c>
      <c r="C416" s="2">
        <v>45685</v>
      </c>
      <c r="D416" s="3" t="s">
        <v>34</v>
      </c>
      <c r="E416" s="3" t="s">
        <v>361</v>
      </c>
      <c r="F416" s="3">
        <v>9943</v>
      </c>
      <c r="G416" s="3">
        <v>1274</v>
      </c>
      <c r="H416" s="3">
        <v>336</v>
      </c>
      <c r="I416" s="3">
        <v>389</v>
      </c>
      <c r="J416" s="3">
        <v>6145</v>
      </c>
      <c r="K416" s="3">
        <v>231305</v>
      </c>
      <c r="L416" s="6" t="s">
        <v>16</v>
      </c>
    </row>
    <row r="417" spans="1:12" x14ac:dyDescent="0.3">
      <c r="A417" s="5" t="s">
        <v>255</v>
      </c>
      <c r="B417" s="3" t="s">
        <v>18</v>
      </c>
      <c r="C417" s="2">
        <v>45685</v>
      </c>
      <c r="D417" s="3" t="s">
        <v>34</v>
      </c>
      <c r="E417" s="3" t="s">
        <v>362</v>
      </c>
      <c r="F417" s="3">
        <v>9943</v>
      </c>
      <c r="G417" s="3">
        <v>1274</v>
      </c>
      <c r="H417" s="3">
        <v>336</v>
      </c>
      <c r="I417" s="3">
        <v>389</v>
      </c>
      <c r="J417" s="3">
        <v>6145</v>
      </c>
      <c r="K417" s="3">
        <v>231305</v>
      </c>
      <c r="L417" s="6" t="s">
        <v>16</v>
      </c>
    </row>
    <row r="418" spans="1:12" x14ac:dyDescent="0.3">
      <c r="A418" s="5" t="s">
        <v>256</v>
      </c>
      <c r="B418" s="3" t="s">
        <v>13</v>
      </c>
      <c r="C418" s="2">
        <v>45445</v>
      </c>
      <c r="D418" s="3" t="s">
        <v>27</v>
      </c>
      <c r="E418" s="3" t="s">
        <v>355</v>
      </c>
      <c r="F418" s="3">
        <v>14199</v>
      </c>
      <c r="G418" s="3">
        <v>1206</v>
      </c>
      <c r="H418" s="3">
        <v>954</v>
      </c>
      <c r="I418" s="3">
        <v>2009</v>
      </c>
      <c r="J418" s="3">
        <v>8</v>
      </c>
      <c r="K418" s="3">
        <v>65537</v>
      </c>
      <c r="L418" s="6" t="s">
        <v>25</v>
      </c>
    </row>
    <row r="419" spans="1:12" x14ac:dyDescent="0.3">
      <c r="A419" s="5" t="s">
        <v>256</v>
      </c>
      <c r="B419" s="3" t="s">
        <v>13</v>
      </c>
      <c r="C419" s="2">
        <v>45445</v>
      </c>
      <c r="D419" s="3" t="s">
        <v>27</v>
      </c>
      <c r="E419" s="3" t="s">
        <v>356</v>
      </c>
      <c r="F419" s="3">
        <v>14199</v>
      </c>
      <c r="G419" s="3">
        <v>1206</v>
      </c>
      <c r="H419" s="3">
        <v>954</v>
      </c>
      <c r="I419" s="3">
        <v>2009</v>
      </c>
      <c r="J419" s="3">
        <v>8</v>
      </c>
      <c r="K419" s="3">
        <v>65537</v>
      </c>
      <c r="L419" s="6" t="s">
        <v>25</v>
      </c>
    </row>
    <row r="420" spans="1:12" x14ac:dyDescent="0.3">
      <c r="A420" s="5" t="s">
        <v>257</v>
      </c>
      <c r="B420" s="3" t="s">
        <v>13</v>
      </c>
      <c r="C420" s="2">
        <v>45739</v>
      </c>
      <c r="D420" s="3" t="s">
        <v>34</v>
      </c>
      <c r="E420" s="3" t="s">
        <v>361</v>
      </c>
      <c r="F420" s="3">
        <v>17728</v>
      </c>
      <c r="G420" s="3">
        <v>1487</v>
      </c>
      <c r="H420" s="3">
        <v>210</v>
      </c>
      <c r="I420" s="3">
        <v>2469</v>
      </c>
      <c r="J420" s="3">
        <v>30565</v>
      </c>
      <c r="K420" s="3">
        <v>117576</v>
      </c>
      <c r="L420" s="6" t="s">
        <v>16</v>
      </c>
    </row>
    <row r="421" spans="1:12" x14ac:dyDescent="0.3">
      <c r="A421" s="5" t="s">
        <v>257</v>
      </c>
      <c r="B421" s="3" t="s">
        <v>13</v>
      </c>
      <c r="C421" s="2">
        <v>45739</v>
      </c>
      <c r="D421" s="3" t="s">
        <v>34</v>
      </c>
      <c r="E421" s="3" t="s">
        <v>362</v>
      </c>
      <c r="F421" s="3">
        <v>17728</v>
      </c>
      <c r="G421" s="3">
        <v>1487</v>
      </c>
      <c r="H421" s="3">
        <v>210</v>
      </c>
      <c r="I421" s="3">
        <v>2469</v>
      </c>
      <c r="J421" s="3">
        <v>30565</v>
      </c>
      <c r="K421" s="3">
        <v>117576</v>
      </c>
      <c r="L421" s="6" t="s">
        <v>16</v>
      </c>
    </row>
    <row r="422" spans="1:12" x14ac:dyDescent="0.3">
      <c r="A422" s="5" t="s">
        <v>258</v>
      </c>
      <c r="B422" s="3" t="s">
        <v>13</v>
      </c>
      <c r="C422" s="2">
        <v>45573</v>
      </c>
      <c r="D422" s="3" t="s">
        <v>23</v>
      </c>
      <c r="E422" s="3" t="s">
        <v>64</v>
      </c>
      <c r="F422" s="3">
        <v>8738</v>
      </c>
      <c r="G422" s="3">
        <v>295</v>
      </c>
      <c r="H422" s="3">
        <v>529</v>
      </c>
      <c r="I422" s="3">
        <v>442</v>
      </c>
      <c r="J422" s="3">
        <v>25286</v>
      </c>
      <c r="K422" s="3">
        <v>147522</v>
      </c>
      <c r="L422" s="6" t="s">
        <v>29</v>
      </c>
    </row>
    <row r="423" spans="1:12" x14ac:dyDescent="0.3">
      <c r="A423" s="5" t="s">
        <v>259</v>
      </c>
      <c r="B423" s="3" t="s">
        <v>40</v>
      </c>
      <c r="C423" s="2">
        <v>45608</v>
      </c>
      <c r="D423" s="3" t="s">
        <v>27</v>
      </c>
      <c r="E423" s="3" t="s">
        <v>357</v>
      </c>
      <c r="F423" s="3">
        <v>17913</v>
      </c>
      <c r="G423" s="3">
        <v>1311</v>
      </c>
      <c r="H423" s="3">
        <v>859</v>
      </c>
      <c r="I423" s="3">
        <v>405</v>
      </c>
      <c r="J423" s="3">
        <v>59842</v>
      </c>
      <c r="K423" s="3">
        <v>62612</v>
      </c>
      <c r="L423" s="6" t="s">
        <v>25</v>
      </c>
    </row>
    <row r="424" spans="1:12" x14ac:dyDescent="0.3">
      <c r="A424" s="5" t="s">
        <v>259</v>
      </c>
      <c r="B424" s="3" t="s">
        <v>40</v>
      </c>
      <c r="C424" s="2">
        <v>45608</v>
      </c>
      <c r="D424" s="3" t="s">
        <v>27</v>
      </c>
      <c r="E424" s="3" t="s">
        <v>358</v>
      </c>
      <c r="F424" s="3">
        <v>17913</v>
      </c>
      <c r="G424" s="3">
        <v>1311</v>
      </c>
      <c r="H424" s="3">
        <v>859</v>
      </c>
      <c r="I424" s="3">
        <v>405</v>
      </c>
      <c r="J424" s="3">
        <v>59842</v>
      </c>
      <c r="K424" s="3">
        <v>62612</v>
      </c>
      <c r="L424" s="6" t="s">
        <v>25</v>
      </c>
    </row>
    <row r="425" spans="1:12" x14ac:dyDescent="0.3">
      <c r="A425" s="5" t="s">
        <v>260</v>
      </c>
      <c r="B425" s="3" t="s">
        <v>18</v>
      </c>
      <c r="C425" s="2">
        <v>45907</v>
      </c>
      <c r="D425" s="3" t="s">
        <v>23</v>
      </c>
      <c r="E425" s="3" t="s">
        <v>368</v>
      </c>
      <c r="F425" s="3">
        <v>4472</v>
      </c>
      <c r="G425" s="3">
        <v>1301</v>
      </c>
      <c r="H425" s="3">
        <v>956</v>
      </c>
      <c r="I425" s="3">
        <v>1186</v>
      </c>
      <c r="J425" s="3">
        <v>3363</v>
      </c>
      <c r="K425" s="3">
        <v>46471</v>
      </c>
      <c r="L425" s="6" t="s">
        <v>20</v>
      </c>
    </row>
    <row r="426" spans="1:12" x14ac:dyDescent="0.3">
      <c r="A426" s="5" t="s">
        <v>260</v>
      </c>
      <c r="B426" s="3" t="s">
        <v>18</v>
      </c>
      <c r="C426" s="2">
        <v>45907</v>
      </c>
      <c r="D426" s="3" t="s">
        <v>23</v>
      </c>
      <c r="E426" s="3" t="s">
        <v>369</v>
      </c>
      <c r="F426" s="3">
        <v>4472</v>
      </c>
      <c r="G426" s="3">
        <v>1301</v>
      </c>
      <c r="H426" s="3">
        <v>956</v>
      </c>
      <c r="I426" s="3">
        <v>1186</v>
      </c>
      <c r="J426" s="3">
        <v>3363</v>
      </c>
      <c r="K426" s="3">
        <v>46471</v>
      </c>
      <c r="L426" s="6" t="s">
        <v>20</v>
      </c>
    </row>
    <row r="427" spans="1:12" x14ac:dyDescent="0.3">
      <c r="A427" s="5" t="s">
        <v>261</v>
      </c>
      <c r="B427" s="3" t="s">
        <v>40</v>
      </c>
      <c r="C427" s="2">
        <v>45463</v>
      </c>
      <c r="D427" s="3" t="s">
        <v>27</v>
      </c>
      <c r="E427" s="3" t="s">
        <v>363</v>
      </c>
      <c r="F427" s="3">
        <v>21123</v>
      </c>
      <c r="G427" s="3">
        <v>1343</v>
      </c>
      <c r="H427" s="3">
        <v>589</v>
      </c>
      <c r="I427" s="3">
        <v>727</v>
      </c>
      <c r="J427" s="3">
        <v>87833</v>
      </c>
      <c r="K427" s="3">
        <v>206703</v>
      </c>
      <c r="L427" s="6" t="s">
        <v>16</v>
      </c>
    </row>
    <row r="428" spans="1:12" x14ac:dyDescent="0.3">
      <c r="A428" s="5" t="s">
        <v>261</v>
      </c>
      <c r="B428" s="3" t="s">
        <v>40</v>
      </c>
      <c r="C428" s="2">
        <v>45463</v>
      </c>
      <c r="D428" s="3" t="s">
        <v>27</v>
      </c>
      <c r="E428" s="3" t="s">
        <v>364</v>
      </c>
      <c r="F428" s="3">
        <v>21123</v>
      </c>
      <c r="G428" s="3">
        <v>1343</v>
      </c>
      <c r="H428" s="3">
        <v>589</v>
      </c>
      <c r="I428" s="3">
        <v>727</v>
      </c>
      <c r="J428" s="3">
        <v>87833</v>
      </c>
      <c r="K428" s="3">
        <v>206703</v>
      </c>
      <c r="L428" s="6" t="s">
        <v>16</v>
      </c>
    </row>
    <row r="429" spans="1:12" x14ac:dyDescent="0.3">
      <c r="A429" s="5" t="s">
        <v>262</v>
      </c>
      <c r="B429" s="3" t="s">
        <v>40</v>
      </c>
      <c r="C429" s="2">
        <v>45908</v>
      </c>
      <c r="D429" s="3" t="s">
        <v>23</v>
      </c>
      <c r="E429" s="3" t="s">
        <v>363</v>
      </c>
      <c r="F429" s="3">
        <v>23785</v>
      </c>
      <c r="G429" s="3">
        <v>1013</v>
      </c>
      <c r="H429" s="3">
        <v>468</v>
      </c>
      <c r="I429" s="3">
        <v>1628</v>
      </c>
      <c r="J429" s="3">
        <v>8272</v>
      </c>
      <c r="K429" s="3">
        <v>71348</v>
      </c>
      <c r="L429" s="6" t="s">
        <v>20</v>
      </c>
    </row>
    <row r="430" spans="1:12" x14ac:dyDescent="0.3">
      <c r="A430" s="5" t="s">
        <v>262</v>
      </c>
      <c r="B430" s="3" t="s">
        <v>40</v>
      </c>
      <c r="C430" s="2">
        <v>45908</v>
      </c>
      <c r="D430" s="3" t="s">
        <v>23</v>
      </c>
      <c r="E430" s="3" t="s">
        <v>364</v>
      </c>
      <c r="F430" s="3">
        <v>23785</v>
      </c>
      <c r="G430" s="3">
        <v>1013</v>
      </c>
      <c r="H430" s="3">
        <v>468</v>
      </c>
      <c r="I430" s="3">
        <v>1628</v>
      </c>
      <c r="J430" s="3">
        <v>8272</v>
      </c>
      <c r="K430" s="3">
        <v>71348</v>
      </c>
      <c r="L430" s="6" t="s">
        <v>20</v>
      </c>
    </row>
    <row r="431" spans="1:12" x14ac:dyDescent="0.3">
      <c r="A431" s="5" t="s">
        <v>263</v>
      </c>
      <c r="B431" s="3" t="s">
        <v>22</v>
      </c>
      <c r="C431" s="2">
        <v>45455</v>
      </c>
      <c r="D431" s="3" t="s">
        <v>23</v>
      </c>
      <c r="E431" s="3" t="s">
        <v>355</v>
      </c>
      <c r="F431" s="3">
        <v>17679</v>
      </c>
      <c r="G431" s="3">
        <v>690</v>
      </c>
      <c r="H431" s="3">
        <v>451</v>
      </c>
      <c r="I431" s="3">
        <v>2195</v>
      </c>
      <c r="J431" s="3">
        <v>4390</v>
      </c>
      <c r="K431" s="3">
        <v>235804</v>
      </c>
      <c r="L431" s="6" t="s">
        <v>45</v>
      </c>
    </row>
    <row r="432" spans="1:12" x14ac:dyDescent="0.3">
      <c r="A432" s="5" t="s">
        <v>263</v>
      </c>
      <c r="B432" s="3" t="s">
        <v>22</v>
      </c>
      <c r="C432" s="2">
        <v>45455</v>
      </c>
      <c r="D432" s="3" t="s">
        <v>23</v>
      </c>
      <c r="E432" s="3" t="s">
        <v>356</v>
      </c>
      <c r="F432" s="3">
        <v>17679</v>
      </c>
      <c r="G432" s="3">
        <v>690</v>
      </c>
      <c r="H432" s="3">
        <v>451</v>
      </c>
      <c r="I432" s="3">
        <v>2195</v>
      </c>
      <c r="J432" s="3">
        <v>4390</v>
      </c>
      <c r="K432" s="3">
        <v>235804</v>
      </c>
      <c r="L432" s="6" t="s">
        <v>45</v>
      </c>
    </row>
    <row r="433" spans="1:12" x14ac:dyDescent="0.3">
      <c r="A433" s="5" t="s">
        <v>264</v>
      </c>
      <c r="B433" s="3" t="s">
        <v>40</v>
      </c>
      <c r="C433" s="2">
        <v>45474</v>
      </c>
      <c r="D433" s="3" t="s">
        <v>27</v>
      </c>
      <c r="E433" s="3" t="s">
        <v>357</v>
      </c>
      <c r="F433" s="3">
        <v>3761</v>
      </c>
      <c r="G433" s="3">
        <v>651</v>
      </c>
      <c r="H433" s="3">
        <v>493</v>
      </c>
      <c r="I433" s="3">
        <v>2294</v>
      </c>
      <c r="J433" s="3">
        <v>71696</v>
      </c>
      <c r="K433" s="3">
        <v>41177</v>
      </c>
      <c r="L433" s="6" t="s">
        <v>16</v>
      </c>
    </row>
    <row r="434" spans="1:12" x14ac:dyDescent="0.3">
      <c r="A434" s="5" t="s">
        <v>264</v>
      </c>
      <c r="B434" s="3" t="s">
        <v>40</v>
      </c>
      <c r="C434" s="2">
        <v>45474</v>
      </c>
      <c r="D434" s="3" t="s">
        <v>27</v>
      </c>
      <c r="E434" s="3" t="s">
        <v>358</v>
      </c>
      <c r="F434" s="3">
        <v>3761</v>
      </c>
      <c r="G434" s="3">
        <v>651</v>
      </c>
      <c r="H434" s="3">
        <v>493</v>
      </c>
      <c r="I434" s="3">
        <v>2294</v>
      </c>
      <c r="J434" s="3">
        <v>71696</v>
      </c>
      <c r="K434" s="3">
        <v>41177</v>
      </c>
      <c r="L434" s="6" t="s">
        <v>16</v>
      </c>
    </row>
    <row r="435" spans="1:12" x14ac:dyDescent="0.3">
      <c r="A435" s="5" t="s">
        <v>265</v>
      </c>
      <c r="B435" s="3" t="s">
        <v>22</v>
      </c>
      <c r="C435" s="2">
        <v>45476</v>
      </c>
      <c r="D435" s="3" t="s">
        <v>27</v>
      </c>
      <c r="E435" s="3" t="s">
        <v>355</v>
      </c>
      <c r="F435" s="3">
        <v>12167</v>
      </c>
      <c r="G435" s="3">
        <v>364</v>
      </c>
      <c r="H435" s="3">
        <v>160</v>
      </c>
      <c r="I435" s="3">
        <v>616</v>
      </c>
      <c r="J435" s="3">
        <v>42228</v>
      </c>
      <c r="K435" s="3">
        <v>175832</v>
      </c>
      <c r="L435" s="6" t="s">
        <v>25</v>
      </c>
    </row>
    <row r="436" spans="1:12" x14ac:dyDescent="0.3">
      <c r="A436" s="5" t="s">
        <v>265</v>
      </c>
      <c r="B436" s="3" t="s">
        <v>22</v>
      </c>
      <c r="C436" s="2">
        <v>45476</v>
      </c>
      <c r="D436" s="3" t="s">
        <v>27</v>
      </c>
      <c r="E436" s="3" t="s">
        <v>356</v>
      </c>
      <c r="F436" s="3">
        <v>12167</v>
      </c>
      <c r="G436" s="3">
        <v>364</v>
      </c>
      <c r="H436" s="3">
        <v>160</v>
      </c>
      <c r="I436" s="3">
        <v>616</v>
      </c>
      <c r="J436" s="3">
        <v>42228</v>
      </c>
      <c r="K436" s="3">
        <v>175832</v>
      </c>
      <c r="L436" s="6" t="s">
        <v>25</v>
      </c>
    </row>
    <row r="437" spans="1:12" x14ac:dyDescent="0.3">
      <c r="A437" s="5" t="s">
        <v>266</v>
      </c>
      <c r="B437" s="3" t="s">
        <v>22</v>
      </c>
      <c r="C437" s="2">
        <v>45488</v>
      </c>
      <c r="D437" s="3" t="s">
        <v>27</v>
      </c>
      <c r="E437" s="3" t="s">
        <v>32</v>
      </c>
      <c r="F437" s="3">
        <v>12554</v>
      </c>
      <c r="G437" s="3">
        <v>381</v>
      </c>
      <c r="H437" s="3">
        <v>211</v>
      </c>
      <c r="I437" s="3">
        <v>2286</v>
      </c>
      <c r="J437" s="3">
        <v>50567</v>
      </c>
      <c r="K437" s="3">
        <v>72779</v>
      </c>
      <c r="L437" s="6" t="s">
        <v>16</v>
      </c>
    </row>
    <row r="438" spans="1:12" x14ac:dyDescent="0.3">
      <c r="A438" s="5" t="s">
        <v>267</v>
      </c>
      <c r="B438" s="3" t="s">
        <v>40</v>
      </c>
      <c r="C438" s="2">
        <v>45909</v>
      </c>
      <c r="D438" s="3" t="s">
        <v>14</v>
      </c>
      <c r="E438" s="3" t="s">
        <v>361</v>
      </c>
      <c r="F438" s="3">
        <v>19260</v>
      </c>
      <c r="G438" s="3">
        <v>668</v>
      </c>
      <c r="H438" s="3">
        <v>994</v>
      </c>
      <c r="I438" s="3">
        <v>934</v>
      </c>
      <c r="J438" s="3">
        <v>20509</v>
      </c>
      <c r="K438" s="3">
        <v>61636</v>
      </c>
      <c r="L438" s="6" t="s">
        <v>20</v>
      </c>
    </row>
    <row r="439" spans="1:12" x14ac:dyDescent="0.3">
      <c r="A439" s="5" t="s">
        <v>267</v>
      </c>
      <c r="B439" s="3" t="s">
        <v>40</v>
      </c>
      <c r="C439" s="2">
        <v>45909</v>
      </c>
      <c r="D439" s="3" t="s">
        <v>14</v>
      </c>
      <c r="E439" s="3" t="s">
        <v>362</v>
      </c>
      <c r="F439" s="3">
        <v>19260</v>
      </c>
      <c r="G439" s="3">
        <v>668</v>
      </c>
      <c r="H439" s="3">
        <v>994</v>
      </c>
      <c r="I439" s="3">
        <v>934</v>
      </c>
      <c r="J439" s="3">
        <v>20509</v>
      </c>
      <c r="K439" s="3">
        <v>61636</v>
      </c>
      <c r="L439" s="6" t="s">
        <v>20</v>
      </c>
    </row>
    <row r="440" spans="1:12" x14ac:dyDescent="0.3">
      <c r="A440" s="5" t="s">
        <v>268</v>
      </c>
      <c r="B440" s="3" t="s">
        <v>18</v>
      </c>
      <c r="C440" s="2">
        <v>45776</v>
      </c>
      <c r="D440" s="3" t="s">
        <v>34</v>
      </c>
      <c r="E440" s="3" t="s">
        <v>363</v>
      </c>
      <c r="F440" s="3">
        <v>16277</v>
      </c>
      <c r="G440" s="3">
        <v>1109</v>
      </c>
      <c r="H440" s="3">
        <v>375</v>
      </c>
      <c r="I440" s="3">
        <v>2225</v>
      </c>
      <c r="J440" s="3">
        <v>1044</v>
      </c>
      <c r="K440" s="3">
        <v>121889</v>
      </c>
      <c r="L440" s="6" t="s">
        <v>29</v>
      </c>
    </row>
    <row r="441" spans="1:12" x14ac:dyDescent="0.3">
      <c r="A441" s="5" t="s">
        <v>268</v>
      </c>
      <c r="B441" s="3" t="s">
        <v>18</v>
      </c>
      <c r="C441" s="2">
        <v>45776</v>
      </c>
      <c r="D441" s="3" t="s">
        <v>34</v>
      </c>
      <c r="E441" s="3" t="s">
        <v>364</v>
      </c>
      <c r="F441" s="3">
        <v>16277</v>
      </c>
      <c r="G441" s="3">
        <v>1109</v>
      </c>
      <c r="H441" s="3">
        <v>375</v>
      </c>
      <c r="I441" s="3">
        <v>2225</v>
      </c>
      <c r="J441" s="3">
        <v>1044</v>
      </c>
      <c r="K441" s="3">
        <v>121889</v>
      </c>
      <c r="L441" s="6" t="s">
        <v>29</v>
      </c>
    </row>
    <row r="442" spans="1:12" x14ac:dyDescent="0.3">
      <c r="A442" s="5" t="s">
        <v>269</v>
      </c>
      <c r="B442" s="3" t="s">
        <v>18</v>
      </c>
      <c r="C442" s="2">
        <v>45724</v>
      </c>
      <c r="D442" s="3" t="s">
        <v>14</v>
      </c>
      <c r="E442" s="3" t="s">
        <v>353</v>
      </c>
      <c r="F442" s="3">
        <v>5812</v>
      </c>
      <c r="G442" s="3">
        <v>934</v>
      </c>
      <c r="H442" s="3">
        <v>302</v>
      </c>
      <c r="I442" s="3">
        <v>2356</v>
      </c>
      <c r="J442" s="3">
        <v>37437</v>
      </c>
      <c r="K442" s="3">
        <v>93551</v>
      </c>
      <c r="L442" s="6" t="s">
        <v>16</v>
      </c>
    </row>
    <row r="443" spans="1:12" x14ac:dyDescent="0.3">
      <c r="A443" s="5" t="s">
        <v>269</v>
      </c>
      <c r="B443" s="3" t="s">
        <v>18</v>
      </c>
      <c r="C443" s="2">
        <v>45724</v>
      </c>
      <c r="D443" s="3" t="s">
        <v>14</v>
      </c>
      <c r="E443" s="3" t="s">
        <v>354</v>
      </c>
      <c r="F443" s="3">
        <v>5812</v>
      </c>
      <c r="G443" s="3">
        <v>934</v>
      </c>
      <c r="H443" s="3">
        <v>302</v>
      </c>
      <c r="I443" s="3">
        <v>2356</v>
      </c>
      <c r="J443" s="3">
        <v>37437</v>
      </c>
      <c r="K443" s="3">
        <v>93551</v>
      </c>
      <c r="L443" s="6" t="s">
        <v>16</v>
      </c>
    </row>
    <row r="444" spans="1:12" x14ac:dyDescent="0.3">
      <c r="A444" s="5" t="s">
        <v>270</v>
      </c>
      <c r="B444" s="3" t="s">
        <v>18</v>
      </c>
      <c r="C444" s="2">
        <v>45444</v>
      </c>
      <c r="D444" s="3" t="s">
        <v>14</v>
      </c>
      <c r="E444" s="3" t="s">
        <v>361</v>
      </c>
      <c r="F444" s="3">
        <v>19844</v>
      </c>
      <c r="G444" s="3">
        <v>1022</v>
      </c>
      <c r="H444" s="3">
        <v>860</v>
      </c>
      <c r="I444" s="3">
        <v>2570</v>
      </c>
      <c r="J444" s="3">
        <v>23719</v>
      </c>
      <c r="K444" s="3">
        <v>182628</v>
      </c>
      <c r="L444" s="6" t="s">
        <v>25</v>
      </c>
    </row>
    <row r="445" spans="1:12" x14ac:dyDescent="0.3">
      <c r="A445" s="5" t="s">
        <v>270</v>
      </c>
      <c r="B445" s="3" t="s">
        <v>18</v>
      </c>
      <c r="C445" s="2">
        <v>45444</v>
      </c>
      <c r="D445" s="3" t="s">
        <v>14</v>
      </c>
      <c r="E445" s="3" t="s">
        <v>362</v>
      </c>
      <c r="F445" s="3">
        <v>19844</v>
      </c>
      <c r="G445" s="3">
        <v>1022</v>
      </c>
      <c r="H445" s="3">
        <v>860</v>
      </c>
      <c r="I445" s="3">
        <v>2570</v>
      </c>
      <c r="J445" s="3">
        <v>23719</v>
      </c>
      <c r="K445" s="3">
        <v>182628</v>
      </c>
      <c r="L445" s="6" t="s">
        <v>25</v>
      </c>
    </row>
    <row r="446" spans="1:12" x14ac:dyDescent="0.3">
      <c r="A446" s="5" t="s">
        <v>271</v>
      </c>
      <c r="B446" s="3" t="s">
        <v>18</v>
      </c>
      <c r="C446" s="2">
        <v>45648</v>
      </c>
      <c r="D446" s="3" t="s">
        <v>23</v>
      </c>
      <c r="E446" s="3" t="s">
        <v>359</v>
      </c>
      <c r="F446" s="3">
        <v>20117</v>
      </c>
      <c r="G446" s="3">
        <v>1143</v>
      </c>
      <c r="H446" s="3">
        <v>713</v>
      </c>
      <c r="I446" s="3">
        <v>1739</v>
      </c>
      <c r="J446" s="3">
        <v>34444</v>
      </c>
      <c r="K446" s="3">
        <v>198670</v>
      </c>
      <c r="L446" s="6" t="s">
        <v>45</v>
      </c>
    </row>
    <row r="447" spans="1:12" x14ac:dyDescent="0.3">
      <c r="A447" s="5" t="s">
        <v>271</v>
      </c>
      <c r="B447" s="3" t="s">
        <v>18</v>
      </c>
      <c r="C447" s="2">
        <v>45648</v>
      </c>
      <c r="D447" s="3" t="s">
        <v>23</v>
      </c>
      <c r="E447" s="3" t="s">
        <v>360</v>
      </c>
      <c r="F447" s="3">
        <v>20117</v>
      </c>
      <c r="G447" s="3">
        <v>1143</v>
      </c>
      <c r="H447" s="3">
        <v>713</v>
      </c>
      <c r="I447" s="3">
        <v>1739</v>
      </c>
      <c r="J447" s="3">
        <v>34444</v>
      </c>
      <c r="K447" s="3">
        <v>198670</v>
      </c>
      <c r="L447" s="6" t="s">
        <v>45</v>
      </c>
    </row>
    <row r="448" spans="1:12" x14ac:dyDescent="0.3">
      <c r="A448" s="5" t="s">
        <v>272</v>
      </c>
      <c r="B448" s="3" t="s">
        <v>18</v>
      </c>
      <c r="C448" s="2">
        <v>45523</v>
      </c>
      <c r="D448" s="3" t="s">
        <v>27</v>
      </c>
      <c r="E448" s="3" t="s">
        <v>367</v>
      </c>
      <c r="F448" s="3">
        <v>3605</v>
      </c>
      <c r="G448" s="3">
        <v>206</v>
      </c>
      <c r="H448" s="3">
        <v>921</v>
      </c>
      <c r="I448" s="3">
        <v>852</v>
      </c>
      <c r="J448" s="3">
        <v>11660</v>
      </c>
      <c r="K448" s="3">
        <v>182635</v>
      </c>
      <c r="L448" s="6" t="s">
        <v>29</v>
      </c>
    </row>
    <row r="449" spans="1:12" x14ac:dyDescent="0.3">
      <c r="A449" s="5" t="s">
        <v>272</v>
      </c>
      <c r="B449" s="3" t="s">
        <v>18</v>
      </c>
      <c r="C449" s="2">
        <v>45523</v>
      </c>
      <c r="D449" s="3" t="s">
        <v>27</v>
      </c>
      <c r="E449" s="3" t="s">
        <v>32</v>
      </c>
      <c r="F449" s="3">
        <v>3605</v>
      </c>
      <c r="G449" s="3">
        <v>206</v>
      </c>
      <c r="H449" s="3">
        <v>921</v>
      </c>
      <c r="I449" s="3">
        <v>852</v>
      </c>
      <c r="J449" s="3">
        <v>11660</v>
      </c>
      <c r="K449" s="3">
        <v>182635</v>
      </c>
      <c r="L449" s="6" t="s">
        <v>29</v>
      </c>
    </row>
    <row r="450" spans="1:12" x14ac:dyDescent="0.3">
      <c r="A450" s="5" t="s">
        <v>273</v>
      </c>
      <c r="B450" s="3" t="s">
        <v>40</v>
      </c>
      <c r="C450" s="2">
        <v>45587</v>
      </c>
      <c r="D450" s="3" t="s">
        <v>34</v>
      </c>
      <c r="E450" s="3" t="s">
        <v>357</v>
      </c>
      <c r="F450" s="3">
        <v>7622</v>
      </c>
      <c r="G450" s="3">
        <v>529</v>
      </c>
      <c r="H450" s="3">
        <v>720</v>
      </c>
      <c r="I450" s="3">
        <v>1015</v>
      </c>
      <c r="J450" s="3">
        <v>71322</v>
      </c>
      <c r="K450" s="3">
        <v>86819</v>
      </c>
      <c r="L450" s="6" t="s">
        <v>45</v>
      </c>
    </row>
    <row r="451" spans="1:12" x14ac:dyDescent="0.3">
      <c r="A451" s="5" t="s">
        <v>273</v>
      </c>
      <c r="B451" s="3" t="s">
        <v>40</v>
      </c>
      <c r="C451" s="2">
        <v>45587</v>
      </c>
      <c r="D451" s="3" t="s">
        <v>34</v>
      </c>
      <c r="E451" s="3" t="s">
        <v>358</v>
      </c>
      <c r="F451" s="3">
        <v>7622</v>
      </c>
      <c r="G451" s="3">
        <v>529</v>
      </c>
      <c r="H451" s="3">
        <v>720</v>
      </c>
      <c r="I451" s="3">
        <v>1015</v>
      </c>
      <c r="J451" s="3">
        <v>71322</v>
      </c>
      <c r="K451" s="3">
        <v>86819</v>
      </c>
      <c r="L451" s="6" t="s">
        <v>45</v>
      </c>
    </row>
    <row r="452" spans="1:12" x14ac:dyDescent="0.3">
      <c r="A452" s="5" t="s">
        <v>274</v>
      </c>
      <c r="B452" s="3" t="s">
        <v>40</v>
      </c>
      <c r="C452" s="2">
        <v>45489</v>
      </c>
      <c r="D452" s="3" t="s">
        <v>23</v>
      </c>
      <c r="E452" s="3" t="s">
        <v>365</v>
      </c>
      <c r="F452" s="3">
        <v>8767</v>
      </c>
      <c r="G452" s="3">
        <v>974</v>
      </c>
      <c r="H452" s="3">
        <v>733</v>
      </c>
      <c r="I452" s="3">
        <v>1587</v>
      </c>
      <c r="J452" s="3">
        <v>74927</v>
      </c>
      <c r="K452" s="3">
        <v>113770</v>
      </c>
      <c r="L452" s="6" t="s">
        <v>16</v>
      </c>
    </row>
    <row r="453" spans="1:12" x14ac:dyDescent="0.3">
      <c r="A453" s="5" t="s">
        <v>274</v>
      </c>
      <c r="B453" s="3" t="s">
        <v>40</v>
      </c>
      <c r="C453" s="2">
        <v>45489</v>
      </c>
      <c r="D453" s="3" t="s">
        <v>23</v>
      </c>
      <c r="E453" s="3" t="s">
        <v>359</v>
      </c>
      <c r="F453" s="3">
        <v>8767</v>
      </c>
      <c r="G453" s="3">
        <v>974</v>
      </c>
      <c r="H453" s="3">
        <v>733</v>
      </c>
      <c r="I453" s="3">
        <v>1587</v>
      </c>
      <c r="J453" s="3">
        <v>74927</v>
      </c>
      <c r="K453" s="3">
        <v>113770</v>
      </c>
      <c r="L453" s="6" t="s">
        <v>16</v>
      </c>
    </row>
    <row r="454" spans="1:12" x14ac:dyDescent="0.3">
      <c r="A454" s="5" t="s">
        <v>275</v>
      </c>
      <c r="B454" s="3" t="s">
        <v>13</v>
      </c>
      <c r="C454" s="2">
        <v>45910</v>
      </c>
      <c r="D454" s="3" t="s">
        <v>14</v>
      </c>
      <c r="E454" s="3" t="s">
        <v>355</v>
      </c>
      <c r="F454" s="3">
        <v>13613</v>
      </c>
      <c r="G454" s="3">
        <v>350</v>
      </c>
      <c r="H454" s="3">
        <v>809</v>
      </c>
      <c r="I454" s="3">
        <v>2013</v>
      </c>
      <c r="J454" s="3">
        <v>20471</v>
      </c>
      <c r="K454" s="3">
        <v>198038</v>
      </c>
      <c r="L454" s="6" t="s">
        <v>20</v>
      </c>
    </row>
    <row r="455" spans="1:12" x14ac:dyDescent="0.3">
      <c r="A455" s="5" t="s">
        <v>275</v>
      </c>
      <c r="B455" s="3" t="s">
        <v>13</v>
      </c>
      <c r="C455" s="2">
        <v>45910</v>
      </c>
      <c r="D455" s="3" t="s">
        <v>14</v>
      </c>
      <c r="E455" s="3" t="s">
        <v>356</v>
      </c>
      <c r="F455" s="3">
        <v>13613</v>
      </c>
      <c r="G455" s="3">
        <v>350</v>
      </c>
      <c r="H455" s="3">
        <v>809</v>
      </c>
      <c r="I455" s="3">
        <v>2013</v>
      </c>
      <c r="J455" s="3">
        <v>20471</v>
      </c>
      <c r="K455" s="3">
        <v>198038</v>
      </c>
      <c r="L455" s="6" t="s">
        <v>20</v>
      </c>
    </row>
    <row r="456" spans="1:12" x14ac:dyDescent="0.3">
      <c r="A456" s="5" t="s">
        <v>276</v>
      </c>
      <c r="B456" s="3" t="s">
        <v>18</v>
      </c>
      <c r="C456" s="2">
        <v>45911</v>
      </c>
      <c r="D456" s="3" t="s">
        <v>27</v>
      </c>
      <c r="E456" s="3" t="s">
        <v>361</v>
      </c>
      <c r="F456" s="3">
        <v>21901</v>
      </c>
      <c r="G456" s="3">
        <v>1308</v>
      </c>
      <c r="H456" s="3">
        <v>724</v>
      </c>
      <c r="I456" s="3">
        <v>2183</v>
      </c>
      <c r="J456" s="3">
        <v>15996</v>
      </c>
      <c r="K456" s="3">
        <v>230961</v>
      </c>
      <c r="L456" s="6" t="s">
        <v>20</v>
      </c>
    </row>
    <row r="457" spans="1:12" x14ac:dyDescent="0.3">
      <c r="A457" s="5" t="s">
        <v>276</v>
      </c>
      <c r="B457" s="3" t="s">
        <v>18</v>
      </c>
      <c r="C457" s="2">
        <v>45911</v>
      </c>
      <c r="D457" s="3" t="s">
        <v>27</v>
      </c>
      <c r="E457" s="3" t="s">
        <v>362</v>
      </c>
      <c r="F457" s="3">
        <v>21901</v>
      </c>
      <c r="G457" s="3">
        <v>1308</v>
      </c>
      <c r="H457" s="3">
        <v>724</v>
      </c>
      <c r="I457" s="3">
        <v>2183</v>
      </c>
      <c r="J457" s="3">
        <v>15996</v>
      </c>
      <c r="K457" s="3">
        <v>230961</v>
      </c>
      <c r="L457" s="6" t="s">
        <v>20</v>
      </c>
    </row>
    <row r="458" spans="1:12" x14ac:dyDescent="0.3">
      <c r="A458" s="5" t="s">
        <v>277</v>
      </c>
      <c r="B458" s="3" t="s">
        <v>40</v>
      </c>
      <c r="C458" s="2">
        <v>45675</v>
      </c>
      <c r="D458" s="3" t="s">
        <v>23</v>
      </c>
      <c r="E458" s="3" t="s">
        <v>367</v>
      </c>
      <c r="F458" s="3">
        <v>12589</v>
      </c>
      <c r="G458" s="3">
        <v>346</v>
      </c>
      <c r="H458" s="3">
        <v>459</v>
      </c>
      <c r="I458" s="3">
        <v>1407</v>
      </c>
      <c r="J458" s="3">
        <v>29254</v>
      </c>
      <c r="K458" s="3">
        <v>198059</v>
      </c>
      <c r="L458" s="6" t="s">
        <v>25</v>
      </c>
    </row>
    <row r="459" spans="1:12" x14ac:dyDescent="0.3">
      <c r="A459" s="5" t="s">
        <v>277</v>
      </c>
      <c r="B459" s="3" t="s">
        <v>40</v>
      </c>
      <c r="C459" s="2">
        <v>45675</v>
      </c>
      <c r="D459" s="3" t="s">
        <v>23</v>
      </c>
      <c r="E459" s="3" t="s">
        <v>32</v>
      </c>
      <c r="F459" s="3">
        <v>12589</v>
      </c>
      <c r="G459" s="3">
        <v>346</v>
      </c>
      <c r="H459" s="3">
        <v>459</v>
      </c>
      <c r="I459" s="3">
        <v>1407</v>
      </c>
      <c r="J459" s="3">
        <v>29254</v>
      </c>
      <c r="K459" s="3">
        <v>198059</v>
      </c>
      <c r="L459" s="6" t="s">
        <v>25</v>
      </c>
    </row>
    <row r="460" spans="1:12" x14ac:dyDescent="0.3">
      <c r="A460" s="5" t="s">
        <v>278</v>
      </c>
      <c r="B460" s="3" t="s">
        <v>13</v>
      </c>
      <c r="C460" s="2">
        <v>45912</v>
      </c>
      <c r="D460" s="3" t="s">
        <v>27</v>
      </c>
      <c r="E460" s="3" t="s">
        <v>361</v>
      </c>
      <c r="F460" s="3">
        <v>15918</v>
      </c>
      <c r="G460" s="3">
        <v>1114</v>
      </c>
      <c r="H460" s="3">
        <v>392</v>
      </c>
      <c r="I460" s="3">
        <v>1641</v>
      </c>
      <c r="J460" s="3">
        <v>28044</v>
      </c>
      <c r="K460" s="3">
        <v>118714</v>
      </c>
      <c r="L460" s="6" t="s">
        <v>20</v>
      </c>
    </row>
    <row r="461" spans="1:12" x14ac:dyDescent="0.3">
      <c r="A461" s="5" t="s">
        <v>278</v>
      </c>
      <c r="B461" s="3" t="s">
        <v>13</v>
      </c>
      <c r="C461" s="2">
        <v>45912</v>
      </c>
      <c r="D461" s="3" t="s">
        <v>27</v>
      </c>
      <c r="E461" s="3" t="s">
        <v>362</v>
      </c>
      <c r="F461" s="3">
        <v>15918</v>
      </c>
      <c r="G461" s="3">
        <v>1114</v>
      </c>
      <c r="H461" s="3">
        <v>392</v>
      </c>
      <c r="I461" s="3">
        <v>1641</v>
      </c>
      <c r="J461" s="3">
        <v>28044</v>
      </c>
      <c r="K461" s="3">
        <v>118714</v>
      </c>
      <c r="L461" s="6" t="s">
        <v>20</v>
      </c>
    </row>
    <row r="462" spans="1:12" x14ac:dyDescent="0.3">
      <c r="A462" s="5" t="s">
        <v>279</v>
      </c>
      <c r="B462" s="3" t="s">
        <v>18</v>
      </c>
      <c r="C462" s="2">
        <v>45722</v>
      </c>
      <c r="D462" s="3" t="s">
        <v>23</v>
      </c>
      <c r="E462" s="3" t="s">
        <v>365</v>
      </c>
      <c r="F462" s="3">
        <v>22119</v>
      </c>
      <c r="G462" s="3">
        <v>899</v>
      </c>
      <c r="H462" s="3">
        <v>642</v>
      </c>
      <c r="I462" s="3">
        <v>410</v>
      </c>
      <c r="J462" s="3">
        <v>49490</v>
      </c>
      <c r="K462" s="3">
        <v>229420</v>
      </c>
      <c r="L462" s="6" t="s">
        <v>29</v>
      </c>
    </row>
    <row r="463" spans="1:12" x14ac:dyDescent="0.3">
      <c r="A463" s="5" t="s">
        <v>279</v>
      </c>
      <c r="B463" s="3" t="s">
        <v>18</v>
      </c>
      <c r="C463" s="2">
        <v>45722</v>
      </c>
      <c r="D463" s="3" t="s">
        <v>23</v>
      </c>
      <c r="E463" s="3" t="s">
        <v>359</v>
      </c>
      <c r="F463" s="3">
        <v>22119</v>
      </c>
      <c r="G463" s="3">
        <v>899</v>
      </c>
      <c r="H463" s="3">
        <v>642</v>
      </c>
      <c r="I463" s="3">
        <v>410</v>
      </c>
      <c r="J463" s="3">
        <v>49490</v>
      </c>
      <c r="K463" s="3">
        <v>229420</v>
      </c>
      <c r="L463" s="6" t="s">
        <v>29</v>
      </c>
    </row>
    <row r="464" spans="1:12" x14ac:dyDescent="0.3">
      <c r="A464" s="5" t="s">
        <v>280</v>
      </c>
      <c r="B464" s="3" t="s">
        <v>22</v>
      </c>
      <c r="C464" s="2">
        <v>45913</v>
      </c>
      <c r="D464" s="3" t="s">
        <v>27</v>
      </c>
      <c r="E464" s="3" t="s">
        <v>367</v>
      </c>
      <c r="F464" s="3">
        <v>15046</v>
      </c>
      <c r="G464" s="3">
        <v>281</v>
      </c>
      <c r="H464" s="3">
        <v>515</v>
      </c>
      <c r="I464" s="3">
        <v>550</v>
      </c>
      <c r="J464" s="3">
        <v>22583</v>
      </c>
      <c r="K464" s="3">
        <v>64596</v>
      </c>
      <c r="L464" s="6" t="s">
        <v>20</v>
      </c>
    </row>
    <row r="465" spans="1:12" x14ac:dyDescent="0.3">
      <c r="A465" s="5" t="s">
        <v>280</v>
      </c>
      <c r="B465" s="3" t="s">
        <v>22</v>
      </c>
      <c r="C465" s="2">
        <v>45913</v>
      </c>
      <c r="D465" s="3" t="s">
        <v>27</v>
      </c>
      <c r="E465" s="3" t="s">
        <v>32</v>
      </c>
      <c r="F465" s="3">
        <v>15046</v>
      </c>
      <c r="G465" s="3">
        <v>281</v>
      </c>
      <c r="H465" s="3">
        <v>515</v>
      </c>
      <c r="I465" s="3">
        <v>550</v>
      </c>
      <c r="J465" s="3">
        <v>22583</v>
      </c>
      <c r="K465" s="3">
        <v>64596</v>
      </c>
      <c r="L465" s="6" t="s">
        <v>20</v>
      </c>
    </row>
    <row r="466" spans="1:12" x14ac:dyDescent="0.3">
      <c r="A466" s="5" t="s">
        <v>281</v>
      </c>
      <c r="B466" s="3" t="s">
        <v>13</v>
      </c>
      <c r="C466" s="2">
        <v>45669</v>
      </c>
      <c r="D466" s="3" t="s">
        <v>14</v>
      </c>
      <c r="E466" s="3" t="s">
        <v>359</v>
      </c>
      <c r="F466" s="3">
        <v>4590</v>
      </c>
      <c r="G466" s="3">
        <v>713</v>
      </c>
      <c r="H466" s="3">
        <v>479</v>
      </c>
      <c r="I466" s="3">
        <v>2730</v>
      </c>
      <c r="J466" s="3">
        <v>41050</v>
      </c>
      <c r="K466" s="3">
        <v>204246</v>
      </c>
      <c r="L466" s="6" t="s">
        <v>25</v>
      </c>
    </row>
    <row r="467" spans="1:12" x14ac:dyDescent="0.3">
      <c r="A467" s="5" t="s">
        <v>281</v>
      </c>
      <c r="B467" s="3" t="s">
        <v>13</v>
      </c>
      <c r="C467" s="2">
        <v>45669</v>
      </c>
      <c r="D467" s="3" t="s">
        <v>14</v>
      </c>
      <c r="E467" s="3" t="s">
        <v>360</v>
      </c>
      <c r="F467" s="3">
        <v>4590</v>
      </c>
      <c r="G467" s="3">
        <v>713</v>
      </c>
      <c r="H467" s="3">
        <v>479</v>
      </c>
      <c r="I467" s="3">
        <v>2730</v>
      </c>
      <c r="J467" s="3">
        <v>41050</v>
      </c>
      <c r="K467" s="3">
        <v>204246</v>
      </c>
      <c r="L467" s="6" t="s">
        <v>25</v>
      </c>
    </row>
    <row r="468" spans="1:12" x14ac:dyDescent="0.3">
      <c r="A468" s="5" t="s">
        <v>282</v>
      </c>
      <c r="B468" s="3" t="s">
        <v>40</v>
      </c>
      <c r="C468" s="2">
        <v>45576</v>
      </c>
      <c r="D468" s="3" t="s">
        <v>34</v>
      </c>
      <c r="E468" s="3" t="s">
        <v>365</v>
      </c>
      <c r="F468" s="3">
        <v>19447</v>
      </c>
      <c r="G468" s="3">
        <v>1014</v>
      </c>
      <c r="H468" s="3">
        <v>256</v>
      </c>
      <c r="I468" s="3">
        <v>2354</v>
      </c>
      <c r="J468" s="3">
        <v>5472</v>
      </c>
      <c r="K468" s="3">
        <v>104106</v>
      </c>
      <c r="L468" s="6" t="s">
        <v>16</v>
      </c>
    </row>
    <row r="469" spans="1:12" x14ac:dyDescent="0.3">
      <c r="A469" s="5" t="s">
        <v>282</v>
      </c>
      <c r="B469" s="3" t="s">
        <v>40</v>
      </c>
      <c r="C469" s="2">
        <v>45576</v>
      </c>
      <c r="D469" s="3" t="s">
        <v>34</v>
      </c>
      <c r="E469" s="3" t="s">
        <v>359</v>
      </c>
      <c r="F469" s="3">
        <v>19447</v>
      </c>
      <c r="G469" s="3">
        <v>1014</v>
      </c>
      <c r="H469" s="3">
        <v>256</v>
      </c>
      <c r="I469" s="3">
        <v>2354</v>
      </c>
      <c r="J469" s="3">
        <v>5472</v>
      </c>
      <c r="K469" s="3">
        <v>104106</v>
      </c>
      <c r="L469" s="6" t="s">
        <v>16</v>
      </c>
    </row>
    <row r="470" spans="1:12" x14ac:dyDescent="0.3">
      <c r="A470" s="5" t="s">
        <v>283</v>
      </c>
      <c r="B470" s="3" t="s">
        <v>22</v>
      </c>
      <c r="C470" s="2">
        <v>45531</v>
      </c>
      <c r="D470" s="3" t="s">
        <v>14</v>
      </c>
      <c r="E470" s="3" t="s">
        <v>64</v>
      </c>
      <c r="F470" s="3">
        <v>6324</v>
      </c>
      <c r="G470" s="3">
        <v>908</v>
      </c>
      <c r="H470" s="3">
        <v>375</v>
      </c>
      <c r="I470" s="3">
        <v>758</v>
      </c>
      <c r="J470" s="3">
        <v>34850</v>
      </c>
      <c r="K470" s="3">
        <v>241039</v>
      </c>
      <c r="L470" s="6" t="s">
        <v>16</v>
      </c>
    </row>
    <row r="471" spans="1:12" x14ac:dyDescent="0.3">
      <c r="A471" s="5" t="s">
        <v>284</v>
      </c>
      <c r="B471" s="3" t="s">
        <v>22</v>
      </c>
      <c r="C471" s="2">
        <v>45914</v>
      </c>
      <c r="D471" s="3" t="s">
        <v>34</v>
      </c>
      <c r="E471" s="3" t="s">
        <v>359</v>
      </c>
      <c r="F471" s="3">
        <v>12787</v>
      </c>
      <c r="G471" s="3">
        <v>945</v>
      </c>
      <c r="H471" s="3">
        <v>974</v>
      </c>
      <c r="I471" s="3">
        <v>1407</v>
      </c>
      <c r="J471" s="3">
        <v>4037</v>
      </c>
      <c r="K471" s="3">
        <v>99182</v>
      </c>
      <c r="L471" s="6" t="s">
        <v>20</v>
      </c>
    </row>
    <row r="472" spans="1:12" x14ac:dyDescent="0.3">
      <c r="A472" s="5" t="s">
        <v>284</v>
      </c>
      <c r="B472" s="3" t="s">
        <v>22</v>
      </c>
      <c r="C472" s="2">
        <v>45914</v>
      </c>
      <c r="D472" s="3" t="s">
        <v>34</v>
      </c>
      <c r="E472" s="3" t="s">
        <v>366</v>
      </c>
      <c r="F472" s="3">
        <v>12787</v>
      </c>
      <c r="G472" s="3">
        <v>945</v>
      </c>
      <c r="H472" s="3">
        <v>974</v>
      </c>
      <c r="I472" s="3">
        <v>1407</v>
      </c>
      <c r="J472" s="3">
        <v>4037</v>
      </c>
      <c r="K472" s="3">
        <v>99182</v>
      </c>
      <c r="L472" s="6" t="s">
        <v>20</v>
      </c>
    </row>
    <row r="473" spans="1:12" x14ac:dyDescent="0.3">
      <c r="A473" s="5" t="s">
        <v>285</v>
      </c>
      <c r="B473" s="3" t="s">
        <v>22</v>
      </c>
      <c r="C473" s="2">
        <v>45491</v>
      </c>
      <c r="D473" s="3" t="s">
        <v>27</v>
      </c>
      <c r="E473" s="3" t="s">
        <v>64</v>
      </c>
      <c r="F473" s="3">
        <v>11111</v>
      </c>
      <c r="G473" s="3">
        <v>1222</v>
      </c>
      <c r="H473" s="3">
        <v>367</v>
      </c>
      <c r="I473" s="3">
        <v>507</v>
      </c>
      <c r="J473" s="3">
        <v>14129</v>
      </c>
      <c r="K473" s="3">
        <v>127163</v>
      </c>
      <c r="L473" s="6" t="s">
        <v>45</v>
      </c>
    </row>
    <row r="474" spans="1:12" x14ac:dyDescent="0.3">
      <c r="A474" s="5" t="s">
        <v>286</v>
      </c>
      <c r="B474" s="3" t="s">
        <v>13</v>
      </c>
      <c r="C474" s="2">
        <v>45465</v>
      </c>
      <c r="D474" s="3" t="s">
        <v>23</v>
      </c>
      <c r="E474" s="3" t="s">
        <v>363</v>
      </c>
      <c r="F474" s="3">
        <v>7342</v>
      </c>
      <c r="G474" s="3">
        <v>906</v>
      </c>
      <c r="H474" s="3">
        <v>902</v>
      </c>
      <c r="I474" s="3">
        <v>1199</v>
      </c>
      <c r="J474" s="3">
        <v>68488</v>
      </c>
      <c r="K474" s="3">
        <v>79310</v>
      </c>
      <c r="L474" s="6" t="s">
        <v>16</v>
      </c>
    </row>
    <row r="475" spans="1:12" x14ac:dyDescent="0.3">
      <c r="A475" s="5" t="s">
        <v>286</v>
      </c>
      <c r="B475" s="3" t="s">
        <v>13</v>
      </c>
      <c r="C475" s="2">
        <v>45465</v>
      </c>
      <c r="D475" s="3" t="s">
        <v>23</v>
      </c>
      <c r="E475" s="3" t="s">
        <v>364</v>
      </c>
      <c r="F475" s="3">
        <v>7342</v>
      </c>
      <c r="G475" s="3">
        <v>906</v>
      </c>
      <c r="H475" s="3">
        <v>902</v>
      </c>
      <c r="I475" s="3">
        <v>1199</v>
      </c>
      <c r="J475" s="3">
        <v>68488</v>
      </c>
      <c r="K475" s="3">
        <v>79310</v>
      </c>
      <c r="L475" s="6" t="s">
        <v>16</v>
      </c>
    </row>
    <row r="476" spans="1:12" x14ac:dyDescent="0.3">
      <c r="A476" s="5" t="s">
        <v>287</v>
      </c>
      <c r="B476" s="3" t="s">
        <v>40</v>
      </c>
      <c r="C476" s="2">
        <v>45915</v>
      </c>
      <c r="D476" s="3" t="s">
        <v>14</v>
      </c>
      <c r="E476" s="3" t="s">
        <v>361</v>
      </c>
      <c r="F476" s="3">
        <v>18389</v>
      </c>
      <c r="G476" s="3">
        <v>670</v>
      </c>
      <c r="H476" s="3">
        <v>655</v>
      </c>
      <c r="I476" s="3">
        <v>321</v>
      </c>
      <c r="J476" s="3">
        <v>21869</v>
      </c>
      <c r="K476" s="3">
        <v>96088</v>
      </c>
      <c r="L476" s="6" t="s">
        <v>20</v>
      </c>
    </row>
    <row r="477" spans="1:12" x14ac:dyDescent="0.3">
      <c r="A477" s="5" t="s">
        <v>287</v>
      </c>
      <c r="B477" s="3" t="s">
        <v>40</v>
      </c>
      <c r="C477" s="2">
        <v>45915</v>
      </c>
      <c r="D477" s="3" t="s">
        <v>14</v>
      </c>
      <c r="E477" s="3" t="s">
        <v>362</v>
      </c>
      <c r="F477" s="3">
        <v>18389</v>
      </c>
      <c r="G477" s="3">
        <v>670</v>
      </c>
      <c r="H477" s="3">
        <v>655</v>
      </c>
      <c r="I477" s="3">
        <v>321</v>
      </c>
      <c r="J477" s="3">
        <v>21869</v>
      </c>
      <c r="K477" s="3">
        <v>96088</v>
      </c>
      <c r="L477" s="6" t="s">
        <v>20</v>
      </c>
    </row>
    <row r="478" spans="1:12" x14ac:dyDescent="0.3">
      <c r="A478" s="5" t="s">
        <v>288</v>
      </c>
      <c r="B478" s="3" t="s">
        <v>22</v>
      </c>
      <c r="C478" s="2">
        <v>45775</v>
      </c>
      <c r="D478" s="3" t="s">
        <v>34</v>
      </c>
      <c r="E478" s="3" t="s">
        <v>359</v>
      </c>
      <c r="F478" s="3">
        <v>10659</v>
      </c>
      <c r="G478" s="3">
        <v>1342</v>
      </c>
      <c r="H478" s="3">
        <v>408</v>
      </c>
      <c r="I478" s="3">
        <v>709</v>
      </c>
      <c r="J478" s="3">
        <v>16309</v>
      </c>
      <c r="K478" s="3">
        <v>168803</v>
      </c>
      <c r="L478" s="6" t="s">
        <v>25</v>
      </c>
    </row>
    <row r="479" spans="1:12" x14ac:dyDescent="0.3">
      <c r="A479" s="5" t="s">
        <v>288</v>
      </c>
      <c r="B479" s="3" t="s">
        <v>22</v>
      </c>
      <c r="C479" s="2">
        <v>45775</v>
      </c>
      <c r="D479" s="3" t="s">
        <v>34</v>
      </c>
      <c r="E479" s="3" t="s">
        <v>366</v>
      </c>
      <c r="F479" s="3">
        <v>10659</v>
      </c>
      <c r="G479" s="3">
        <v>1342</v>
      </c>
      <c r="H479" s="3">
        <v>408</v>
      </c>
      <c r="I479" s="3">
        <v>709</v>
      </c>
      <c r="J479" s="3">
        <v>16309</v>
      </c>
      <c r="K479" s="3">
        <v>168803</v>
      </c>
      <c r="L479" s="6" t="s">
        <v>25</v>
      </c>
    </row>
    <row r="480" spans="1:12" x14ac:dyDescent="0.3">
      <c r="A480" s="5" t="s">
        <v>289</v>
      </c>
      <c r="B480" s="3" t="s">
        <v>18</v>
      </c>
      <c r="C480" s="2">
        <v>45916</v>
      </c>
      <c r="D480" s="3" t="s">
        <v>14</v>
      </c>
      <c r="E480" s="3" t="s">
        <v>64</v>
      </c>
      <c r="F480" s="3">
        <v>16043</v>
      </c>
      <c r="G480" s="3">
        <v>595</v>
      </c>
      <c r="H480" s="3">
        <v>923</v>
      </c>
      <c r="I480" s="3">
        <v>1194</v>
      </c>
      <c r="J480" s="3">
        <v>52613</v>
      </c>
      <c r="K480" s="3">
        <v>179978</v>
      </c>
      <c r="L480" s="6" t="s">
        <v>20</v>
      </c>
    </row>
    <row r="481" spans="1:12" x14ac:dyDescent="0.3">
      <c r="A481" s="5" t="s">
        <v>290</v>
      </c>
      <c r="B481" s="3" t="s">
        <v>22</v>
      </c>
      <c r="C481" s="2">
        <v>45671</v>
      </c>
      <c r="D481" s="3" t="s">
        <v>34</v>
      </c>
      <c r="E481" s="3" t="s">
        <v>359</v>
      </c>
      <c r="F481" s="3">
        <v>24350</v>
      </c>
      <c r="G481" s="3">
        <v>460</v>
      </c>
      <c r="H481" s="3">
        <v>666</v>
      </c>
      <c r="I481" s="3">
        <v>814</v>
      </c>
      <c r="J481" s="3">
        <v>21120</v>
      </c>
      <c r="K481" s="3">
        <v>76914</v>
      </c>
      <c r="L481" s="6" t="s">
        <v>16</v>
      </c>
    </row>
    <row r="482" spans="1:12" x14ac:dyDescent="0.3">
      <c r="A482" s="5" t="s">
        <v>290</v>
      </c>
      <c r="B482" s="3" t="s">
        <v>22</v>
      </c>
      <c r="C482" s="2">
        <v>45671</v>
      </c>
      <c r="D482" s="3" t="s">
        <v>34</v>
      </c>
      <c r="E482" s="3" t="s">
        <v>366</v>
      </c>
      <c r="F482" s="3">
        <v>24350</v>
      </c>
      <c r="G482" s="3">
        <v>460</v>
      </c>
      <c r="H482" s="3">
        <v>666</v>
      </c>
      <c r="I482" s="3">
        <v>814</v>
      </c>
      <c r="J482" s="3">
        <v>21120</v>
      </c>
      <c r="K482" s="3">
        <v>76914</v>
      </c>
      <c r="L482" s="6" t="s">
        <v>16</v>
      </c>
    </row>
    <row r="483" spans="1:12" x14ac:dyDescent="0.3">
      <c r="A483" s="5" t="s">
        <v>291</v>
      </c>
      <c r="B483" s="3" t="s">
        <v>22</v>
      </c>
      <c r="C483" s="2">
        <v>45750</v>
      </c>
      <c r="D483" s="3" t="s">
        <v>14</v>
      </c>
      <c r="E483" s="3" t="s">
        <v>368</v>
      </c>
      <c r="F483" s="3">
        <v>10837</v>
      </c>
      <c r="G483" s="3">
        <v>1004</v>
      </c>
      <c r="H483" s="3">
        <v>922</v>
      </c>
      <c r="I483" s="3">
        <v>1108</v>
      </c>
      <c r="J483" s="3">
        <v>36807</v>
      </c>
      <c r="K483" s="3">
        <v>150350</v>
      </c>
      <c r="L483" s="6" t="s">
        <v>25</v>
      </c>
    </row>
    <row r="484" spans="1:12" x14ac:dyDescent="0.3">
      <c r="A484" s="5" t="s">
        <v>291</v>
      </c>
      <c r="B484" s="3" t="s">
        <v>22</v>
      </c>
      <c r="C484" s="2">
        <v>45750</v>
      </c>
      <c r="D484" s="3" t="s">
        <v>14</v>
      </c>
      <c r="E484" s="3" t="s">
        <v>369</v>
      </c>
      <c r="F484" s="3">
        <v>10837</v>
      </c>
      <c r="G484" s="3">
        <v>1004</v>
      </c>
      <c r="H484" s="3">
        <v>922</v>
      </c>
      <c r="I484" s="3">
        <v>1108</v>
      </c>
      <c r="J484" s="3">
        <v>36807</v>
      </c>
      <c r="K484" s="3">
        <v>150350</v>
      </c>
      <c r="L484" s="6" t="s">
        <v>25</v>
      </c>
    </row>
    <row r="485" spans="1:12" x14ac:dyDescent="0.3">
      <c r="A485" s="5" t="s">
        <v>292</v>
      </c>
      <c r="B485" s="3" t="s">
        <v>13</v>
      </c>
      <c r="C485" s="2">
        <v>45917</v>
      </c>
      <c r="D485" s="3" t="s">
        <v>34</v>
      </c>
      <c r="E485" s="3" t="s">
        <v>361</v>
      </c>
      <c r="F485" s="3">
        <v>2117</v>
      </c>
      <c r="G485" s="3">
        <v>1133</v>
      </c>
      <c r="H485" s="3">
        <v>203</v>
      </c>
      <c r="I485" s="3">
        <v>1173</v>
      </c>
      <c r="J485" s="3">
        <v>40125</v>
      </c>
      <c r="K485" s="3">
        <v>85379</v>
      </c>
      <c r="L485" s="6" t="s">
        <v>20</v>
      </c>
    </row>
    <row r="486" spans="1:12" x14ac:dyDescent="0.3">
      <c r="A486" s="5" t="s">
        <v>292</v>
      </c>
      <c r="B486" s="3" t="s">
        <v>13</v>
      </c>
      <c r="C486" s="2">
        <v>45917</v>
      </c>
      <c r="D486" s="3" t="s">
        <v>34</v>
      </c>
      <c r="E486" s="3" t="s">
        <v>362</v>
      </c>
      <c r="F486" s="3">
        <v>2117</v>
      </c>
      <c r="G486" s="3">
        <v>1133</v>
      </c>
      <c r="H486" s="3">
        <v>203</v>
      </c>
      <c r="I486" s="3">
        <v>1173</v>
      </c>
      <c r="J486" s="3">
        <v>40125</v>
      </c>
      <c r="K486" s="3">
        <v>85379</v>
      </c>
      <c r="L486" s="6" t="s">
        <v>20</v>
      </c>
    </row>
    <row r="487" spans="1:12" x14ac:dyDescent="0.3">
      <c r="A487" s="5" t="s">
        <v>293</v>
      </c>
      <c r="B487" s="3" t="s">
        <v>13</v>
      </c>
      <c r="C487" s="2">
        <v>45753</v>
      </c>
      <c r="D487" s="3" t="s">
        <v>34</v>
      </c>
      <c r="E487" s="3" t="s">
        <v>359</v>
      </c>
      <c r="F487" s="3">
        <v>15917</v>
      </c>
      <c r="G487" s="3">
        <v>1479</v>
      </c>
      <c r="H487" s="3">
        <v>196</v>
      </c>
      <c r="I487" s="3">
        <v>313</v>
      </c>
      <c r="J487" s="3">
        <v>48524</v>
      </c>
      <c r="K487" s="3">
        <v>249684</v>
      </c>
      <c r="L487" s="6" t="s">
        <v>29</v>
      </c>
    </row>
    <row r="488" spans="1:12" x14ac:dyDescent="0.3">
      <c r="A488" s="5" t="s">
        <v>293</v>
      </c>
      <c r="B488" s="3" t="s">
        <v>13</v>
      </c>
      <c r="C488" s="2">
        <v>45753</v>
      </c>
      <c r="D488" s="3" t="s">
        <v>34</v>
      </c>
      <c r="E488" s="3" t="s">
        <v>366</v>
      </c>
      <c r="F488" s="3">
        <v>15917</v>
      </c>
      <c r="G488" s="3">
        <v>1479</v>
      </c>
      <c r="H488" s="3">
        <v>196</v>
      </c>
      <c r="I488" s="3">
        <v>313</v>
      </c>
      <c r="J488" s="3">
        <v>48524</v>
      </c>
      <c r="K488" s="3">
        <v>249684</v>
      </c>
      <c r="L488" s="6" t="s">
        <v>29</v>
      </c>
    </row>
    <row r="489" spans="1:12" x14ac:dyDescent="0.3">
      <c r="A489" s="5" t="s">
        <v>294</v>
      </c>
      <c r="B489" s="3" t="s">
        <v>40</v>
      </c>
      <c r="C489" s="2">
        <v>45509</v>
      </c>
      <c r="D489" s="3" t="s">
        <v>27</v>
      </c>
      <c r="E489" s="3" t="s">
        <v>353</v>
      </c>
      <c r="F489" s="3">
        <v>20935</v>
      </c>
      <c r="G489" s="3">
        <v>1104</v>
      </c>
      <c r="H489" s="3">
        <v>876</v>
      </c>
      <c r="I489" s="3">
        <v>1270</v>
      </c>
      <c r="J489" s="3">
        <v>21454</v>
      </c>
      <c r="K489" s="3">
        <v>208722</v>
      </c>
      <c r="L489" s="6" t="s">
        <v>25</v>
      </c>
    </row>
    <row r="490" spans="1:12" x14ac:dyDescent="0.3">
      <c r="A490" s="5" t="s">
        <v>294</v>
      </c>
      <c r="B490" s="3" t="s">
        <v>40</v>
      </c>
      <c r="C490" s="2">
        <v>45509</v>
      </c>
      <c r="D490" s="3" t="s">
        <v>27</v>
      </c>
      <c r="E490" s="3" t="s">
        <v>354</v>
      </c>
      <c r="F490" s="3">
        <v>20935</v>
      </c>
      <c r="G490" s="3">
        <v>1104</v>
      </c>
      <c r="H490" s="3">
        <v>876</v>
      </c>
      <c r="I490" s="3">
        <v>1270</v>
      </c>
      <c r="J490" s="3">
        <v>21454</v>
      </c>
      <c r="K490" s="3">
        <v>208722</v>
      </c>
      <c r="L490" s="6" t="s">
        <v>25</v>
      </c>
    </row>
    <row r="491" spans="1:12" x14ac:dyDescent="0.3">
      <c r="A491" s="5" t="s">
        <v>295</v>
      </c>
      <c r="B491" s="3" t="s">
        <v>18</v>
      </c>
      <c r="C491" s="2">
        <v>45698</v>
      </c>
      <c r="D491" s="3" t="s">
        <v>34</v>
      </c>
      <c r="E491" s="3" t="s">
        <v>355</v>
      </c>
      <c r="F491" s="3">
        <v>16309</v>
      </c>
      <c r="G491" s="3">
        <v>1449</v>
      </c>
      <c r="H491" s="3">
        <v>838</v>
      </c>
      <c r="I491" s="3">
        <v>2434</v>
      </c>
      <c r="J491" s="3">
        <v>2940</v>
      </c>
      <c r="K491" s="3">
        <v>217953</v>
      </c>
      <c r="L491" s="6" t="s">
        <v>29</v>
      </c>
    </row>
    <row r="492" spans="1:12" x14ac:dyDescent="0.3">
      <c r="A492" s="5" t="s">
        <v>295</v>
      </c>
      <c r="B492" s="3" t="s">
        <v>18</v>
      </c>
      <c r="C492" s="2">
        <v>45698</v>
      </c>
      <c r="D492" s="3" t="s">
        <v>34</v>
      </c>
      <c r="E492" s="3" t="s">
        <v>356</v>
      </c>
      <c r="F492" s="3">
        <v>16309</v>
      </c>
      <c r="G492" s="3">
        <v>1449</v>
      </c>
      <c r="H492" s="3">
        <v>838</v>
      </c>
      <c r="I492" s="3">
        <v>2434</v>
      </c>
      <c r="J492" s="3">
        <v>2940</v>
      </c>
      <c r="K492" s="3">
        <v>217953</v>
      </c>
      <c r="L492" s="6" t="s">
        <v>29</v>
      </c>
    </row>
    <row r="493" spans="1:12" x14ac:dyDescent="0.3">
      <c r="A493" s="5" t="s">
        <v>296</v>
      </c>
      <c r="B493" s="3" t="s">
        <v>13</v>
      </c>
      <c r="C493" s="2">
        <v>45700</v>
      </c>
      <c r="D493" s="3" t="s">
        <v>27</v>
      </c>
      <c r="E493" s="3" t="s">
        <v>355</v>
      </c>
      <c r="F493" s="3">
        <v>15234</v>
      </c>
      <c r="G493" s="3">
        <v>1276</v>
      </c>
      <c r="H493" s="3">
        <v>670</v>
      </c>
      <c r="I493" s="3">
        <v>1860</v>
      </c>
      <c r="J493" s="3">
        <v>60397</v>
      </c>
      <c r="K493" s="3">
        <v>86413</v>
      </c>
      <c r="L493" s="6" t="s">
        <v>45</v>
      </c>
    </row>
    <row r="494" spans="1:12" x14ac:dyDescent="0.3">
      <c r="A494" s="5" t="s">
        <v>296</v>
      </c>
      <c r="B494" s="3" t="s">
        <v>13</v>
      </c>
      <c r="C494" s="2">
        <v>45700</v>
      </c>
      <c r="D494" s="3" t="s">
        <v>27</v>
      </c>
      <c r="E494" s="3" t="s">
        <v>356</v>
      </c>
      <c r="F494" s="3">
        <v>15234</v>
      </c>
      <c r="G494" s="3">
        <v>1276</v>
      </c>
      <c r="H494" s="3">
        <v>670</v>
      </c>
      <c r="I494" s="3">
        <v>1860</v>
      </c>
      <c r="J494" s="3">
        <v>60397</v>
      </c>
      <c r="K494" s="3">
        <v>86413</v>
      </c>
      <c r="L494" s="6" t="s">
        <v>45</v>
      </c>
    </row>
    <row r="495" spans="1:12" x14ac:dyDescent="0.3">
      <c r="A495" s="5" t="s">
        <v>297</v>
      </c>
      <c r="B495" s="3" t="s">
        <v>22</v>
      </c>
      <c r="C495" s="2">
        <v>45592</v>
      </c>
      <c r="D495" s="3" t="s">
        <v>34</v>
      </c>
      <c r="E495" s="3" t="s">
        <v>353</v>
      </c>
      <c r="F495" s="3">
        <v>7560</v>
      </c>
      <c r="G495" s="3">
        <v>1139</v>
      </c>
      <c r="H495" s="3">
        <v>248</v>
      </c>
      <c r="I495" s="3">
        <v>1624</v>
      </c>
      <c r="J495" s="3">
        <v>72237</v>
      </c>
      <c r="K495" s="3">
        <v>177084</v>
      </c>
      <c r="L495" s="6" t="s">
        <v>25</v>
      </c>
    </row>
    <row r="496" spans="1:12" x14ac:dyDescent="0.3">
      <c r="A496" s="5" t="s">
        <v>297</v>
      </c>
      <c r="B496" s="3" t="s">
        <v>22</v>
      </c>
      <c r="C496" s="2">
        <v>45592</v>
      </c>
      <c r="D496" s="3" t="s">
        <v>34</v>
      </c>
      <c r="E496" s="3" t="s">
        <v>354</v>
      </c>
      <c r="F496" s="3">
        <v>7560</v>
      </c>
      <c r="G496" s="3">
        <v>1139</v>
      </c>
      <c r="H496" s="3">
        <v>248</v>
      </c>
      <c r="I496" s="3">
        <v>1624</v>
      </c>
      <c r="J496" s="3">
        <v>72237</v>
      </c>
      <c r="K496" s="3">
        <v>177084</v>
      </c>
      <c r="L496" s="6" t="s">
        <v>25</v>
      </c>
    </row>
    <row r="497" spans="1:12" x14ac:dyDescent="0.3">
      <c r="A497" s="5" t="s">
        <v>298</v>
      </c>
      <c r="B497" s="3" t="s">
        <v>40</v>
      </c>
      <c r="C497" s="2">
        <v>45675</v>
      </c>
      <c r="D497" s="3" t="s">
        <v>23</v>
      </c>
      <c r="E497" s="3" t="s">
        <v>367</v>
      </c>
      <c r="F497" s="3">
        <v>22673</v>
      </c>
      <c r="G497" s="3">
        <v>1053</v>
      </c>
      <c r="H497" s="3">
        <v>169</v>
      </c>
      <c r="I497" s="3">
        <v>1566</v>
      </c>
      <c r="J497" s="3">
        <v>9417</v>
      </c>
      <c r="K497" s="3">
        <v>221187</v>
      </c>
      <c r="L497" s="6" t="s">
        <v>29</v>
      </c>
    </row>
    <row r="498" spans="1:12" x14ac:dyDescent="0.3">
      <c r="A498" s="5" t="s">
        <v>298</v>
      </c>
      <c r="B498" s="3" t="s">
        <v>40</v>
      </c>
      <c r="C498" s="2">
        <v>45675</v>
      </c>
      <c r="D498" s="3" t="s">
        <v>23</v>
      </c>
      <c r="E498" s="3" t="s">
        <v>32</v>
      </c>
      <c r="F498" s="3">
        <v>22673</v>
      </c>
      <c r="G498" s="3">
        <v>1053</v>
      </c>
      <c r="H498" s="3">
        <v>169</v>
      </c>
      <c r="I498" s="3">
        <v>1566</v>
      </c>
      <c r="J498" s="3">
        <v>9417</v>
      </c>
      <c r="K498" s="3">
        <v>221187</v>
      </c>
      <c r="L498" s="6" t="s">
        <v>29</v>
      </c>
    </row>
    <row r="499" spans="1:12" x14ac:dyDescent="0.3">
      <c r="A499" s="5" t="s">
        <v>299</v>
      </c>
      <c r="B499" s="3" t="s">
        <v>22</v>
      </c>
      <c r="C499" s="2">
        <v>45524</v>
      </c>
      <c r="D499" s="3" t="s">
        <v>23</v>
      </c>
      <c r="E499" s="3" t="s">
        <v>32</v>
      </c>
      <c r="F499" s="3">
        <v>2846</v>
      </c>
      <c r="G499" s="3">
        <v>792</v>
      </c>
      <c r="H499" s="3">
        <v>902</v>
      </c>
      <c r="I499" s="3">
        <v>2469</v>
      </c>
      <c r="J499" s="3">
        <v>12130</v>
      </c>
      <c r="K499" s="3">
        <v>47151</v>
      </c>
      <c r="L499" s="6" t="s">
        <v>16</v>
      </c>
    </row>
    <row r="500" spans="1:12" x14ac:dyDescent="0.3">
      <c r="A500" s="5" t="s">
        <v>300</v>
      </c>
      <c r="B500" s="3" t="s">
        <v>22</v>
      </c>
      <c r="C500" s="2">
        <v>45687</v>
      </c>
      <c r="D500" s="3" t="s">
        <v>23</v>
      </c>
      <c r="E500" s="3" t="s">
        <v>367</v>
      </c>
      <c r="F500" s="3">
        <v>12954</v>
      </c>
      <c r="G500" s="3">
        <v>913</v>
      </c>
      <c r="H500" s="3">
        <v>722</v>
      </c>
      <c r="I500" s="3">
        <v>1049</v>
      </c>
      <c r="J500" s="3">
        <v>475</v>
      </c>
      <c r="K500" s="3">
        <v>97716</v>
      </c>
      <c r="L500" s="6" t="s">
        <v>16</v>
      </c>
    </row>
    <row r="501" spans="1:12" x14ac:dyDescent="0.3">
      <c r="A501" s="5" t="s">
        <v>300</v>
      </c>
      <c r="B501" s="3" t="s">
        <v>22</v>
      </c>
      <c r="C501" s="2">
        <v>45687</v>
      </c>
      <c r="D501" s="3" t="s">
        <v>23</v>
      </c>
      <c r="E501" s="3" t="s">
        <v>32</v>
      </c>
      <c r="F501" s="3">
        <v>12954</v>
      </c>
      <c r="G501" s="3">
        <v>913</v>
      </c>
      <c r="H501" s="3">
        <v>722</v>
      </c>
      <c r="I501" s="3">
        <v>1049</v>
      </c>
      <c r="J501" s="3">
        <v>475</v>
      </c>
      <c r="K501" s="3">
        <v>97716</v>
      </c>
      <c r="L501" s="6" t="s">
        <v>16</v>
      </c>
    </row>
    <row r="502" spans="1:12" x14ac:dyDescent="0.3">
      <c r="A502" s="5" t="s">
        <v>301</v>
      </c>
      <c r="B502" s="3" t="s">
        <v>13</v>
      </c>
      <c r="C502" s="2">
        <v>45708</v>
      </c>
      <c r="D502" s="3" t="s">
        <v>34</v>
      </c>
      <c r="E502" s="3" t="s">
        <v>365</v>
      </c>
      <c r="F502" s="3">
        <v>15703</v>
      </c>
      <c r="G502" s="3">
        <v>1381</v>
      </c>
      <c r="H502" s="3">
        <v>639</v>
      </c>
      <c r="I502" s="3">
        <v>984</v>
      </c>
      <c r="J502" s="3">
        <v>10967</v>
      </c>
      <c r="K502" s="3">
        <v>133747</v>
      </c>
      <c r="L502" s="6" t="s">
        <v>45</v>
      </c>
    </row>
    <row r="503" spans="1:12" x14ac:dyDescent="0.3">
      <c r="A503" s="5" t="s">
        <v>301</v>
      </c>
      <c r="B503" s="3" t="s">
        <v>13</v>
      </c>
      <c r="C503" s="2">
        <v>45708</v>
      </c>
      <c r="D503" s="3" t="s">
        <v>34</v>
      </c>
      <c r="E503" s="3" t="s">
        <v>359</v>
      </c>
      <c r="F503" s="3">
        <v>15703</v>
      </c>
      <c r="G503" s="3">
        <v>1381</v>
      </c>
      <c r="H503" s="3">
        <v>639</v>
      </c>
      <c r="I503" s="3">
        <v>984</v>
      </c>
      <c r="J503" s="3">
        <v>10967</v>
      </c>
      <c r="K503" s="3">
        <v>133747</v>
      </c>
      <c r="L503" s="6" t="s">
        <v>45</v>
      </c>
    </row>
    <row r="504" spans="1:12" x14ac:dyDescent="0.3">
      <c r="A504" s="5" t="s">
        <v>302</v>
      </c>
      <c r="B504" s="3" t="s">
        <v>40</v>
      </c>
      <c r="C504" s="2">
        <v>45621</v>
      </c>
      <c r="D504" s="3" t="s">
        <v>27</v>
      </c>
      <c r="E504" s="3" t="s">
        <v>365</v>
      </c>
      <c r="F504" s="3">
        <v>17385</v>
      </c>
      <c r="G504" s="3">
        <v>831</v>
      </c>
      <c r="H504" s="3">
        <v>568</v>
      </c>
      <c r="I504" s="3">
        <v>2227</v>
      </c>
      <c r="J504" s="3">
        <v>49351</v>
      </c>
      <c r="K504" s="3">
        <v>207450</v>
      </c>
      <c r="L504" s="6" t="s">
        <v>25</v>
      </c>
    </row>
    <row r="505" spans="1:12" x14ac:dyDescent="0.3">
      <c r="A505" s="5" t="s">
        <v>302</v>
      </c>
      <c r="B505" s="3" t="s">
        <v>40</v>
      </c>
      <c r="C505" s="2">
        <v>45621</v>
      </c>
      <c r="D505" s="3" t="s">
        <v>27</v>
      </c>
      <c r="E505" s="3" t="s">
        <v>359</v>
      </c>
      <c r="F505" s="3">
        <v>17385</v>
      </c>
      <c r="G505" s="3">
        <v>831</v>
      </c>
      <c r="H505" s="3">
        <v>568</v>
      </c>
      <c r="I505" s="3">
        <v>2227</v>
      </c>
      <c r="J505" s="3">
        <v>49351</v>
      </c>
      <c r="K505" s="3">
        <v>207450</v>
      </c>
      <c r="L505" s="6" t="s">
        <v>25</v>
      </c>
    </row>
    <row r="506" spans="1:12" x14ac:dyDescent="0.3">
      <c r="A506" s="5" t="s">
        <v>303</v>
      </c>
      <c r="B506" s="3" t="s">
        <v>18</v>
      </c>
      <c r="C506" s="2">
        <v>45569</v>
      </c>
      <c r="D506" s="3" t="s">
        <v>27</v>
      </c>
      <c r="E506" s="3" t="s">
        <v>359</v>
      </c>
      <c r="F506" s="3">
        <v>15746</v>
      </c>
      <c r="G506" s="3">
        <v>258</v>
      </c>
      <c r="H506" s="3">
        <v>839</v>
      </c>
      <c r="I506" s="3">
        <v>2656</v>
      </c>
      <c r="J506" s="3">
        <v>66614</v>
      </c>
      <c r="K506" s="3">
        <v>213724</v>
      </c>
      <c r="L506" s="6" t="s">
        <v>25</v>
      </c>
    </row>
    <row r="507" spans="1:12" x14ac:dyDescent="0.3">
      <c r="A507" s="5" t="s">
        <v>303</v>
      </c>
      <c r="B507" s="3" t="s">
        <v>18</v>
      </c>
      <c r="C507" s="2">
        <v>45569</v>
      </c>
      <c r="D507" s="3" t="s">
        <v>27</v>
      </c>
      <c r="E507" s="3" t="s">
        <v>366</v>
      </c>
      <c r="F507" s="3">
        <v>15746</v>
      </c>
      <c r="G507" s="3">
        <v>258</v>
      </c>
      <c r="H507" s="3">
        <v>839</v>
      </c>
      <c r="I507" s="3">
        <v>2656</v>
      </c>
      <c r="J507" s="3">
        <v>66614</v>
      </c>
      <c r="K507" s="3">
        <v>213724</v>
      </c>
      <c r="L507" s="6" t="s">
        <v>25</v>
      </c>
    </row>
    <row r="508" spans="1:12" x14ac:dyDescent="0.3">
      <c r="A508" s="5" t="s">
        <v>304</v>
      </c>
      <c r="B508" s="3" t="s">
        <v>18</v>
      </c>
      <c r="C508" s="2">
        <v>45760</v>
      </c>
      <c r="D508" s="3" t="s">
        <v>34</v>
      </c>
      <c r="E508" s="3" t="s">
        <v>64</v>
      </c>
      <c r="F508" s="3">
        <v>24700</v>
      </c>
      <c r="G508" s="3">
        <v>327</v>
      </c>
      <c r="H508" s="3">
        <v>999</v>
      </c>
      <c r="I508" s="3">
        <v>994</v>
      </c>
      <c r="J508" s="3">
        <v>59400</v>
      </c>
      <c r="K508" s="3">
        <v>243502</v>
      </c>
      <c r="L508" s="6" t="s">
        <v>25</v>
      </c>
    </row>
    <row r="509" spans="1:12" x14ac:dyDescent="0.3">
      <c r="A509" s="5" t="s">
        <v>305</v>
      </c>
      <c r="B509" s="3" t="s">
        <v>13</v>
      </c>
      <c r="C509" s="2">
        <v>45601</v>
      </c>
      <c r="D509" s="3" t="s">
        <v>23</v>
      </c>
      <c r="E509" s="3" t="s">
        <v>64</v>
      </c>
      <c r="F509" s="3">
        <v>8469</v>
      </c>
      <c r="G509" s="3">
        <v>935</v>
      </c>
      <c r="H509" s="3">
        <v>211</v>
      </c>
      <c r="I509" s="3">
        <v>2635</v>
      </c>
      <c r="J509" s="3">
        <v>21890</v>
      </c>
      <c r="K509" s="3">
        <v>184539</v>
      </c>
      <c r="L509" s="6" t="s">
        <v>45</v>
      </c>
    </row>
    <row r="510" spans="1:12" x14ac:dyDescent="0.3">
      <c r="A510" s="5" t="s">
        <v>306</v>
      </c>
      <c r="B510" s="3" t="s">
        <v>13</v>
      </c>
      <c r="C510" s="2">
        <v>45672</v>
      </c>
      <c r="D510" s="3" t="s">
        <v>23</v>
      </c>
      <c r="E510" s="3" t="s">
        <v>355</v>
      </c>
      <c r="F510" s="3">
        <v>11333</v>
      </c>
      <c r="G510" s="3">
        <v>920</v>
      </c>
      <c r="H510" s="3">
        <v>294</v>
      </c>
      <c r="I510" s="3">
        <v>606</v>
      </c>
      <c r="J510" s="3">
        <v>59490</v>
      </c>
      <c r="K510" s="3">
        <v>202082</v>
      </c>
      <c r="L510" s="6" t="s">
        <v>25</v>
      </c>
    </row>
    <row r="511" spans="1:12" x14ac:dyDescent="0.3">
      <c r="A511" s="5" t="s">
        <v>306</v>
      </c>
      <c r="B511" s="3" t="s">
        <v>13</v>
      </c>
      <c r="C511" s="2">
        <v>45672</v>
      </c>
      <c r="D511" s="3" t="s">
        <v>23</v>
      </c>
      <c r="E511" s="3" t="s">
        <v>356</v>
      </c>
      <c r="F511" s="3">
        <v>11333</v>
      </c>
      <c r="G511" s="3">
        <v>920</v>
      </c>
      <c r="H511" s="3">
        <v>294</v>
      </c>
      <c r="I511" s="3">
        <v>606</v>
      </c>
      <c r="J511" s="3">
        <v>59490</v>
      </c>
      <c r="K511" s="3">
        <v>202082</v>
      </c>
      <c r="L511" s="6" t="s">
        <v>25</v>
      </c>
    </row>
    <row r="512" spans="1:12" x14ac:dyDescent="0.3">
      <c r="A512" s="5" t="s">
        <v>307</v>
      </c>
      <c r="B512" s="3" t="s">
        <v>40</v>
      </c>
      <c r="C512" s="2">
        <v>45582</v>
      </c>
      <c r="D512" s="3" t="s">
        <v>27</v>
      </c>
      <c r="E512" s="3" t="s">
        <v>357</v>
      </c>
      <c r="F512" s="3">
        <v>18608</v>
      </c>
      <c r="G512" s="3">
        <v>1338</v>
      </c>
      <c r="H512" s="3">
        <v>365</v>
      </c>
      <c r="I512" s="3">
        <v>2289</v>
      </c>
      <c r="J512" s="3">
        <v>20785</v>
      </c>
      <c r="K512" s="3">
        <v>161999</v>
      </c>
      <c r="L512" s="6" t="s">
        <v>16</v>
      </c>
    </row>
    <row r="513" spans="1:12" x14ac:dyDescent="0.3">
      <c r="A513" s="5" t="s">
        <v>307</v>
      </c>
      <c r="B513" s="3" t="s">
        <v>40</v>
      </c>
      <c r="C513" s="2">
        <v>45582</v>
      </c>
      <c r="D513" s="3" t="s">
        <v>27</v>
      </c>
      <c r="E513" s="3" t="s">
        <v>358</v>
      </c>
      <c r="F513" s="3">
        <v>18608</v>
      </c>
      <c r="G513" s="3">
        <v>1338</v>
      </c>
      <c r="H513" s="3">
        <v>365</v>
      </c>
      <c r="I513" s="3">
        <v>2289</v>
      </c>
      <c r="J513" s="3">
        <v>20785</v>
      </c>
      <c r="K513" s="3">
        <v>161999</v>
      </c>
      <c r="L513" s="6" t="s">
        <v>16</v>
      </c>
    </row>
    <row r="514" spans="1:12" x14ac:dyDescent="0.3">
      <c r="A514" s="5" t="s">
        <v>308</v>
      </c>
      <c r="B514" s="3" t="s">
        <v>18</v>
      </c>
      <c r="C514" s="2">
        <v>45743</v>
      </c>
      <c r="D514" s="3" t="s">
        <v>23</v>
      </c>
      <c r="E514" s="3" t="s">
        <v>367</v>
      </c>
      <c r="F514" s="3">
        <v>14819</v>
      </c>
      <c r="G514" s="3">
        <v>1432</v>
      </c>
      <c r="H514" s="3">
        <v>152</v>
      </c>
      <c r="I514" s="3">
        <v>961</v>
      </c>
      <c r="J514" s="3">
        <v>39154</v>
      </c>
      <c r="K514" s="3">
        <v>154793</v>
      </c>
      <c r="L514" s="6" t="s">
        <v>29</v>
      </c>
    </row>
    <row r="515" spans="1:12" x14ac:dyDescent="0.3">
      <c r="A515" s="5" t="s">
        <v>308</v>
      </c>
      <c r="B515" s="3" t="s">
        <v>18</v>
      </c>
      <c r="C515" s="2">
        <v>45743</v>
      </c>
      <c r="D515" s="3" t="s">
        <v>23</v>
      </c>
      <c r="E515" s="3" t="s">
        <v>32</v>
      </c>
      <c r="F515" s="3">
        <v>14819</v>
      </c>
      <c r="G515" s="3">
        <v>1432</v>
      </c>
      <c r="H515" s="3">
        <v>152</v>
      </c>
      <c r="I515" s="3">
        <v>961</v>
      </c>
      <c r="J515" s="3">
        <v>39154</v>
      </c>
      <c r="K515" s="3">
        <v>154793</v>
      </c>
      <c r="L515" s="6" t="s">
        <v>29</v>
      </c>
    </row>
    <row r="516" spans="1:12" x14ac:dyDescent="0.3">
      <c r="A516" s="5" t="s">
        <v>309</v>
      </c>
      <c r="B516" s="3" t="s">
        <v>18</v>
      </c>
      <c r="C516" s="2">
        <v>45577</v>
      </c>
      <c r="D516" s="3" t="s">
        <v>14</v>
      </c>
      <c r="E516" s="3" t="s">
        <v>368</v>
      </c>
      <c r="F516" s="3">
        <v>6208</v>
      </c>
      <c r="G516" s="3">
        <v>725</v>
      </c>
      <c r="H516" s="3">
        <v>309</v>
      </c>
      <c r="I516" s="3">
        <v>848</v>
      </c>
      <c r="J516" s="3">
        <v>39319</v>
      </c>
      <c r="K516" s="3">
        <v>225763</v>
      </c>
      <c r="L516" s="6" t="s">
        <v>16</v>
      </c>
    </row>
    <row r="517" spans="1:12" x14ac:dyDescent="0.3">
      <c r="A517" s="5" t="s">
        <v>309</v>
      </c>
      <c r="B517" s="3" t="s">
        <v>18</v>
      </c>
      <c r="C517" s="2">
        <v>45577</v>
      </c>
      <c r="D517" s="3" t="s">
        <v>14</v>
      </c>
      <c r="E517" s="3" t="s">
        <v>369</v>
      </c>
      <c r="F517" s="3">
        <v>6208</v>
      </c>
      <c r="G517" s="3">
        <v>725</v>
      </c>
      <c r="H517" s="3">
        <v>309</v>
      </c>
      <c r="I517" s="3">
        <v>848</v>
      </c>
      <c r="J517" s="3">
        <v>39319</v>
      </c>
      <c r="K517" s="3">
        <v>225763</v>
      </c>
      <c r="L517" s="6" t="s">
        <v>16</v>
      </c>
    </row>
    <row r="518" spans="1:12" x14ac:dyDescent="0.3">
      <c r="A518" s="5" t="s">
        <v>310</v>
      </c>
      <c r="B518" s="3" t="s">
        <v>18</v>
      </c>
      <c r="C518" s="2">
        <v>45658</v>
      </c>
      <c r="D518" s="3" t="s">
        <v>27</v>
      </c>
      <c r="E518" s="3" t="s">
        <v>361</v>
      </c>
      <c r="F518" s="3">
        <v>8283</v>
      </c>
      <c r="G518" s="3">
        <v>720</v>
      </c>
      <c r="H518" s="3">
        <v>888</v>
      </c>
      <c r="I518" s="3">
        <v>611</v>
      </c>
      <c r="J518" s="3">
        <v>52791</v>
      </c>
      <c r="K518" s="3">
        <v>235229</v>
      </c>
      <c r="L518" s="6" t="s">
        <v>16</v>
      </c>
    </row>
    <row r="519" spans="1:12" x14ac:dyDescent="0.3">
      <c r="A519" s="5" t="s">
        <v>310</v>
      </c>
      <c r="B519" s="3" t="s">
        <v>18</v>
      </c>
      <c r="C519" s="2">
        <v>45658</v>
      </c>
      <c r="D519" s="3" t="s">
        <v>27</v>
      </c>
      <c r="E519" s="3" t="s">
        <v>362</v>
      </c>
      <c r="F519" s="3">
        <v>8283</v>
      </c>
      <c r="G519" s="3">
        <v>720</v>
      </c>
      <c r="H519" s="3">
        <v>888</v>
      </c>
      <c r="I519" s="3">
        <v>611</v>
      </c>
      <c r="J519" s="3">
        <v>52791</v>
      </c>
      <c r="K519" s="3">
        <v>235229</v>
      </c>
      <c r="L519" s="6" t="s">
        <v>16</v>
      </c>
    </row>
    <row r="520" spans="1:12" x14ac:dyDescent="0.3">
      <c r="A520" s="5" t="s">
        <v>311</v>
      </c>
      <c r="B520" s="3" t="s">
        <v>22</v>
      </c>
      <c r="C520" s="2">
        <v>45509</v>
      </c>
      <c r="D520" s="3" t="s">
        <v>23</v>
      </c>
      <c r="E520" s="3" t="s">
        <v>363</v>
      </c>
      <c r="F520" s="3">
        <v>4048</v>
      </c>
      <c r="G520" s="3">
        <v>751</v>
      </c>
      <c r="H520" s="3">
        <v>930</v>
      </c>
      <c r="I520" s="3">
        <v>1382</v>
      </c>
      <c r="J520" s="3">
        <v>16844</v>
      </c>
      <c r="K520" s="3">
        <v>148177</v>
      </c>
      <c r="L520" s="6" t="s">
        <v>29</v>
      </c>
    </row>
    <row r="521" spans="1:12" x14ac:dyDescent="0.3">
      <c r="A521" s="5" t="s">
        <v>311</v>
      </c>
      <c r="B521" s="3" t="s">
        <v>22</v>
      </c>
      <c r="C521" s="2">
        <v>45509</v>
      </c>
      <c r="D521" s="3" t="s">
        <v>23</v>
      </c>
      <c r="E521" s="3" t="s">
        <v>364</v>
      </c>
      <c r="F521" s="3">
        <v>4048</v>
      </c>
      <c r="G521" s="3">
        <v>751</v>
      </c>
      <c r="H521" s="3">
        <v>930</v>
      </c>
      <c r="I521" s="3">
        <v>1382</v>
      </c>
      <c r="J521" s="3">
        <v>16844</v>
      </c>
      <c r="K521" s="3">
        <v>148177</v>
      </c>
      <c r="L521" s="6" t="s">
        <v>29</v>
      </c>
    </row>
    <row r="522" spans="1:12" x14ac:dyDescent="0.3">
      <c r="A522" s="5" t="s">
        <v>312</v>
      </c>
      <c r="B522" s="3" t="s">
        <v>18</v>
      </c>
      <c r="C522" s="2">
        <v>45450</v>
      </c>
      <c r="D522" s="3" t="s">
        <v>27</v>
      </c>
      <c r="E522" s="3" t="s">
        <v>359</v>
      </c>
      <c r="F522" s="3">
        <v>8233</v>
      </c>
      <c r="G522" s="3">
        <v>436</v>
      </c>
      <c r="H522" s="3">
        <v>269</v>
      </c>
      <c r="I522" s="3">
        <v>2037</v>
      </c>
      <c r="J522" s="3">
        <v>8875</v>
      </c>
      <c r="K522" s="3">
        <v>52289</v>
      </c>
      <c r="L522" s="6" t="s">
        <v>16</v>
      </c>
    </row>
    <row r="523" spans="1:12" x14ac:dyDescent="0.3">
      <c r="A523" s="5" t="s">
        <v>312</v>
      </c>
      <c r="B523" s="3" t="s">
        <v>18</v>
      </c>
      <c r="C523" s="2">
        <v>45450</v>
      </c>
      <c r="D523" s="3" t="s">
        <v>27</v>
      </c>
      <c r="E523" s="3" t="s">
        <v>360</v>
      </c>
      <c r="F523" s="3">
        <v>8233</v>
      </c>
      <c r="G523" s="3">
        <v>436</v>
      </c>
      <c r="H523" s="3">
        <v>269</v>
      </c>
      <c r="I523" s="3">
        <v>2037</v>
      </c>
      <c r="J523" s="3">
        <v>8875</v>
      </c>
      <c r="K523" s="3">
        <v>52289</v>
      </c>
      <c r="L523" s="6" t="s">
        <v>16</v>
      </c>
    </row>
    <row r="524" spans="1:12" x14ac:dyDescent="0.3">
      <c r="A524" s="5" t="s">
        <v>313</v>
      </c>
      <c r="B524" s="3" t="s">
        <v>22</v>
      </c>
      <c r="C524" s="2">
        <v>45753</v>
      </c>
      <c r="D524" s="3" t="s">
        <v>14</v>
      </c>
      <c r="E524" s="3" t="s">
        <v>64</v>
      </c>
      <c r="F524" s="3">
        <v>14941</v>
      </c>
      <c r="G524" s="3">
        <v>1424</v>
      </c>
      <c r="H524" s="3">
        <v>238</v>
      </c>
      <c r="I524" s="3">
        <v>1054</v>
      </c>
      <c r="J524" s="3">
        <v>20516</v>
      </c>
      <c r="K524" s="3">
        <v>216048</v>
      </c>
      <c r="L524" s="6" t="s">
        <v>45</v>
      </c>
    </row>
    <row r="525" spans="1:12" x14ac:dyDescent="0.3">
      <c r="A525" s="5" t="s">
        <v>314</v>
      </c>
      <c r="B525" s="3" t="s">
        <v>40</v>
      </c>
      <c r="C525" s="2">
        <v>45622</v>
      </c>
      <c r="D525" s="3" t="s">
        <v>27</v>
      </c>
      <c r="E525" s="3" t="s">
        <v>361</v>
      </c>
      <c r="F525" s="3">
        <v>14607</v>
      </c>
      <c r="G525" s="3">
        <v>1458</v>
      </c>
      <c r="H525" s="3">
        <v>478</v>
      </c>
      <c r="I525" s="3">
        <v>334</v>
      </c>
      <c r="J525" s="3">
        <v>49257</v>
      </c>
      <c r="K525" s="3">
        <v>214668</v>
      </c>
      <c r="L525" s="6" t="s">
        <v>29</v>
      </c>
    </row>
    <row r="526" spans="1:12" x14ac:dyDescent="0.3">
      <c r="A526" s="5" t="s">
        <v>314</v>
      </c>
      <c r="B526" s="3" t="s">
        <v>40</v>
      </c>
      <c r="C526" s="2">
        <v>45622</v>
      </c>
      <c r="D526" s="3" t="s">
        <v>27</v>
      </c>
      <c r="E526" s="3" t="s">
        <v>362</v>
      </c>
      <c r="F526" s="3">
        <v>14607</v>
      </c>
      <c r="G526" s="3">
        <v>1458</v>
      </c>
      <c r="H526" s="3">
        <v>478</v>
      </c>
      <c r="I526" s="3">
        <v>334</v>
      </c>
      <c r="J526" s="3">
        <v>49257</v>
      </c>
      <c r="K526" s="3">
        <v>214668</v>
      </c>
      <c r="L526" s="6" t="s">
        <v>29</v>
      </c>
    </row>
    <row r="527" spans="1:12" x14ac:dyDescent="0.3">
      <c r="A527" s="5" t="s">
        <v>315</v>
      </c>
      <c r="B527" s="3" t="s">
        <v>22</v>
      </c>
      <c r="C527" s="2">
        <v>45537</v>
      </c>
      <c r="D527" s="3" t="s">
        <v>27</v>
      </c>
      <c r="E527" s="3" t="s">
        <v>359</v>
      </c>
      <c r="F527" s="3">
        <v>11765</v>
      </c>
      <c r="G527" s="3">
        <v>693</v>
      </c>
      <c r="H527" s="3">
        <v>729</v>
      </c>
      <c r="I527" s="3">
        <v>744</v>
      </c>
      <c r="J527" s="3">
        <v>97772</v>
      </c>
      <c r="K527" s="3">
        <v>194243</v>
      </c>
      <c r="L527" s="6" t="s">
        <v>16</v>
      </c>
    </row>
    <row r="528" spans="1:12" x14ac:dyDescent="0.3">
      <c r="A528" s="5" t="s">
        <v>315</v>
      </c>
      <c r="B528" s="3" t="s">
        <v>22</v>
      </c>
      <c r="C528" s="2">
        <v>45537</v>
      </c>
      <c r="D528" s="3" t="s">
        <v>27</v>
      </c>
      <c r="E528" s="3" t="s">
        <v>360</v>
      </c>
      <c r="F528" s="3">
        <v>11765</v>
      </c>
      <c r="G528" s="3">
        <v>693</v>
      </c>
      <c r="H528" s="3">
        <v>729</v>
      </c>
      <c r="I528" s="3">
        <v>744</v>
      </c>
      <c r="J528" s="3">
        <v>97772</v>
      </c>
      <c r="K528" s="3">
        <v>194243</v>
      </c>
      <c r="L528" s="6" t="s">
        <v>16</v>
      </c>
    </row>
    <row r="529" spans="1:12" x14ac:dyDescent="0.3">
      <c r="A529" s="5" t="s">
        <v>316</v>
      </c>
      <c r="B529" s="3" t="s">
        <v>40</v>
      </c>
      <c r="C529" s="2">
        <v>45918</v>
      </c>
      <c r="D529" s="3" t="s">
        <v>27</v>
      </c>
      <c r="E529" s="3" t="s">
        <v>361</v>
      </c>
      <c r="F529" s="3">
        <v>3828</v>
      </c>
      <c r="G529" s="3">
        <v>203</v>
      </c>
      <c r="H529" s="3">
        <v>506</v>
      </c>
      <c r="I529" s="3">
        <v>2440</v>
      </c>
      <c r="J529" s="3">
        <v>63650</v>
      </c>
      <c r="K529" s="3">
        <v>126365</v>
      </c>
      <c r="L529" s="6" t="s">
        <v>20</v>
      </c>
    </row>
    <row r="530" spans="1:12" x14ac:dyDescent="0.3">
      <c r="A530" s="5" t="s">
        <v>316</v>
      </c>
      <c r="B530" s="3" t="s">
        <v>40</v>
      </c>
      <c r="C530" s="2">
        <v>45918</v>
      </c>
      <c r="D530" s="3" t="s">
        <v>27</v>
      </c>
      <c r="E530" s="3" t="s">
        <v>362</v>
      </c>
      <c r="F530" s="3">
        <v>3828</v>
      </c>
      <c r="G530" s="3">
        <v>203</v>
      </c>
      <c r="H530" s="3">
        <v>506</v>
      </c>
      <c r="I530" s="3">
        <v>2440</v>
      </c>
      <c r="J530" s="3">
        <v>63650</v>
      </c>
      <c r="K530" s="3">
        <v>126365</v>
      </c>
      <c r="L530" s="6" t="s">
        <v>20</v>
      </c>
    </row>
    <row r="531" spans="1:12" x14ac:dyDescent="0.3">
      <c r="A531" s="5" t="s">
        <v>317</v>
      </c>
      <c r="B531" s="3" t="s">
        <v>18</v>
      </c>
      <c r="C531" s="2">
        <v>45738</v>
      </c>
      <c r="D531" s="3" t="s">
        <v>27</v>
      </c>
      <c r="E531" s="3" t="s">
        <v>359</v>
      </c>
      <c r="F531" s="3">
        <v>3917</v>
      </c>
      <c r="G531" s="3">
        <v>865</v>
      </c>
      <c r="H531" s="3">
        <v>759</v>
      </c>
      <c r="I531" s="3">
        <v>2282</v>
      </c>
      <c r="J531" s="3">
        <v>56125</v>
      </c>
      <c r="K531" s="3">
        <v>154014</v>
      </c>
      <c r="L531" s="6" t="s">
        <v>16</v>
      </c>
    </row>
    <row r="532" spans="1:12" x14ac:dyDescent="0.3">
      <c r="A532" s="5" t="s">
        <v>317</v>
      </c>
      <c r="B532" s="3" t="s">
        <v>18</v>
      </c>
      <c r="C532" s="2">
        <v>45738</v>
      </c>
      <c r="D532" s="3" t="s">
        <v>27</v>
      </c>
      <c r="E532" s="3" t="s">
        <v>366</v>
      </c>
      <c r="F532" s="3">
        <v>3917</v>
      </c>
      <c r="G532" s="3">
        <v>865</v>
      </c>
      <c r="H532" s="3">
        <v>759</v>
      </c>
      <c r="I532" s="3">
        <v>2282</v>
      </c>
      <c r="J532" s="3">
        <v>56125</v>
      </c>
      <c r="K532" s="3">
        <v>154014</v>
      </c>
      <c r="L532" s="6" t="s">
        <v>16</v>
      </c>
    </row>
    <row r="533" spans="1:12" x14ac:dyDescent="0.3">
      <c r="A533" s="5" t="s">
        <v>318</v>
      </c>
      <c r="B533" s="3" t="s">
        <v>18</v>
      </c>
      <c r="C533" s="2">
        <v>45568</v>
      </c>
      <c r="D533" s="3" t="s">
        <v>14</v>
      </c>
      <c r="E533" s="3" t="s">
        <v>359</v>
      </c>
      <c r="F533" s="3">
        <v>22618</v>
      </c>
      <c r="G533" s="3">
        <v>641</v>
      </c>
      <c r="H533" s="3">
        <v>416</v>
      </c>
      <c r="I533" s="3">
        <v>1530</v>
      </c>
      <c r="J533" s="3">
        <v>18395</v>
      </c>
      <c r="K533" s="3">
        <v>215211</v>
      </c>
      <c r="L533" s="6" t="s">
        <v>45</v>
      </c>
    </row>
    <row r="534" spans="1:12" x14ac:dyDescent="0.3">
      <c r="A534" s="5" t="s">
        <v>318</v>
      </c>
      <c r="B534" s="3" t="s">
        <v>18</v>
      </c>
      <c r="C534" s="2">
        <v>45568</v>
      </c>
      <c r="D534" s="3" t="s">
        <v>14</v>
      </c>
      <c r="E534" s="3" t="s">
        <v>360</v>
      </c>
      <c r="F534" s="3">
        <v>22618</v>
      </c>
      <c r="G534" s="3">
        <v>641</v>
      </c>
      <c r="H534" s="3">
        <v>416</v>
      </c>
      <c r="I534" s="3">
        <v>1530</v>
      </c>
      <c r="J534" s="3">
        <v>18395</v>
      </c>
      <c r="K534" s="3">
        <v>215211</v>
      </c>
      <c r="L534" s="6" t="s">
        <v>45</v>
      </c>
    </row>
    <row r="535" spans="1:12" x14ac:dyDescent="0.3">
      <c r="A535" s="5" t="s">
        <v>319</v>
      </c>
      <c r="B535" s="3" t="s">
        <v>40</v>
      </c>
      <c r="C535" s="2">
        <v>45786</v>
      </c>
      <c r="D535" s="3" t="s">
        <v>34</v>
      </c>
      <c r="E535" s="3" t="s">
        <v>363</v>
      </c>
      <c r="F535" s="3">
        <v>8988</v>
      </c>
      <c r="G535" s="3">
        <v>228</v>
      </c>
      <c r="H535" s="3">
        <v>766</v>
      </c>
      <c r="I535" s="3">
        <v>652</v>
      </c>
      <c r="J535" s="3">
        <v>63789</v>
      </c>
      <c r="K535" s="3">
        <v>219785</v>
      </c>
      <c r="L535" s="6" t="s">
        <v>25</v>
      </c>
    </row>
    <row r="536" spans="1:12" x14ac:dyDescent="0.3">
      <c r="A536" s="5" t="s">
        <v>319</v>
      </c>
      <c r="B536" s="3" t="s">
        <v>40</v>
      </c>
      <c r="C536" s="2">
        <v>45786</v>
      </c>
      <c r="D536" s="3" t="s">
        <v>34</v>
      </c>
      <c r="E536" s="3" t="s">
        <v>364</v>
      </c>
      <c r="F536" s="3">
        <v>8988</v>
      </c>
      <c r="G536" s="3">
        <v>228</v>
      </c>
      <c r="H536" s="3">
        <v>766</v>
      </c>
      <c r="I536" s="3">
        <v>652</v>
      </c>
      <c r="J536" s="3">
        <v>63789</v>
      </c>
      <c r="K536" s="3">
        <v>219785</v>
      </c>
      <c r="L536" s="6" t="s">
        <v>25</v>
      </c>
    </row>
    <row r="537" spans="1:12" x14ac:dyDescent="0.3">
      <c r="A537" s="5" t="s">
        <v>320</v>
      </c>
      <c r="B537" s="3" t="s">
        <v>13</v>
      </c>
      <c r="C537" s="2">
        <v>45552</v>
      </c>
      <c r="D537" s="3" t="s">
        <v>27</v>
      </c>
      <c r="E537" s="3" t="s">
        <v>361</v>
      </c>
      <c r="F537" s="3">
        <v>20410</v>
      </c>
      <c r="G537" s="3">
        <v>1332</v>
      </c>
      <c r="H537" s="3">
        <v>472</v>
      </c>
      <c r="I537" s="3">
        <v>1202</v>
      </c>
      <c r="J537" s="3">
        <v>9418</v>
      </c>
      <c r="K537" s="3">
        <v>200806</v>
      </c>
      <c r="L537" s="6" t="s">
        <v>16</v>
      </c>
    </row>
    <row r="538" spans="1:12" x14ac:dyDescent="0.3">
      <c r="A538" s="5" t="s">
        <v>320</v>
      </c>
      <c r="B538" s="3" t="s">
        <v>13</v>
      </c>
      <c r="C538" s="2">
        <v>45552</v>
      </c>
      <c r="D538" s="3" t="s">
        <v>27</v>
      </c>
      <c r="E538" s="3" t="s">
        <v>362</v>
      </c>
      <c r="F538" s="3">
        <v>20410</v>
      </c>
      <c r="G538" s="3">
        <v>1332</v>
      </c>
      <c r="H538" s="3">
        <v>472</v>
      </c>
      <c r="I538" s="3">
        <v>1202</v>
      </c>
      <c r="J538" s="3">
        <v>9418</v>
      </c>
      <c r="K538" s="3">
        <v>200806</v>
      </c>
      <c r="L538" s="6" t="s">
        <v>16</v>
      </c>
    </row>
    <row r="539" spans="1:12" x14ac:dyDescent="0.3">
      <c r="A539" s="5" t="s">
        <v>321</v>
      </c>
      <c r="B539" s="3" t="s">
        <v>40</v>
      </c>
      <c r="C539" s="2">
        <v>45491</v>
      </c>
      <c r="D539" s="3" t="s">
        <v>27</v>
      </c>
      <c r="E539" s="3" t="s">
        <v>353</v>
      </c>
      <c r="F539" s="3">
        <v>16594</v>
      </c>
      <c r="G539" s="3">
        <v>809</v>
      </c>
      <c r="H539" s="3">
        <v>784</v>
      </c>
      <c r="I539" s="3">
        <v>1655</v>
      </c>
      <c r="J539" s="3">
        <v>35505</v>
      </c>
      <c r="K539" s="3">
        <v>112588</v>
      </c>
      <c r="L539" s="6" t="s">
        <v>25</v>
      </c>
    </row>
    <row r="540" spans="1:12" x14ac:dyDescent="0.3">
      <c r="A540" s="5" t="s">
        <v>321</v>
      </c>
      <c r="B540" s="3" t="s">
        <v>40</v>
      </c>
      <c r="C540" s="2">
        <v>45491</v>
      </c>
      <c r="D540" s="3" t="s">
        <v>27</v>
      </c>
      <c r="E540" s="3" t="s">
        <v>354</v>
      </c>
      <c r="F540" s="3">
        <v>16594</v>
      </c>
      <c r="G540" s="3">
        <v>809</v>
      </c>
      <c r="H540" s="3">
        <v>784</v>
      </c>
      <c r="I540" s="3">
        <v>1655</v>
      </c>
      <c r="J540" s="3">
        <v>35505</v>
      </c>
      <c r="K540" s="3">
        <v>112588</v>
      </c>
      <c r="L540" s="6" t="s">
        <v>25</v>
      </c>
    </row>
    <row r="541" spans="1:12" x14ac:dyDescent="0.3">
      <c r="A541" s="5" t="s">
        <v>322</v>
      </c>
      <c r="B541" s="3" t="s">
        <v>13</v>
      </c>
      <c r="C541" s="2">
        <v>45919</v>
      </c>
      <c r="D541" s="3" t="s">
        <v>23</v>
      </c>
      <c r="E541" s="3" t="s">
        <v>363</v>
      </c>
      <c r="F541" s="3">
        <v>22128</v>
      </c>
      <c r="G541" s="3">
        <v>1004</v>
      </c>
      <c r="H541" s="3">
        <v>690</v>
      </c>
      <c r="I541" s="3">
        <v>2048</v>
      </c>
      <c r="J541" s="3">
        <v>19443</v>
      </c>
      <c r="K541" s="3">
        <v>103646</v>
      </c>
      <c r="L541" s="6" t="s">
        <v>20</v>
      </c>
    </row>
    <row r="542" spans="1:12" x14ac:dyDescent="0.3">
      <c r="A542" s="5" t="s">
        <v>322</v>
      </c>
      <c r="B542" s="3" t="s">
        <v>13</v>
      </c>
      <c r="C542" s="2">
        <v>45919</v>
      </c>
      <c r="D542" s="3" t="s">
        <v>23</v>
      </c>
      <c r="E542" s="3" t="s">
        <v>364</v>
      </c>
      <c r="F542" s="3">
        <v>22128</v>
      </c>
      <c r="G542" s="3">
        <v>1004</v>
      </c>
      <c r="H542" s="3">
        <v>690</v>
      </c>
      <c r="I542" s="3">
        <v>2048</v>
      </c>
      <c r="J542" s="3">
        <v>19443</v>
      </c>
      <c r="K542" s="3">
        <v>103646</v>
      </c>
      <c r="L542" s="6" t="s">
        <v>20</v>
      </c>
    </row>
    <row r="543" spans="1:12" x14ac:dyDescent="0.3">
      <c r="A543" s="5" t="s">
        <v>323</v>
      </c>
      <c r="B543" s="3" t="s">
        <v>22</v>
      </c>
      <c r="C543" s="2">
        <v>45519</v>
      </c>
      <c r="D543" s="3" t="s">
        <v>27</v>
      </c>
      <c r="E543" s="3" t="s">
        <v>359</v>
      </c>
      <c r="F543" s="3">
        <v>14977</v>
      </c>
      <c r="G543" s="3">
        <v>274</v>
      </c>
      <c r="H543" s="3">
        <v>798</v>
      </c>
      <c r="I543" s="3">
        <v>458</v>
      </c>
      <c r="J543" s="3">
        <v>6636</v>
      </c>
      <c r="K543" s="3">
        <v>43654</v>
      </c>
      <c r="L543" s="6" t="s">
        <v>16</v>
      </c>
    </row>
    <row r="544" spans="1:12" x14ac:dyDescent="0.3">
      <c r="A544" s="5" t="s">
        <v>323</v>
      </c>
      <c r="B544" s="3" t="s">
        <v>22</v>
      </c>
      <c r="C544" s="2">
        <v>45519</v>
      </c>
      <c r="D544" s="3" t="s">
        <v>27</v>
      </c>
      <c r="E544" s="3" t="s">
        <v>360</v>
      </c>
      <c r="F544" s="3">
        <v>14977</v>
      </c>
      <c r="G544" s="3">
        <v>274</v>
      </c>
      <c r="H544" s="3">
        <v>798</v>
      </c>
      <c r="I544" s="3">
        <v>458</v>
      </c>
      <c r="J544" s="3">
        <v>6636</v>
      </c>
      <c r="K544" s="3">
        <v>43654</v>
      </c>
      <c r="L544" s="6" t="s">
        <v>16</v>
      </c>
    </row>
    <row r="545" spans="1:12" x14ac:dyDescent="0.3">
      <c r="A545" s="5" t="s">
        <v>324</v>
      </c>
      <c r="B545" s="3" t="s">
        <v>22</v>
      </c>
      <c r="C545" s="2">
        <v>45764</v>
      </c>
      <c r="D545" s="3" t="s">
        <v>23</v>
      </c>
      <c r="E545" s="3" t="s">
        <v>363</v>
      </c>
      <c r="F545" s="3">
        <v>2009</v>
      </c>
      <c r="G545" s="3">
        <v>1037</v>
      </c>
      <c r="H545" s="3">
        <v>344</v>
      </c>
      <c r="I545" s="3">
        <v>2277</v>
      </c>
      <c r="J545" s="3">
        <v>85743</v>
      </c>
      <c r="K545" s="3">
        <v>58743</v>
      </c>
      <c r="L545" s="6" t="s">
        <v>29</v>
      </c>
    </row>
    <row r="546" spans="1:12" x14ac:dyDescent="0.3">
      <c r="A546" s="5" t="s">
        <v>324</v>
      </c>
      <c r="B546" s="3" t="s">
        <v>22</v>
      </c>
      <c r="C546" s="2">
        <v>45764</v>
      </c>
      <c r="D546" s="3" t="s">
        <v>23</v>
      </c>
      <c r="E546" s="3" t="s">
        <v>364</v>
      </c>
      <c r="F546" s="3">
        <v>2009</v>
      </c>
      <c r="G546" s="3">
        <v>1037</v>
      </c>
      <c r="H546" s="3">
        <v>344</v>
      </c>
      <c r="I546" s="3">
        <v>2277</v>
      </c>
      <c r="J546" s="3">
        <v>85743</v>
      </c>
      <c r="K546" s="3">
        <v>58743</v>
      </c>
      <c r="L546" s="6" t="s">
        <v>29</v>
      </c>
    </row>
    <row r="547" spans="1:12" x14ac:dyDescent="0.3">
      <c r="A547" s="5" t="s">
        <v>325</v>
      </c>
      <c r="B547" s="3" t="s">
        <v>22</v>
      </c>
      <c r="C547" s="2">
        <v>45624</v>
      </c>
      <c r="D547" s="3" t="s">
        <v>34</v>
      </c>
      <c r="E547" s="3" t="s">
        <v>361</v>
      </c>
      <c r="F547" s="3">
        <v>18644</v>
      </c>
      <c r="G547" s="3">
        <v>1369</v>
      </c>
      <c r="H547" s="3">
        <v>887</v>
      </c>
      <c r="I547" s="3">
        <v>1256</v>
      </c>
      <c r="J547" s="3">
        <v>43415</v>
      </c>
      <c r="K547" s="3">
        <v>88368</v>
      </c>
      <c r="L547" s="6" t="s">
        <v>25</v>
      </c>
    </row>
    <row r="548" spans="1:12" x14ac:dyDescent="0.3">
      <c r="A548" s="5" t="s">
        <v>325</v>
      </c>
      <c r="B548" s="3" t="s">
        <v>22</v>
      </c>
      <c r="C548" s="2">
        <v>45624</v>
      </c>
      <c r="D548" s="3" t="s">
        <v>34</v>
      </c>
      <c r="E548" s="3" t="s">
        <v>362</v>
      </c>
      <c r="F548" s="3">
        <v>18644</v>
      </c>
      <c r="G548" s="3">
        <v>1369</v>
      </c>
      <c r="H548" s="3">
        <v>887</v>
      </c>
      <c r="I548" s="3">
        <v>1256</v>
      </c>
      <c r="J548" s="3">
        <v>43415</v>
      </c>
      <c r="K548" s="3">
        <v>88368</v>
      </c>
      <c r="L548" s="6" t="s">
        <v>25</v>
      </c>
    </row>
    <row r="549" spans="1:12" x14ac:dyDescent="0.3">
      <c r="A549" s="5" t="s">
        <v>326</v>
      </c>
      <c r="B549" s="3" t="s">
        <v>18</v>
      </c>
      <c r="C549" s="2">
        <v>45920</v>
      </c>
      <c r="D549" s="3" t="s">
        <v>14</v>
      </c>
      <c r="E549" s="3" t="s">
        <v>32</v>
      </c>
      <c r="F549" s="3">
        <v>24422</v>
      </c>
      <c r="G549" s="3">
        <v>327</v>
      </c>
      <c r="H549" s="3">
        <v>481</v>
      </c>
      <c r="I549" s="3">
        <v>2371</v>
      </c>
      <c r="J549" s="3">
        <v>35340</v>
      </c>
      <c r="K549" s="3">
        <v>245244</v>
      </c>
      <c r="L549" s="6" t="s">
        <v>20</v>
      </c>
    </row>
    <row r="550" spans="1:12" x14ac:dyDescent="0.3">
      <c r="A550" s="5" t="s">
        <v>327</v>
      </c>
      <c r="B550" s="3" t="s">
        <v>22</v>
      </c>
      <c r="C550" s="2">
        <v>45602</v>
      </c>
      <c r="D550" s="3" t="s">
        <v>14</v>
      </c>
      <c r="E550" s="3" t="s">
        <v>361</v>
      </c>
      <c r="F550" s="3">
        <v>11865</v>
      </c>
      <c r="G550" s="3">
        <v>241</v>
      </c>
      <c r="H550" s="3">
        <v>319</v>
      </c>
      <c r="I550" s="3">
        <v>703</v>
      </c>
      <c r="J550" s="3">
        <v>69596</v>
      </c>
      <c r="K550" s="3">
        <v>177513</v>
      </c>
      <c r="L550" s="6" t="s">
        <v>29</v>
      </c>
    </row>
    <row r="551" spans="1:12" x14ac:dyDescent="0.3">
      <c r="A551" s="5" t="s">
        <v>327</v>
      </c>
      <c r="B551" s="3" t="s">
        <v>22</v>
      </c>
      <c r="C551" s="2">
        <v>45602</v>
      </c>
      <c r="D551" s="3" t="s">
        <v>14</v>
      </c>
      <c r="E551" s="3" t="s">
        <v>362</v>
      </c>
      <c r="F551" s="3">
        <v>11865</v>
      </c>
      <c r="G551" s="3">
        <v>241</v>
      </c>
      <c r="H551" s="3">
        <v>319</v>
      </c>
      <c r="I551" s="3">
        <v>703</v>
      </c>
      <c r="J551" s="3">
        <v>69596</v>
      </c>
      <c r="K551" s="3">
        <v>177513</v>
      </c>
      <c r="L551" s="6" t="s">
        <v>29</v>
      </c>
    </row>
    <row r="552" spans="1:12" x14ac:dyDescent="0.3">
      <c r="A552" s="5" t="s">
        <v>328</v>
      </c>
      <c r="B552" s="3" t="s">
        <v>13</v>
      </c>
      <c r="C552" s="2">
        <v>45613</v>
      </c>
      <c r="D552" s="3" t="s">
        <v>34</v>
      </c>
      <c r="E552" s="3" t="s">
        <v>361</v>
      </c>
      <c r="F552" s="3">
        <v>4219</v>
      </c>
      <c r="G552" s="3">
        <v>240</v>
      </c>
      <c r="H552" s="3">
        <v>670</v>
      </c>
      <c r="I552" s="3">
        <v>815</v>
      </c>
      <c r="J552" s="3">
        <v>11978</v>
      </c>
      <c r="K552" s="3">
        <v>159735</v>
      </c>
      <c r="L552" s="6" t="s">
        <v>29</v>
      </c>
    </row>
    <row r="553" spans="1:12" x14ac:dyDescent="0.3">
      <c r="A553" s="5" t="s">
        <v>328</v>
      </c>
      <c r="B553" s="3" t="s">
        <v>13</v>
      </c>
      <c r="C553" s="2">
        <v>45613</v>
      </c>
      <c r="D553" s="3" t="s">
        <v>34</v>
      </c>
      <c r="E553" s="3" t="s">
        <v>362</v>
      </c>
      <c r="F553" s="3">
        <v>4219</v>
      </c>
      <c r="G553" s="3">
        <v>240</v>
      </c>
      <c r="H553" s="3">
        <v>670</v>
      </c>
      <c r="I553" s="3">
        <v>815</v>
      </c>
      <c r="J553" s="3">
        <v>11978</v>
      </c>
      <c r="K553" s="3">
        <v>159735</v>
      </c>
      <c r="L553" s="6" t="s">
        <v>29</v>
      </c>
    </row>
    <row r="554" spans="1:12" x14ac:dyDescent="0.3">
      <c r="A554" s="5" t="s">
        <v>329</v>
      </c>
      <c r="B554" s="3" t="s">
        <v>22</v>
      </c>
      <c r="C554" s="2">
        <v>45791</v>
      </c>
      <c r="D554" s="3" t="s">
        <v>14</v>
      </c>
      <c r="E554" s="3" t="s">
        <v>359</v>
      </c>
      <c r="F554" s="3">
        <v>9041</v>
      </c>
      <c r="G554" s="3">
        <v>1133</v>
      </c>
      <c r="H554" s="3">
        <v>612</v>
      </c>
      <c r="I554" s="3">
        <v>1687</v>
      </c>
      <c r="J554" s="3">
        <v>28102</v>
      </c>
      <c r="K554" s="3">
        <v>195683</v>
      </c>
      <c r="L554" s="6" t="s">
        <v>29</v>
      </c>
    </row>
    <row r="555" spans="1:12" x14ac:dyDescent="0.3">
      <c r="A555" s="5" t="s">
        <v>329</v>
      </c>
      <c r="B555" s="3" t="s">
        <v>22</v>
      </c>
      <c r="C555" s="2">
        <v>45791</v>
      </c>
      <c r="D555" s="3" t="s">
        <v>14</v>
      </c>
      <c r="E555" s="3" t="s">
        <v>366</v>
      </c>
      <c r="F555" s="3">
        <v>9041</v>
      </c>
      <c r="G555" s="3">
        <v>1133</v>
      </c>
      <c r="H555" s="3">
        <v>612</v>
      </c>
      <c r="I555" s="3">
        <v>1687</v>
      </c>
      <c r="J555" s="3">
        <v>28102</v>
      </c>
      <c r="K555" s="3">
        <v>195683</v>
      </c>
      <c r="L555" s="6" t="s">
        <v>29</v>
      </c>
    </row>
    <row r="556" spans="1:12" x14ac:dyDescent="0.3">
      <c r="A556" s="5" t="s">
        <v>330</v>
      </c>
      <c r="B556" s="3" t="s">
        <v>40</v>
      </c>
      <c r="C556" s="2">
        <v>45462</v>
      </c>
      <c r="D556" s="3" t="s">
        <v>34</v>
      </c>
      <c r="E556" s="3" t="s">
        <v>367</v>
      </c>
      <c r="F556" s="3">
        <v>20444</v>
      </c>
      <c r="G556" s="3">
        <v>233</v>
      </c>
      <c r="H556" s="3">
        <v>189</v>
      </c>
      <c r="I556" s="3">
        <v>2879</v>
      </c>
      <c r="J556" s="3">
        <v>28185</v>
      </c>
      <c r="K556" s="3">
        <v>159891</v>
      </c>
      <c r="L556" s="6" t="s">
        <v>29</v>
      </c>
    </row>
    <row r="557" spans="1:12" x14ac:dyDescent="0.3">
      <c r="A557" s="5" t="s">
        <v>330</v>
      </c>
      <c r="B557" s="3" t="s">
        <v>40</v>
      </c>
      <c r="C557" s="2">
        <v>45462</v>
      </c>
      <c r="D557" s="3" t="s">
        <v>34</v>
      </c>
      <c r="E557" s="3" t="s">
        <v>32</v>
      </c>
      <c r="F557" s="3">
        <v>20444</v>
      </c>
      <c r="G557" s="3">
        <v>233</v>
      </c>
      <c r="H557" s="3">
        <v>189</v>
      </c>
      <c r="I557" s="3">
        <v>2879</v>
      </c>
      <c r="J557" s="3">
        <v>28185</v>
      </c>
      <c r="K557" s="3">
        <v>159891</v>
      </c>
      <c r="L557" s="6" t="s">
        <v>29</v>
      </c>
    </row>
    <row r="558" spans="1:12" x14ac:dyDescent="0.3">
      <c r="A558" s="5" t="s">
        <v>331</v>
      </c>
      <c r="B558" s="3" t="s">
        <v>40</v>
      </c>
      <c r="C558" s="2">
        <v>45783</v>
      </c>
      <c r="D558" s="3" t="s">
        <v>34</v>
      </c>
      <c r="E558" s="3" t="s">
        <v>353</v>
      </c>
      <c r="F558" s="3">
        <v>7287</v>
      </c>
      <c r="G558" s="3">
        <v>1240</v>
      </c>
      <c r="H558" s="3">
        <v>686</v>
      </c>
      <c r="I558" s="3">
        <v>1255</v>
      </c>
      <c r="J558" s="3">
        <v>15403</v>
      </c>
      <c r="K558" s="3">
        <v>147971</v>
      </c>
      <c r="L558" s="6" t="s">
        <v>16</v>
      </c>
    </row>
    <row r="559" spans="1:12" x14ac:dyDescent="0.3">
      <c r="A559" s="5" t="s">
        <v>331</v>
      </c>
      <c r="B559" s="3" t="s">
        <v>40</v>
      </c>
      <c r="C559" s="2">
        <v>45783</v>
      </c>
      <c r="D559" s="3" t="s">
        <v>34</v>
      </c>
      <c r="E559" s="3" t="s">
        <v>354</v>
      </c>
      <c r="F559" s="3">
        <v>7287</v>
      </c>
      <c r="G559" s="3">
        <v>1240</v>
      </c>
      <c r="H559" s="3">
        <v>686</v>
      </c>
      <c r="I559" s="3">
        <v>1255</v>
      </c>
      <c r="J559" s="3">
        <v>15403</v>
      </c>
      <c r="K559" s="3">
        <v>147971</v>
      </c>
      <c r="L559" s="6" t="s">
        <v>16</v>
      </c>
    </row>
    <row r="560" spans="1:12" x14ac:dyDescent="0.3">
      <c r="A560" s="5" t="s">
        <v>332</v>
      </c>
      <c r="B560" s="3" t="s">
        <v>18</v>
      </c>
      <c r="C560" s="2">
        <v>45699</v>
      </c>
      <c r="D560" s="3" t="s">
        <v>34</v>
      </c>
      <c r="E560" s="3" t="s">
        <v>368</v>
      </c>
      <c r="F560" s="3">
        <v>3619</v>
      </c>
      <c r="G560" s="3">
        <v>1376</v>
      </c>
      <c r="H560" s="3">
        <v>410</v>
      </c>
      <c r="I560" s="3">
        <v>2499</v>
      </c>
      <c r="J560" s="3">
        <v>58146</v>
      </c>
      <c r="K560" s="3">
        <v>52149</v>
      </c>
      <c r="L560" s="6" t="s">
        <v>16</v>
      </c>
    </row>
    <row r="561" spans="1:12" x14ac:dyDescent="0.3">
      <c r="A561" s="5" t="s">
        <v>332</v>
      </c>
      <c r="B561" s="3" t="s">
        <v>18</v>
      </c>
      <c r="C561" s="2">
        <v>45699</v>
      </c>
      <c r="D561" s="3" t="s">
        <v>34</v>
      </c>
      <c r="E561" s="3" t="s">
        <v>369</v>
      </c>
      <c r="F561" s="3">
        <v>3619</v>
      </c>
      <c r="G561" s="3">
        <v>1376</v>
      </c>
      <c r="H561" s="3">
        <v>410</v>
      </c>
      <c r="I561" s="3">
        <v>2499</v>
      </c>
      <c r="J561" s="3">
        <v>58146</v>
      </c>
      <c r="K561" s="3">
        <v>52149</v>
      </c>
      <c r="L561" s="6" t="s">
        <v>16</v>
      </c>
    </row>
    <row r="562" spans="1:12" x14ac:dyDescent="0.3">
      <c r="A562" s="5" t="s">
        <v>333</v>
      </c>
      <c r="B562" s="3" t="s">
        <v>40</v>
      </c>
      <c r="C562" s="2">
        <v>45650</v>
      </c>
      <c r="D562" s="3" t="s">
        <v>14</v>
      </c>
      <c r="E562" s="3" t="s">
        <v>64</v>
      </c>
      <c r="F562" s="3">
        <v>10512</v>
      </c>
      <c r="G562" s="3">
        <v>1197</v>
      </c>
      <c r="H562" s="3">
        <v>544</v>
      </c>
      <c r="I562" s="3">
        <v>2012</v>
      </c>
      <c r="J562" s="3">
        <v>10245</v>
      </c>
      <c r="K562" s="3">
        <v>140102</v>
      </c>
      <c r="L562" s="6" t="s">
        <v>16</v>
      </c>
    </row>
    <row r="563" spans="1:12" x14ac:dyDescent="0.3">
      <c r="A563" s="5" t="s">
        <v>334</v>
      </c>
      <c r="B563" s="3" t="s">
        <v>13</v>
      </c>
      <c r="C563" s="2">
        <v>45924</v>
      </c>
      <c r="D563" s="3" t="s">
        <v>23</v>
      </c>
      <c r="E563" s="3" t="s">
        <v>365</v>
      </c>
      <c r="F563" s="3">
        <v>3342</v>
      </c>
      <c r="G563" s="3">
        <v>787</v>
      </c>
      <c r="H563" s="3">
        <v>375</v>
      </c>
      <c r="I563" s="3">
        <v>907</v>
      </c>
      <c r="J563" s="3">
        <v>85823</v>
      </c>
      <c r="K563" s="3">
        <v>99189</v>
      </c>
      <c r="L563" s="6" t="s">
        <v>20</v>
      </c>
    </row>
    <row r="564" spans="1:12" x14ac:dyDescent="0.3">
      <c r="A564" s="5" t="s">
        <v>334</v>
      </c>
      <c r="B564" s="3" t="s">
        <v>13</v>
      </c>
      <c r="C564" s="2">
        <v>45924</v>
      </c>
      <c r="D564" s="3" t="s">
        <v>23</v>
      </c>
      <c r="E564" s="3" t="s">
        <v>359</v>
      </c>
      <c r="F564" s="3">
        <v>3342</v>
      </c>
      <c r="G564" s="3">
        <v>787</v>
      </c>
      <c r="H564" s="3">
        <v>375</v>
      </c>
      <c r="I564" s="3">
        <v>907</v>
      </c>
      <c r="J564" s="3">
        <v>85823</v>
      </c>
      <c r="K564" s="3">
        <v>99189</v>
      </c>
      <c r="L564" s="6" t="s">
        <v>20</v>
      </c>
    </row>
    <row r="565" spans="1:12" x14ac:dyDescent="0.3">
      <c r="A565" s="5" t="s">
        <v>335</v>
      </c>
      <c r="B565" s="3" t="s">
        <v>22</v>
      </c>
      <c r="C565" s="2">
        <v>45925</v>
      </c>
      <c r="D565" s="3" t="s">
        <v>34</v>
      </c>
      <c r="E565" s="3" t="s">
        <v>367</v>
      </c>
      <c r="F565" s="3">
        <v>12568</v>
      </c>
      <c r="G565" s="3">
        <v>541</v>
      </c>
      <c r="H565" s="3">
        <v>273</v>
      </c>
      <c r="I565" s="3">
        <v>2767</v>
      </c>
      <c r="J565" s="3">
        <v>22331</v>
      </c>
      <c r="K565" s="3">
        <v>192747</v>
      </c>
      <c r="L565" s="6" t="s">
        <v>20</v>
      </c>
    </row>
    <row r="566" spans="1:12" x14ac:dyDescent="0.3">
      <c r="A566" s="5" t="s">
        <v>335</v>
      </c>
      <c r="B566" s="3" t="s">
        <v>22</v>
      </c>
      <c r="C566" s="2">
        <v>45925</v>
      </c>
      <c r="D566" s="3" t="s">
        <v>34</v>
      </c>
      <c r="E566" s="3" t="s">
        <v>32</v>
      </c>
      <c r="F566" s="3">
        <v>12568</v>
      </c>
      <c r="G566" s="3">
        <v>541</v>
      </c>
      <c r="H566" s="3">
        <v>273</v>
      </c>
      <c r="I566" s="3">
        <v>2767</v>
      </c>
      <c r="J566" s="3">
        <v>22331</v>
      </c>
      <c r="K566" s="3">
        <v>192747</v>
      </c>
      <c r="L566" s="6" t="s">
        <v>20</v>
      </c>
    </row>
    <row r="567" spans="1:12" x14ac:dyDescent="0.3">
      <c r="A567" s="5" t="s">
        <v>336</v>
      </c>
      <c r="B567" s="3" t="s">
        <v>18</v>
      </c>
      <c r="C567" s="2">
        <v>45926</v>
      </c>
      <c r="D567" s="3" t="s">
        <v>27</v>
      </c>
      <c r="E567" s="3" t="s">
        <v>365</v>
      </c>
      <c r="F567" s="3">
        <v>21216</v>
      </c>
      <c r="G567" s="3">
        <v>226</v>
      </c>
      <c r="H567" s="3">
        <v>187</v>
      </c>
      <c r="I567" s="3">
        <v>1573</v>
      </c>
      <c r="J567" s="3">
        <v>62688</v>
      </c>
      <c r="K567" s="3">
        <v>111031</v>
      </c>
      <c r="L567" s="6" t="s">
        <v>20</v>
      </c>
    </row>
    <row r="568" spans="1:12" x14ac:dyDescent="0.3">
      <c r="A568" s="7" t="s">
        <v>336</v>
      </c>
      <c r="B568" s="9" t="s">
        <v>18</v>
      </c>
      <c r="C568" s="8">
        <v>45926</v>
      </c>
      <c r="D568" s="9" t="s">
        <v>27</v>
      </c>
      <c r="E568" s="9" t="s">
        <v>359</v>
      </c>
      <c r="F568" s="9">
        <v>21216</v>
      </c>
      <c r="G568" s="9">
        <v>226</v>
      </c>
      <c r="H568" s="9">
        <v>187</v>
      </c>
      <c r="I568" s="9">
        <v>1573</v>
      </c>
      <c r="J568" s="9">
        <v>62688</v>
      </c>
      <c r="K568" s="9">
        <v>111031</v>
      </c>
      <c r="L568" s="10" t="s">
        <v>20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85716-4F0B-4BF5-A4F8-58AAD0078079}">
  <dimension ref="A1:AI302"/>
  <sheetViews>
    <sheetView topLeftCell="G1" zoomScale="106" zoomScaleNormal="99" workbookViewId="0">
      <selection activeCell="L7" sqref="L7"/>
    </sheetView>
  </sheetViews>
  <sheetFormatPr defaultRowHeight="14.4" x14ac:dyDescent="0.3"/>
  <cols>
    <col min="1" max="1" width="14.88671875" style="16" bestFit="1" customWidth="1"/>
    <col min="2" max="2" width="16.77734375" style="16" bestFit="1" customWidth="1"/>
    <col min="3" max="3" width="12.88671875" style="18" bestFit="1" customWidth="1"/>
    <col min="4" max="4" width="21" style="16" bestFit="1" customWidth="1"/>
    <col min="5" max="5" width="39" style="16" bestFit="1" customWidth="1"/>
    <col min="6" max="6" width="13.77734375" style="16" bestFit="1" customWidth="1"/>
    <col min="7" max="7" width="15.44140625" style="16" bestFit="1" customWidth="1"/>
    <col min="8" max="8" width="19" style="16" bestFit="1" customWidth="1"/>
    <col min="9" max="9" width="14.5546875" style="16" bestFit="1" customWidth="1"/>
    <col min="10" max="10" width="14.77734375" style="16" bestFit="1" customWidth="1"/>
    <col min="11" max="11" width="20.44140625" style="16" bestFit="1" customWidth="1"/>
    <col min="12" max="12" width="31.77734375" style="16" bestFit="1" customWidth="1"/>
    <col min="13" max="13" width="26" style="16" bestFit="1" customWidth="1"/>
    <col min="14" max="17" width="8.88671875" style="16"/>
    <col min="18" max="18" width="48.109375" style="16" bestFit="1" customWidth="1"/>
    <col min="19" max="19" width="4.77734375" style="16" bestFit="1" customWidth="1"/>
    <col min="20" max="20" width="6" style="16" bestFit="1" customWidth="1"/>
    <col min="21" max="21" width="8.109375" style="16" bestFit="1" customWidth="1"/>
    <col min="22" max="22" width="159.5546875" style="16" bestFit="1" customWidth="1"/>
    <col min="23" max="23" width="6" style="16" bestFit="1" customWidth="1"/>
    <col min="24" max="24" width="5" style="16" bestFit="1" customWidth="1"/>
    <col min="25" max="25" width="4" style="16" bestFit="1" customWidth="1"/>
    <col min="26" max="26" width="5" style="16" bestFit="1" customWidth="1"/>
    <col min="27" max="28" width="6" style="16" bestFit="1" customWidth="1"/>
    <col min="29" max="29" width="26" style="16" bestFit="1" customWidth="1"/>
    <col min="30" max="30" width="12" style="16" bestFit="1" customWidth="1"/>
    <col min="31" max="16384" width="8.88671875" style="16"/>
  </cols>
  <sheetData>
    <row r="1" spans="1:35" ht="17.399999999999999" x14ac:dyDescent="0.45">
      <c r="A1" s="14" t="s">
        <v>0</v>
      </c>
      <c r="B1" s="14" t="s">
        <v>1</v>
      </c>
      <c r="C1" s="17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375</v>
      </c>
      <c r="R1" s="19" t="s">
        <v>377</v>
      </c>
      <c r="V1" s="24" t="s">
        <v>379</v>
      </c>
    </row>
    <row r="2" spans="1:35" x14ac:dyDescent="0.3">
      <c r="A2" s="3" t="s">
        <v>118</v>
      </c>
      <c r="B2" s="3" t="s">
        <v>18</v>
      </c>
      <c r="C2" s="2">
        <v>45497</v>
      </c>
      <c r="D2" s="3" t="s">
        <v>27</v>
      </c>
      <c r="E2" s="3" t="s">
        <v>35</v>
      </c>
      <c r="F2" s="3">
        <v>22914</v>
      </c>
      <c r="G2" s="3">
        <v>954</v>
      </c>
      <c r="H2" s="3">
        <v>584</v>
      </c>
      <c r="I2" s="3">
        <v>1519</v>
      </c>
      <c r="J2" s="3">
        <v>13637</v>
      </c>
      <c r="K2" s="3">
        <v>49847</v>
      </c>
      <c r="L2" s="3" t="s">
        <v>16</v>
      </c>
      <c r="M2" s="4">
        <f>(Table1_30[[#This Row],[Likes]]+Table1_30[[#This Row],[Shares]]+Table1_30[[#This Row],[Comments]])/Table1_30[[#This Row],[Impressions]]</f>
        <v>0.49054105563022848</v>
      </c>
    </row>
    <row r="3" spans="1:35" x14ac:dyDescent="0.3">
      <c r="A3" s="3" t="s">
        <v>237</v>
      </c>
      <c r="B3" s="3" t="s">
        <v>13</v>
      </c>
      <c r="C3" s="2">
        <v>45672</v>
      </c>
      <c r="D3" s="3" t="s">
        <v>23</v>
      </c>
      <c r="E3" s="3" t="s">
        <v>32</v>
      </c>
      <c r="F3" s="3">
        <v>20360</v>
      </c>
      <c r="G3" s="3">
        <v>254</v>
      </c>
      <c r="H3" s="3">
        <v>726</v>
      </c>
      <c r="I3" s="3">
        <v>1995</v>
      </c>
      <c r="J3" s="3">
        <v>14280</v>
      </c>
      <c r="K3" s="3">
        <v>43726</v>
      </c>
      <c r="L3" s="3" t="s">
        <v>29</v>
      </c>
      <c r="M3" s="4">
        <f>(Table1_30[[#This Row],[Likes]]+Table1_30[[#This Row],[Shares]]+Table1_30[[#This Row],[Comments]])/Table1_30[[#This Row],[Impressions]]</f>
        <v>0.48803915290673738</v>
      </c>
      <c r="R3" s="22" t="s">
        <v>22</v>
      </c>
      <c r="S3" s="23">
        <f>AVERAGEIF(Table1_30[Platform],R3,Table1_30[Engagement Rate])</f>
        <v>0.1177713560163894</v>
      </c>
      <c r="V3" s="16" t="s">
        <v>380</v>
      </c>
    </row>
    <row r="4" spans="1:35" x14ac:dyDescent="0.3">
      <c r="A4" s="3" t="s">
        <v>157</v>
      </c>
      <c r="B4" s="3" t="s">
        <v>18</v>
      </c>
      <c r="C4" s="2">
        <v>45502</v>
      </c>
      <c r="D4" s="3" t="s">
        <v>27</v>
      </c>
      <c r="E4" s="3" t="s">
        <v>15</v>
      </c>
      <c r="F4" s="3">
        <v>19144</v>
      </c>
      <c r="G4" s="3">
        <v>1182</v>
      </c>
      <c r="H4" s="3">
        <v>860</v>
      </c>
      <c r="I4" s="3">
        <v>1398</v>
      </c>
      <c r="J4" s="3">
        <v>4185</v>
      </c>
      <c r="K4" s="3">
        <v>46570</v>
      </c>
      <c r="L4" s="3" t="s">
        <v>16</v>
      </c>
      <c r="M4" s="4">
        <f>(Table1_30[[#This Row],[Likes]]+Table1_30[[#This Row],[Shares]]+Table1_30[[#This Row],[Comments]])/Table1_30[[#This Row],[Impressions]]</f>
        <v>0.454928065278076</v>
      </c>
      <c r="R4" s="22" t="s">
        <v>18</v>
      </c>
      <c r="S4" s="23">
        <f>AVERAGEIF(Table1_30[Platform],R4,Table1_30[Engagement Rate])</f>
        <v>0.12413746843755114</v>
      </c>
    </row>
    <row r="5" spans="1:35" x14ac:dyDescent="0.3">
      <c r="A5" s="3" t="s">
        <v>163</v>
      </c>
      <c r="B5" s="3" t="s">
        <v>40</v>
      </c>
      <c r="C5" s="2">
        <v>45684</v>
      </c>
      <c r="D5" s="3" t="s">
        <v>14</v>
      </c>
      <c r="E5" s="3" t="s">
        <v>50</v>
      </c>
      <c r="F5" s="3">
        <v>24415</v>
      </c>
      <c r="G5" s="3">
        <v>860</v>
      </c>
      <c r="H5" s="3">
        <v>931</v>
      </c>
      <c r="I5" s="3">
        <v>320</v>
      </c>
      <c r="J5" s="3">
        <v>65049</v>
      </c>
      <c r="K5" s="3">
        <v>62911</v>
      </c>
      <c r="L5" s="3" t="s">
        <v>16</v>
      </c>
      <c r="M5" s="4">
        <f>(Table1_30[[#This Row],[Likes]]+Table1_30[[#This Row],[Shares]]+Table1_30[[#This Row],[Comments]])/Table1_30[[#This Row],[Impressions]]</f>
        <v>0.41655672298962027</v>
      </c>
      <c r="R5" s="22" t="s">
        <v>40</v>
      </c>
      <c r="S5" s="23">
        <f>AVERAGEIF(Table1_30[Platform],R5,Table1_30[Engagement Rate])</f>
        <v>0.13887772583296507</v>
      </c>
    </row>
    <row r="6" spans="1:35" x14ac:dyDescent="0.3">
      <c r="A6" s="3" t="s">
        <v>44</v>
      </c>
      <c r="B6" s="3" t="s">
        <v>13</v>
      </c>
      <c r="C6" s="2">
        <v>45614</v>
      </c>
      <c r="D6" s="3" t="s">
        <v>34</v>
      </c>
      <c r="E6" s="3" t="s">
        <v>35</v>
      </c>
      <c r="F6" s="3">
        <v>21255</v>
      </c>
      <c r="G6" s="3">
        <v>1452</v>
      </c>
      <c r="H6" s="3">
        <v>625</v>
      </c>
      <c r="I6" s="3">
        <v>1624</v>
      </c>
      <c r="J6" s="3">
        <v>21282</v>
      </c>
      <c r="K6" s="3">
        <v>57778</v>
      </c>
      <c r="L6" s="3" t="s">
        <v>45</v>
      </c>
      <c r="M6" s="4">
        <f>(Table1_30[[#This Row],[Likes]]+Table1_30[[#This Row],[Shares]]+Table1_30[[#This Row],[Comments]])/Table1_30[[#This Row],[Impressions]]</f>
        <v>0.40382152376337016</v>
      </c>
      <c r="R6" s="22" t="s">
        <v>376</v>
      </c>
      <c r="S6" s="23">
        <f>AVERAGEIF(Table1_30[Platform],R6,Table1_30[Engagement Rate])</f>
        <v>0.1121882803999053</v>
      </c>
    </row>
    <row r="7" spans="1:35" x14ac:dyDescent="0.3">
      <c r="A7" s="3" t="s">
        <v>159</v>
      </c>
      <c r="B7" s="3" t="s">
        <v>40</v>
      </c>
      <c r="C7" s="2">
        <v>45457</v>
      </c>
      <c r="D7" s="3" t="s">
        <v>27</v>
      </c>
      <c r="E7" s="3" t="s">
        <v>50</v>
      </c>
      <c r="F7" s="3">
        <v>17183</v>
      </c>
      <c r="G7" s="3">
        <v>1224</v>
      </c>
      <c r="H7" s="3">
        <v>943</v>
      </c>
      <c r="I7" s="3">
        <v>2010</v>
      </c>
      <c r="J7" s="3">
        <v>21481</v>
      </c>
      <c r="K7" s="3">
        <v>49110</v>
      </c>
      <c r="L7" s="3" t="s">
        <v>25</v>
      </c>
      <c r="M7" s="4">
        <f>(Table1_30[[#This Row],[Likes]]+Table1_30[[#This Row],[Shares]]+Table1_30[[#This Row],[Comments]])/Table1_30[[#This Row],[Impressions]]</f>
        <v>0.39401343921808185</v>
      </c>
    </row>
    <row r="8" spans="1:35" x14ac:dyDescent="0.3">
      <c r="A8" s="3" t="s">
        <v>323</v>
      </c>
      <c r="B8" s="3" t="s">
        <v>22</v>
      </c>
      <c r="C8" s="2">
        <v>45519</v>
      </c>
      <c r="D8" s="3" t="s">
        <v>27</v>
      </c>
      <c r="E8" s="3" t="s">
        <v>28</v>
      </c>
      <c r="F8" s="3">
        <v>14977</v>
      </c>
      <c r="G8" s="3">
        <v>274</v>
      </c>
      <c r="H8" s="3">
        <v>798</v>
      </c>
      <c r="I8" s="3">
        <v>458</v>
      </c>
      <c r="J8" s="3">
        <v>6636</v>
      </c>
      <c r="K8" s="3">
        <v>43654</v>
      </c>
      <c r="L8" s="3" t="s">
        <v>16</v>
      </c>
      <c r="M8" s="4">
        <f>(Table1_30[[#This Row],[Likes]]+Table1_30[[#This Row],[Shares]]+Table1_30[[#This Row],[Comments]])/Table1_30[[#This Row],[Impressions]]</f>
        <v>0.36764099509781462</v>
      </c>
    </row>
    <row r="9" spans="1:35" x14ac:dyDescent="0.3">
      <c r="A9" s="3" t="s">
        <v>262</v>
      </c>
      <c r="B9" s="3" t="s">
        <v>40</v>
      </c>
      <c r="C9" s="2">
        <v>45908</v>
      </c>
      <c r="D9" s="3" t="s">
        <v>23</v>
      </c>
      <c r="E9" s="3" t="s">
        <v>37</v>
      </c>
      <c r="F9" s="3">
        <v>23785</v>
      </c>
      <c r="G9" s="3">
        <v>1013</v>
      </c>
      <c r="H9" s="3">
        <v>468</v>
      </c>
      <c r="I9" s="3">
        <v>1628</v>
      </c>
      <c r="J9" s="3">
        <v>8272</v>
      </c>
      <c r="K9" s="3">
        <v>71348</v>
      </c>
      <c r="L9" s="3" t="s">
        <v>20</v>
      </c>
      <c r="M9" s="4">
        <f>(Table1_30[[#This Row],[Likes]]+Table1_30[[#This Row],[Shares]]+Table1_30[[#This Row],[Comments]])/Table1_30[[#This Row],[Impressions]]</f>
        <v>0.35412345125301342</v>
      </c>
      <c r="R9" s="19" t="s">
        <v>378</v>
      </c>
      <c r="V9" s="24" t="s">
        <v>381</v>
      </c>
    </row>
    <row r="10" spans="1:35" x14ac:dyDescent="0.3">
      <c r="A10" s="3" t="s">
        <v>267</v>
      </c>
      <c r="B10" s="3" t="s">
        <v>40</v>
      </c>
      <c r="C10" s="2">
        <v>45909</v>
      </c>
      <c r="D10" s="3" t="s">
        <v>14</v>
      </c>
      <c r="E10" s="3" t="s">
        <v>35</v>
      </c>
      <c r="F10" s="3">
        <v>19260</v>
      </c>
      <c r="G10" s="3">
        <v>668</v>
      </c>
      <c r="H10" s="3">
        <v>994</v>
      </c>
      <c r="I10" s="3">
        <v>934</v>
      </c>
      <c r="J10" s="3">
        <v>20509</v>
      </c>
      <c r="K10" s="3">
        <v>61636</v>
      </c>
      <c r="L10" s="3" t="s">
        <v>20</v>
      </c>
      <c r="M10" s="4">
        <f>(Table1_30[[#This Row],[Likes]]+Table1_30[[#This Row],[Shares]]+Table1_30[[#This Row],[Comments]])/Table1_30[[#This Row],[Impressions]]</f>
        <v>0.33944448049841003</v>
      </c>
    </row>
    <row r="11" spans="1:35" x14ac:dyDescent="0.3">
      <c r="A11" s="3" t="s">
        <v>221</v>
      </c>
      <c r="B11" s="3" t="s">
        <v>22</v>
      </c>
      <c r="C11" s="2">
        <v>45668</v>
      </c>
      <c r="D11" s="3" t="s">
        <v>14</v>
      </c>
      <c r="E11" s="3" t="s">
        <v>19</v>
      </c>
      <c r="F11" s="3">
        <v>21181</v>
      </c>
      <c r="G11" s="3">
        <v>1242</v>
      </c>
      <c r="H11" s="3">
        <v>963</v>
      </c>
      <c r="I11" s="3">
        <v>1689</v>
      </c>
      <c r="J11" s="3">
        <v>49329</v>
      </c>
      <c r="K11" s="3">
        <v>69165</v>
      </c>
      <c r="L11" s="3" t="s">
        <v>16</v>
      </c>
      <c r="M11" s="4">
        <f>(Table1_30[[#This Row],[Likes]]+Table1_30[[#This Row],[Shares]]+Table1_30[[#This Row],[Comments]])/Table1_30[[#This Row],[Impressions]]</f>
        <v>0.33811899081905589</v>
      </c>
      <c r="R11" s="22" t="s">
        <v>118</v>
      </c>
      <c r="S11" s="21"/>
      <c r="T11"/>
      <c r="U11"/>
      <c r="V11" t="s">
        <v>382</v>
      </c>
      <c r="W11"/>
      <c r="X11"/>
      <c r="Y11"/>
      <c r="Z11"/>
      <c r="AA11"/>
      <c r="AB11"/>
      <c r="AC11"/>
      <c r="AD11" s="20"/>
      <c r="AE11"/>
      <c r="AF11"/>
      <c r="AG11"/>
      <c r="AH11"/>
      <c r="AI11"/>
    </row>
    <row r="12" spans="1:35" x14ac:dyDescent="0.3">
      <c r="A12" s="3" t="s">
        <v>142</v>
      </c>
      <c r="B12" s="3" t="s">
        <v>40</v>
      </c>
      <c r="C12" s="2">
        <v>45692</v>
      </c>
      <c r="D12" s="3" t="s">
        <v>34</v>
      </c>
      <c r="E12" s="3" t="s">
        <v>37</v>
      </c>
      <c r="F12" s="3">
        <v>23833</v>
      </c>
      <c r="G12" s="3">
        <v>555</v>
      </c>
      <c r="H12" s="3">
        <v>523</v>
      </c>
      <c r="I12" s="3">
        <v>1330</v>
      </c>
      <c r="J12" s="3">
        <v>69141</v>
      </c>
      <c r="K12" s="3">
        <v>73997</v>
      </c>
      <c r="L12" s="3" t="s">
        <v>29</v>
      </c>
      <c r="M12" s="4">
        <f>(Table1_30[[#This Row],[Likes]]+Table1_30[[#This Row],[Shares]]+Table1_30[[#This Row],[Comments]])/Table1_30[[#This Row],[Impressions]]</f>
        <v>0.33664878305877266</v>
      </c>
      <c r="R12" s="22" t="s">
        <v>237</v>
      </c>
      <c r="S12"/>
      <c r="T12"/>
      <c r="U12"/>
      <c r="V12"/>
      <c r="W12"/>
      <c r="X12"/>
      <c r="Y12"/>
      <c r="Z12"/>
      <c r="AA12"/>
      <c r="AB12"/>
      <c r="AC12"/>
      <c r="AD12" s="20"/>
      <c r="AE12"/>
      <c r="AF12"/>
      <c r="AG12"/>
      <c r="AH12"/>
      <c r="AI12"/>
    </row>
    <row r="13" spans="1:35" x14ac:dyDescent="0.3">
      <c r="A13" s="3" t="s">
        <v>210</v>
      </c>
      <c r="B13" s="3" t="s">
        <v>18</v>
      </c>
      <c r="C13" s="2">
        <v>45465</v>
      </c>
      <c r="D13" s="3" t="s">
        <v>34</v>
      </c>
      <c r="E13" s="3" t="s">
        <v>15</v>
      </c>
      <c r="F13" s="3">
        <v>13479</v>
      </c>
      <c r="G13" s="3">
        <v>1189</v>
      </c>
      <c r="H13" s="3">
        <v>695</v>
      </c>
      <c r="I13" s="3">
        <v>416</v>
      </c>
      <c r="J13" s="3">
        <v>30229</v>
      </c>
      <c r="K13" s="3">
        <v>45704</v>
      </c>
      <c r="L13" s="3" t="s">
        <v>16</v>
      </c>
      <c r="M13" s="4">
        <f>(Table1_30[[#This Row],[Likes]]+Table1_30[[#This Row],[Shares]]+Table1_30[[#This Row],[Comments]])/Table1_30[[#This Row],[Impressions]]</f>
        <v>0.33614125678277612</v>
      </c>
      <c r="R13" s="22" t="s">
        <v>157</v>
      </c>
      <c r="S13"/>
      <c r="T13"/>
      <c r="U13"/>
      <c r="V13"/>
      <c r="W13"/>
      <c r="X13"/>
      <c r="Y13"/>
      <c r="Z13"/>
      <c r="AA13"/>
      <c r="AB13"/>
      <c r="AC13"/>
      <c r="AD13" s="20"/>
      <c r="AE13"/>
      <c r="AF13"/>
      <c r="AG13"/>
      <c r="AH13"/>
      <c r="AI13"/>
    </row>
    <row r="14" spans="1:35" x14ac:dyDescent="0.3">
      <c r="A14" s="3" t="s">
        <v>290</v>
      </c>
      <c r="B14" s="3" t="s">
        <v>22</v>
      </c>
      <c r="C14" s="2">
        <v>45671</v>
      </c>
      <c r="D14" s="3" t="s">
        <v>34</v>
      </c>
      <c r="E14" s="3" t="s">
        <v>50</v>
      </c>
      <c r="F14" s="3">
        <v>24350</v>
      </c>
      <c r="G14" s="3">
        <v>460</v>
      </c>
      <c r="H14" s="3">
        <v>666</v>
      </c>
      <c r="I14" s="3">
        <v>814</v>
      </c>
      <c r="J14" s="3">
        <v>21120</v>
      </c>
      <c r="K14" s="3">
        <v>76914</v>
      </c>
      <c r="L14" s="3" t="s">
        <v>16</v>
      </c>
      <c r="M14" s="4">
        <f>(Table1_30[[#This Row],[Likes]]+Table1_30[[#This Row],[Shares]]+Table1_30[[#This Row],[Comments]])/Table1_30[[#This Row],[Impressions]]</f>
        <v>0.33122708479600593</v>
      </c>
      <c r="R14" s="22" t="s">
        <v>163</v>
      </c>
      <c r="S14"/>
      <c r="T14"/>
      <c r="U14"/>
      <c r="V14"/>
      <c r="W14"/>
      <c r="X14"/>
      <c r="Y14"/>
      <c r="Z14"/>
      <c r="AA14"/>
      <c r="AB14"/>
      <c r="AC14"/>
      <c r="AD14" s="20"/>
      <c r="AE14"/>
      <c r="AF14"/>
      <c r="AG14"/>
      <c r="AH14"/>
      <c r="AI14"/>
    </row>
    <row r="15" spans="1:35" x14ac:dyDescent="0.3">
      <c r="A15" s="3" t="s">
        <v>259</v>
      </c>
      <c r="B15" s="3" t="s">
        <v>40</v>
      </c>
      <c r="C15" s="2">
        <v>45608</v>
      </c>
      <c r="D15" s="3" t="s">
        <v>27</v>
      </c>
      <c r="E15" s="3" t="s">
        <v>24</v>
      </c>
      <c r="F15" s="3">
        <v>17913</v>
      </c>
      <c r="G15" s="3">
        <v>1311</v>
      </c>
      <c r="H15" s="3">
        <v>859</v>
      </c>
      <c r="I15" s="3">
        <v>405</v>
      </c>
      <c r="J15" s="3">
        <v>59842</v>
      </c>
      <c r="K15" s="3">
        <v>62612</v>
      </c>
      <c r="L15" s="3" t="s">
        <v>25</v>
      </c>
      <c r="M15" s="4">
        <f>(Table1_30[[#This Row],[Likes]]+Table1_30[[#This Row],[Shares]]+Table1_30[[#This Row],[Comments]])/Table1_30[[#This Row],[Impressions]]</f>
        <v>0.32075321024723696</v>
      </c>
      <c r="R15" s="22" t="s">
        <v>44</v>
      </c>
      <c r="S15"/>
      <c r="T15"/>
      <c r="U15"/>
      <c r="V15"/>
      <c r="W15"/>
      <c r="X15"/>
      <c r="Y15"/>
      <c r="Z15"/>
      <c r="AA15"/>
      <c r="AB15"/>
      <c r="AC15"/>
      <c r="AD15" s="20"/>
      <c r="AE15"/>
      <c r="AF15"/>
      <c r="AG15"/>
      <c r="AH15"/>
      <c r="AI15"/>
    </row>
    <row r="16" spans="1:35" x14ac:dyDescent="0.3">
      <c r="A16" s="3" t="s">
        <v>200</v>
      </c>
      <c r="B16" s="3" t="s">
        <v>18</v>
      </c>
      <c r="C16" s="2">
        <v>45715</v>
      </c>
      <c r="D16" s="3" t="s">
        <v>14</v>
      </c>
      <c r="E16" s="3" t="s">
        <v>19</v>
      </c>
      <c r="F16" s="3">
        <v>16178</v>
      </c>
      <c r="G16" s="3">
        <v>1048</v>
      </c>
      <c r="H16" s="3">
        <v>871</v>
      </c>
      <c r="I16" s="3">
        <v>2553</v>
      </c>
      <c r="J16" s="3">
        <v>39025</v>
      </c>
      <c r="K16" s="3">
        <v>59508</v>
      </c>
      <c r="L16" s="3" t="s">
        <v>16</v>
      </c>
      <c r="M16" s="4">
        <f>(Table1_30[[#This Row],[Likes]]+Table1_30[[#This Row],[Shares]]+Table1_30[[#This Row],[Comments]])/Table1_30[[#This Row],[Impressions]]</f>
        <v>0.30411037171472743</v>
      </c>
      <c r="R16" s="22" t="s">
        <v>159</v>
      </c>
      <c r="S16"/>
      <c r="T16"/>
      <c r="U16"/>
      <c r="V16"/>
      <c r="W16"/>
      <c r="X16"/>
      <c r="Y16"/>
      <c r="Z16"/>
      <c r="AA16"/>
      <c r="AB16"/>
      <c r="AC16"/>
      <c r="AD16" s="20"/>
      <c r="AE16"/>
      <c r="AF16"/>
      <c r="AG16"/>
      <c r="AH16"/>
      <c r="AI16"/>
    </row>
    <row r="17" spans="1:35" x14ac:dyDescent="0.3">
      <c r="A17" s="3" t="s">
        <v>187</v>
      </c>
      <c r="B17" s="3" t="s">
        <v>13</v>
      </c>
      <c r="C17" s="2">
        <v>45499</v>
      </c>
      <c r="D17" s="3" t="s">
        <v>27</v>
      </c>
      <c r="E17" s="3" t="s">
        <v>64</v>
      </c>
      <c r="F17" s="3">
        <v>18282</v>
      </c>
      <c r="G17" s="3">
        <v>224</v>
      </c>
      <c r="H17" s="3">
        <v>962</v>
      </c>
      <c r="I17" s="3">
        <v>890</v>
      </c>
      <c r="J17" s="3">
        <v>35105</v>
      </c>
      <c r="K17" s="3">
        <v>64089</v>
      </c>
      <c r="L17" s="3" t="s">
        <v>29</v>
      </c>
      <c r="M17" s="4">
        <f>(Table1_30[[#This Row],[Likes]]+Table1_30[[#This Row],[Shares]]+Table1_30[[#This Row],[Comments]])/Table1_30[[#This Row],[Impressions]]</f>
        <v>0.30376507669022768</v>
      </c>
      <c r="R17" s="22" t="s">
        <v>323</v>
      </c>
      <c r="S17"/>
      <c r="T17"/>
      <c r="U17"/>
      <c r="V17"/>
      <c r="W17"/>
      <c r="X17"/>
      <c r="Y17"/>
      <c r="Z17"/>
      <c r="AA17"/>
      <c r="AB17"/>
      <c r="AC17"/>
      <c r="AD17" s="20"/>
      <c r="AE17"/>
      <c r="AF17"/>
      <c r="AG17"/>
      <c r="AH17"/>
      <c r="AI17"/>
    </row>
    <row r="18" spans="1:35" x14ac:dyDescent="0.3">
      <c r="A18" s="3" t="s">
        <v>176</v>
      </c>
      <c r="B18" s="3" t="s">
        <v>22</v>
      </c>
      <c r="C18" s="2">
        <v>45488</v>
      </c>
      <c r="D18" s="3" t="s">
        <v>23</v>
      </c>
      <c r="E18" s="3" t="s">
        <v>35</v>
      </c>
      <c r="F18" s="3">
        <v>14891</v>
      </c>
      <c r="G18" s="3">
        <v>674</v>
      </c>
      <c r="H18" s="3">
        <v>521</v>
      </c>
      <c r="I18" s="3">
        <v>1091</v>
      </c>
      <c r="J18" s="3">
        <v>18101</v>
      </c>
      <c r="K18" s="3">
        <v>53669</v>
      </c>
      <c r="L18" s="3" t="s">
        <v>16</v>
      </c>
      <c r="M18" s="4">
        <f>(Table1_30[[#This Row],[Likes]]+Table1_30[[#This Row],[Shares]]+Table1_30[[#This Row],[Comments]])/Table1_30[[#This Row],[Impressions]]</f>
        <v>0.29972609886526674</v>
      </c>
      <c r="R18" s="22" t="s">
        <v>262</v>
      </c>
      <c r="S18"/>
      <c r="T18"/>
      <c r="U18"/>
      <c r="V18"/>
      <c r="W18"/>
      <c r="X18"/>
      <c r="Y18"/>
      <c r="Z18"/>
      <c r="AA18"/>
      <c r="AB18"/>
      <c r="AC18"/>
      <c r="AD18" s="20"/>
      <c r="AE18"/>
      <c r="AF18"/>
      <c r="AG18"/>
      <c r="AH18"/>
      <c r="AI18"/>
    </row>
    <row r="19" spans="1:35" x14ac:dyDescent="0.3">
      <c r="A19" s="3" t="s">
        <v>119</v>
      </c>
      <c r="B19" s="3" t="s">
        <v>22</v>
      </c>
      <c r="C19" s="2">
        <v>45580</v>
      </c>
      <c r="D19" s="3" t="s">
        <v>34</v>
      </c>
      <c r="E19" s="3" t="s">
        <v>32</v>
      </c>
      <c r="F19" s="3">
        <v>17781</v>
      </c>
      <c r="G19" s="3">
        <v>993</v>
      </c>
      <c r="H19" s="3">
        <v>627</v>
      </c>
      <c r="I19" s="3">
        <v>2187</v>
      </c>
      <c r="J19" s="3">
        <v>9609</v>
      </c>
      <c r="K19" s="3">
        <v>66155</v>
      </c>
      <c r="L19" s="3" t="s">
        <v>29</v>
      </c>
      <c r="M19" s="4">
        <f>(Table1_30[[#This Row],[Likes]]+Table1_30[[#This Row],[Shares]]+Table1_30[[#This Row],[Comments]])/Table1_30[[#This Row],[Impressions]]</f>
        <v>0.29326581513113142</v>
      </c>
      <c r="R19" s="22" t="s">
        <v>267</v>
      </c>
      <c r="S19"/>
      <c r="T19"/>
      <c r="U19"/>
      <c r="V19"/>
      <c r="W19"/>
      <c r="X19"/>
      <c r="Y19"/>
      <c r="Z19"/>
      <c r="AA19"/>
      <c r="AB19"/>
      <c r="AC19"/>
      <c r="AD19" s="20"/>
      <c r="AE19"/>
      <c r="AF19"/>
      <c r="AG19"/>
      <c r="AH19"/>
      <c r="AI19"/>
    </row>
    <row r="20" spans="1:35" x14ac:dyDescent="0.3">
      <c r="A20" s="3" t="s">
        <v>232</v>
      </c>
      <c r="B20" s="3" t="s">
        <v>40</v>
      </c>
      <c r="C20" s="2">
        <v>45918</v>
      </c>
      <c r="D20" s="3" t="s">
        <v>23</v>
      </c>
      <c r="E20" s="3" t="s">
        <v>64</v>
      </c>
      <c r="F20" s="3">
        <v>10152</v>
      </c>
      <c r="G20" s="3">
        <v>1445</v>
      </c>
      <c r="H20" s="3">
        <v>526</v>
      </c>
      <c r="I20" s="3">
        <v>513</v>
      </c>
      <c r="J20" s="3">
        <v>18959</v>
      </c>
      <c r="K20" s="3">
        <v>43712</v>
      </c>
      <c r="L20" s="3" t="s">
        <v>20</v>
      </c>
      <c r="M20" s="4">
        <f>(Table1_30[[#This Row],[Likes]]+Table1_30[[#This Row],[Shares]]+Table1_30[[#This Row],[Comments]])/Table1_30[[#This Row],[Impressions]]</f>
        <v>0.27733803074670571</v>
      </c>
      <c r="R20" s="22" t="s">
        <v>221</v>
      </c>
      <c r="S20"/>
      <c r="T20"/>
      <c r="U20"/>
      <c r="V20"/>
      <c r="W20"/>
      <c r="X20"/>
      <c r="Y20"/>
      <c r="Z20"/>
      <c r="AA20"/>
      <c r="AB20"/>
      <c r="AC20"/>
      <c r="AD20" s="20"/>
      <c r="AE20"/>
      <c r="AF20"/>
      <c r="AG20"/>
      <c r="AH20"/>
      <c r="AI20"/>
    </row>
    <row r="21" spans="1:35" x14ac:dyDescent="0.3">
      <c r="A21" s="3" t="s">
        <v>172</v>
      </c>
      <c r="B21" s="3" t="s">
        <v>22</v>
      </c>
      <c r="C21" s="2">
        <v>45932</v>
      </c>
      <c r="D21" s="3" t="s">
        <v>34</v>
      </c>
      <c r="E21" s="3" t="s">
        <v>24</v>
      </c>
      <c r="F21" s="3">
        <v>12161</v>
      </c>
      <c r="G21" s="3">
        <v>736</v>
      </c>
      <c r="H21" s="3">
        <v>876</v>
      </c>
      <c r="I21" s="3">
        <v>1233</v>
      </c>
      <c r="J21" s="3">
        <v>21337</v>
      </c>
      <c r="K21" s="3">
        <v>50225</v>
      </c>
      <c r="L21" s="3" t="s">
        <v>20</v>
      </c>
      <c r="M21" s="4">
        <f>(Table1_30[[#This Row],[Likes]]+Table1_30[[#This Row],[Shares]]+Table1_30[[#This Row],[Comments]])/Table1_30[[#This Row],[Impressions]]</f>
        <v>0.27422598307615731</v>
      </c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</row>
    <row r="22" spans="1:35" x14ac:dyDescent="0.3">
      <c r="A22" s="3" t="s">
        <v>30</v>
      </c>
      <c r="B22" s="3" t="s">
        <v>13</v>
      </c>
      <c r="C22" s="2">
        <v>45904</v>
      </c>
      <c r="D22" s="3" t="s">
        <v>27</v>
      </c>
      <c r="E22" s="3" t="s">
        <v>15</v>
      </c>
      <c r="F22" s="3">
        <v>21708</v>
      </c>
      <c r="G22" s="3">
        <v>435</v>
      </c>
      <c r="H22" s="3">
        <v>317</v>
      </c>
      <c r="I22" s="3">
        <v>1213</v>
      </c>
      <c r="J22" s="3">
        <v>70701</v>
      </c>
      <c r="K22" s="3">
        <v>83585</v>
      </c>
      <c r="L22" s="3" t="s">
        <v>20</v>
      </c>
      <c r="M22" s="4">
        <f>(Table1_30[[#This Row],[Likes]]+Table1_30[[#This Row],[Shares]]+Table1_30[[#This Row],[Comments]])/Table1_30[[#This Row],[Impressions]]</f>
        <v>0.26870850032900639</v>
      </c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</row>
    <row r="23" spans="1:35" x14ac:dyDescent="0.3">
      <c r="A23" s="3" t="s">
        <v>116</v>
      </c>
      <c r="B23" s="3" t="s">
        <v>18</v>
      </c>
      <c r="C23" s="2">
        <v>45456</v>
      </c>
      <c r="D23" s="3" t="s">
        <v>14</v>
      </c>
      <c r="E23" s="3" t="s">
        <v>15</v>
      </c>
      <c r="F23" s="3">
        <v>14173</v>
      </c>
      <c r="G23" s="3">
        <v>294</v>
      </c>
      <c r="H23" s="3">
        <v>257</v>
      </c>
      <c r="I23" s="3">
        <v>1288</v>
      </c>
      <c r="J23" s="3">
        <v>39466</v>
      </c>
      <c r="K23" s="3">
        <v>55563</v>
      </c>
      <c r="L23" s="3" t="s">
        <v>45</v>
      </c>
      <c r="M23" s="4">
        <f>(Table1_30[[#This Row],[Likes]]+Table1_30[[#This Row],[Shares]]+Table1_30[[#This Row],[Comments]])/Table1_30[[#This Row],[Impressions]]</f>
        <v>0.26499649047027696</v>
      </c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</row>
    <row r="24" spans="1:35" x14ac:dyDescent="0.3">
      <c r="A24" s="3" t="s">
        <v>186</v>
      </c>
      <c r="B24" s="3" t="s">
        <v>18</v>
      </c>
      <c r="C24" s="2">
        <v>45526</v>
      </c>
      <c r="D24" s="3" t="s">
        <v>27</v>
      </c>
      <c r="E24" s="3" t="s">
        <v>55</v>
      </c>
      <c r="F24" s="3">
        <v>16124</v>
      </c>
      <c r="G24" s="3">
        <v>863</v>
      </c>
      <c r="H24" s="3">
        <v>337</v>
      </c>
      <c r="I24" s="3">
        <v>819</v>
      </c>
      <c r="J24" s="3">
        <v>85788</v>
      </c>
      <c r="K24" s="3">
        <v>68625</v>
      </c>
      <c r="L24" s="3" t="s">
        <v>29</v>
      </c>
      <c r="M24" s="4">
        <f>(Table1_30[[#This Row],[Likes]]+Table1_30[[#This Row],[Shares]]+Table1_30[[#This Row],[Comments]])/Table1_30[[#This Row],[Impressions]]</f>
        <v>0.25244444444444447</v>
      </c>
    </row>
    <row r="25" spans="1:35" x14ac:dyDescent="0.3">
      <c r="A25" s="3" t="s">
        <v>256</v>
      </c>
      <c r="B25" s="3" t="s">
        <v>13</v>
      </c>
      <c r="C25" s="2">
        <v>45445</v>
      </c>
      <c r="D25" s="3" t="s">
        <v>27</v>
      </c>
      <c r="E25" s="3" t="s">
        <v>19</v>
      </c>
      <c r="F25" s="3">
        <v>14199</v>
      </c>
      <c r="G25" s="3">
        <v>1206</v>
      </c>
      <c r="H25" s="3">
        <v>954</v>
      </c>
      <c r="I25" s="3">
        <v>2009</v>
      </c>
      <c r="J25" s="3">
        <v>8</v>
      </c>
      <c r="K25" s="3">
        <v>65537</v>
      </c>
      <c r="L25" s="3" t="s">
        <v>25</v>
      </c>
      <c r="M25" s="4">
        <f>(Table1_30[[#This Row],[Likes]]+Table1_30[[#This Row],[Shares]]+Table1_30[[#This Row],[Comments]])/Table1_30[[#This Row],[Impressions]]</f>
        <v>0.24961472145505592</v>
      </c>
    </row>
    <row r="26" spans="1:35" x14ac:dyDescent="0.3">
      <c r="A26" s="3" t="s">
        <v>54</v>
      </c>
      <c r="B26" s="3" t="s">
        <v>40</v>
      </c>
      <c r="C26" s="2">
        <v>45908</v>
      </c>
      <c r="D26" s="3" t="s">
        <v>34</v>
      </c>
      <c r="E26" s="3" t="s">
        <v>55</v>
      </c>
      <c r="F26" s="3">
        <v>22309</v>
      </c>
      <c r="G26" s="3">
        <v>773</v>
      </c>
      <c r="H26" s="3">
        <v>854</v>
      </c>
      <c r="I26" s="3">
        <v>2387</v>
      </c>
      <c r="J26" s="3">
        <v>72396</v>
      </c>
      <c r="K26" s="3">
        <v>97056</v>
      </c>
      <c r="L26" s="3" t="s">
        <v>20</v>
      </c>
      <c r="M26" s="4">
        <f>(Table1_30[[#This Row],[Likes]]+Table1_30[[#This Row],[Shares]]+Table1_30[[#This Row],[Comments]])/Table1_30[[#This Row],[Impressions]]</f>
        <v>0.24662050774810418</v>
      </c>
    </row>
    <row r="27" spans="1:35" x14ac:dyDescent="0.3">
      <c r="A27" s="3" t="s">
        <v>280</v>
      </c>
      <c r="B27" s="3" t="s">
        <v>22</v>
      </c>
      <c r="C27" s="2">
        <v>45913</v>
      </c>
      <c r="D27" s="3" t="s">
        <v>27</v>
      </c>
      <c r="E27" s="3" t="s">
        <v>55</v>
      </c>
      <c r="F27" s="3">
        <v>15046</v>
      </c>
      <c r="G27" s="3">
        <v>281</v>
      </c>
      <c r="H27" s="3">
        <v>515</v>
      </c>
      <c r="I27" s="3">
        <v>550</v>
      </c>
      <c r="J27" s="3">
        <v>22583</v>
      </c>
      <c r="K27" s="3">
        <v>64596</v>
      </c>
      <c r="L27" s="3" t="s">
        <v>20</v>
      </c>
      <c r="M27" s="4">
        <f>(Table1_30[[#This Row],[Likes]]+Table1_30[[#This Row],[Shares]]+Table1_30[[#This Row],[Comments]])/Table1_30[[#This Row],[Impressions]]</f>
        <v>0.24524738373893121</v>
      </c>
    </row>
    <row r="28" spans="1:35" x14ac:dyDescent="0.3">
      <c r="A28" s="3" t="s">
        <v>111</v>
      </c>
      <c r="B28" s="3" t="s">
        <v>40</v>
      </c>
      <c r="C28" s="2">
        <v>45603</v>
      </c>
      <c r="D28" s="3" t="s">
        <v>34</v>
      </c>
      <c r="E28" s="3" t="s">
        <v>32</v>
      </c>
      <c r="F28" s="3">
        <v>17254</v>
      </c>
      <c r="G28" s="3">
        <v>246</v>
      </c>
      <c r="H28" s="3">
        <v>952</v>
      </c>
      <c r="I28" s="3">
        <v>871</v>
      </c>
      <c r="J28" s="3">
        <v>14957</v>
      </c>
      <c r="K28" s="3">
        <v>75946</v>
      </c>
      <c r="L28" s="3" t="s">
        <v>45</v>
      </c>
      <c r="M28" s="4">
        <f>(Table1_30[[#This Row],[Likes]]+Table1_30[[#This Row],[Shares]]+Table1_30[[#This Row],[Comments]])/Table1_30[[#This Row],[Impressions]]</f>
        <v>0.24296210465330631</v>
      </c>
    </row>
    <row r="29" spans="1:35" x14ac:dyDescent="0.3">
      <c r="A29" s="3" t="s">
        <v>252</v>
      </c>
      <c r="B29" s="3" t="s">
        <v>22</v>
      </c>
      <c r="C29" s="2">
        <v>45502</v>
      </c>
      <c r="D29" s="3" t="s">
        <v>23</v>
      </c>
      <c r="E29" s="3" t="s">
        <v>15</v>
      </c>
      <c r="F29" s="3">
        <v>22590</v>
      </c>
      <c r="G29" s="3">
        <v>1462</v>
      </c>
      <c r="H29" s="3">
        <v>966</v>
      </c>
      <c r="I29" s="3">
        <v>2463</v>
      </c>
      <c r="J29" s="3">
        <v>29689</v>
      </c>
      <c r="K29" s="3">
        <v>103449</v>
      </c>
      <c r="L29" s="3" t="s">
        <v>25</v>
      </c>
      <c r="M29" s="4">
        <f>(Table1_30[[#This Row],[Likes]]+Table1_30[[#This Row],[Shares]]+Table1_30[[#This Row],[Comments]])/Table1_30[[#This Row],[Impressions]]</f>
        <v>0.24183897379385011</v>
      </c>
    </row>
    <row r="30" spans="1:35" x14ac:dyDescent="0.3">
      <c r="A30" s="3" t="s">
        <v>86</v>
      </c>
      <c r="B30" s="3" t="s">
        <v>13</v>
      </c>
      <c r="C30" s="2">
        <v>45456</v>
      </c>
      <c r="D30" s="3" t="s">
        <v>34</v>
      </c>
      <c r="E30" s="3" t="s">
        <v>37</v>
      </c>
      <c r="F30" s="3">
        <v>23164</v>
      </c>
      <c r="G30" s="3">
        <v>1122</v>
      </c>
      <c r="H30" s="3">
        <v>900</v>
      </c>
      <c r="I30" s="3">
        <v>888</v>
      </c>
      <c r="J30" s="3">
        <v>36938</v>
      </c>
      <c r="K30" s="3">
        <v>104674</v>
      </c>
      <c r="L30" s="3" t="s">
        <v>16</v>
      </c>
      <c r="M30" s="4">
        <f>(Table1_30[[#This Row],[Likes]]+Table1_30[[#This Row],[Shares]]+Table1_30[[#This Row],[Comments]])/Table1_30[[#This Row],[Impressions]]</f>
        <v>0.24061371496264594</v>
      </c>
    </row>
    <row r="31" spans="1:35" x14ac:dyDescent="0.3">
      <c r="A31" s="3" t="s">
        <v>31</v>
      </c>
      <c r="B31" s="3" t="s">
        <v>18</v>
      </c>
      <c r="C31" s="2">
        <v>45905</v>
      </c>
      <c r="D31" s="3" t="s">
        <v>14</v>
      </c>
      <c r="E31" s="3" t="s">
        <v>32</v>
      </c>
      <c r="F31" s="3">
        <v>14677</v>
      </c>
      <c r="G31" s="3">
        <v>533</v>
      </c>
      <c r="H31" s="3">
        <v>759</v>
      </c>
      <c r="I31" s="3">
        <v>753</v>
      </c>
      <c r="J31" s="3">
        <v>23275</v>
      </c>
      <c r="K31" s="3">
        <v>66958</v>
      </c>
      <c r="L31" s="3" t="s">
        <v>20</v>
      </c>
      <c r="M31" s="4">
        <f>(Table1_30[[#This Row],[Likes]]+Table1_30[[#This Row],[Shares]]+Table1_30[[#This Row],[Comments]])/Table1_30[[#This Row],[Impressions]]</f>
        <v>0.23849278652289496</v>
      </c>
    </row>
    <row r="32" spans="1:35" x14ac:dyDescent="0.3">
      <c r="A32" s="3" t="s">
        <v>325</v>
      </c>
      <c r="B32" s="3" t="s">
        <v>22</v>
      </c>
      <c r="C32" s="2">
        <v>45624</v>
      </c>
      <c r="D32" s="3" t="s">
        <v>34</v>
      </c>
      <c r="E32" s="3" t="s">
        <v>35</v>
      </c>
      <c r="F32" s="3">
        <v>18644</v>
      </c>
      <c r="G32" s="3">
        <v>1369</v>
      </c>
      <c r="H32" s="3">
        <v>887</v>
      </c>
      <c r="I32" s="3">
        <v>1256</v>
      </c>
      <c r="J32" s="3">
        <v>43415</v>
      </c>
      <c r="K32" s="3">
        <v>88368</v>
      </c>
      <c r="L32" s="3" t="s">
        <v>25</v>
      </c>
      <c r="M32" s="4">
        <f>(Table1_30[[#This Row],[Likes]]+Table1_30[[#This Row],[Shares]]+Table1_30[[#This Row],[Comments]])/Table1_30[[#This Row],[Impressions]]</f>
        <v>0.23651095419156257</v>
      </c>
    </row>
    <row r="33" spans="1:13" x14ac:dyDescent="0.3">
      <c r="A33" s="3" t="s">
        <v>222</v>
      </c>
      <c r="B33" s="3" t="s">
        <v>22</v>
      </c>
      <c r="C33" s="2">
        <v>45528</v>
      </c>
      <c r="D33" s="3" t="s">
        <v>27</v>
      </c>
      <c r="E33" s="3" t="s">
        <v>24</v>
      </c>
      <c r="F33" s="3">
        <v>24890</v>
      </c>
      <c r="G33" s="3">
        <v>217</v>
      </c>
      <c r="H33" s="3">
        <v>178</v>
      </c>
      <c r="I33" s="3">
        <v>906</v>
      </c>
      <c r="J33" s="3">
        <v>54826</v>
      </c>
      <c r="K33" s="3">
        <v>107203</v>
      </c>
      <c r="L33" s="3" t="s">
        <v>25</v>
      </c>
      <c r="M33" s="4">
        <f>(Table1_30[[#This Row],[Likes]]+Table1_30[[#This Row],[Shares]]+Table1_30[[#This Row],[Comments]])/Table1_30[[#This Row],[Impressions]]</f>
        <v>0.23586093672751696</v>
      </c>
    </row>
    <row r="34" spans="1:13" x14ac:dyDescent="0.3">
      <c r="A34" s="3" t="s">
        <v>96</v>
      </c>
      <c r="B34" s="3" t="s">
        <v>13</v>
      </c>
      <c r="C34" s="2">
        <v>45540</v>
      </c>
      <c r="D34" s="3" t="s">
        <v>34</v>
      </c>
      <c r="E34" s="3" t="s">
        <v>64</v>
      </c>
      <c r="F34" s="3">
        <v>16489</v>
      </c>
      <c r="G34" s="3">
        <v>395</v>
      </c>
      <c r="H34" s="3">
        <v>350</v>
      </c>
      <c r="I34" s="3">
        <v>2364</v>
      </c>
      <c r="J34" s="3">
        <v>43239</v>
      </c>
      <c r="K34" s="3">
        <v>73397</v>
      </c>
      <c r="L34" s="3" t="s">
        <v>45</v>
      </c>
      <c r="M34" s="4">
        <f>(Table1_30[[#This Row],[Likes]]+Table1_30[[#This Row],[Shares]]+Table1_30[[#This Row],[Comments]])/Table1_30[[#This Row],[Impressions]]</f>
        <v>0.23480523727127811</v>
      </c>
    </row>
    <row r="35" spans="1:13" x14ac:dyDescent="0.3">
      <c r="A35" s="3" t="s">
        <v>322</v>
      </c>
      <c r="B35" s="3" t="s">
        <v>13</v>
      </c>
      <c r="C35" s="2">
        <v>45919</v>
      </c>
      <c r="D35" s="3" t="s">
        <v>23</v>
      </c>
      <c r="E35" s="3" t="s">
        <v>37</v>
      </c>
      <c r="F35" s="3">
        <v>22128</v>
      </c>
      <c r="G35" s="3">
        <v>1004</v>
      </c>
      <c r="H35" s="3">
        <v>690</v>
      </c>
      <c r="I35" s="3">
        <v>2048</v>
      </c>
      <c r="J35" s="3">
        <v>19443</v>
      </c>
      <c r="K35" s="3">
        <v>103646</v>
      </c>
      <c r="L35" s="3" t="s">
        <v>20</v>
      </c>
      <c r="M35" s="4">
        <f>(Table1_30[[#This Row],[Likes]]+Table1_30[[#This Row],[Shares]]+Table1_30[[#This Row],[Comments]])/Table1_30[[#This Row],[Impressions]]</f>
        <v>0.22984003241803833</v>
      </c>
    </row>
    <row r="36" spans="1:13" x14ac:dyDescent="0.3">
      <c r="A36" s="3" t="s">
        <v>141</v>
      </c>
      <c r="B36" s="3" t="s">
        <v>40</v>
      </c>
      <c r="C36" s="2">
        <v>45457</v>
      </c>
      <c r="D36" s="3" t="s">
        <v>34</v>
      </c>
      <c r="E36" s="3" t="s">
        <v>41</v>
      </c>
      <c r="F36" s="3">
        <v>21856</v>
      </c>
      <c r="G36" s="3">
        <v>1203</v>
      </c>
      <c r="H36" s="3">
        <v>634</v>
      </c>
      <c r="I36" s="3">
        <v>2807</v>
      </c>
      <c r="J36" s="3">
        <v>3647</v>
      </c>
      <c r="K36" s="3">
        <v>104178</v>
      </c>
      <c r="L36" s="3" t="s">
        <v>29</v>
      </c>
      <c r="M36" s="4">
        <f>(Table1_30[[#This Row],[Likes]]+Table1_30[[#This Row],[Shares]]+Table1_30[[#This Row],[Comments]])/Table1_30[[#This Row],[Impressions]]</f>
        <v>0.22742805582752595</v>
      </c>
    </row>
    <row r="37" spans="1:13" x14ac:dyDescent="0.3">
      <c r="A37" s="3" t="s">
        <v>155</v>
      </c>
      <c r="B37" s="3" t="s">
        <v>18</v>
      </c>
      <c r="C37" s="2">
        <v>45695</v>
      </c>
      <c r="D37" s="3" t="s">
        <v>34</v>
      </c>
      <c r="E37" s="3" t="s">
        <v>115</v>
      </c>
      <c r="F37" s="3">
        <v>20290</v>
      </c>
      <c r="G37" s="3">
        <v>619</v>
      </c>
      <c r="H37" s="3">
        <v>927</v>
      </c>
      <c r="I37" s="3">
        <v>1186</v>
      </c>
      <c r="J37" s="3">
        <v>8924</v>
      </c>
      <c r="K37" s="3">
        <v>96503</v>
      </c>
      <c r="L37" s="3" t="s">
        <v>45</v>
      </c>
      <c r="M37" s="4">
        <f>(Table1_30[[#This Row],[Likes]]+Table1_30[[#This Row],[Shares]]+Table1_30[[#This Row],[Comments]])/Table1_30[[#This Row],[Impressions]]</f>
        <v>0.22627275835984373</v>
      </c>
    </row>
    <row r="38" spans="1:13" x14ac:dyDescent="0.3">
      <c r="A38" s="3" t="s">
        <v>206</v>
      </c>
      <c r="B38" s="3" t="s">
        <v>40</v>
      </c>
      <c r="C38" s="2">
        <v>45775</v>
      </c>
      <c r="D38" s="3" t="s">
        <v>34</v>
      </c>
      <c r="E38" s="3" t="s">
        <v>55</v>
      </c>
      <c r="F38" s="3">
        <v>15013</v>
      </c>
      <c r="G38" s="3">
        <v>1286</v>
      </c>
      <c r="H38" s="3">
        <v>599</v>
      </c>
      <c r="I38" s="3">
        <v>2001</v>
      </c>
      <c r="J38" s="3">
        <v>67839</v>
      </c>
      <c r="K38" s="3">
        <v>76059</v>
      </c>
      <c r="L38" s="3" t="s">
        <v>16</v>
      </c>
      <c r="M38" s="4">
        <f>(Table1_30[[#This Row],[Likes]]+Table1_30[[#This Row],[Shares]]+Table1_30[[#This Row],[Comments]])/Table1_30[[#This Row],[Impressions]]</f>
        <v>0.22216963147030594</v>
      </c>
    </row>
    <row r="39" spans="1:13" x14ac:dyDescent="0.3">
      <c r="A39" s="3" t="s">
        <v>81</v>
      </c>
      <c r="B39" s="3" t="s">
        <v>18</v>
      </c>
      <c r="C39" s="2">
        <v>45779</v>
      </c>
      <c r="D39" s="3" t="s">
        <v>23</v>
      </c>
      <c r="E39" s="3" t="s">
        <v>50</v>
      </c>
      <c r="F39" s="3">
        <v>17444</v>
      </c>
      <c r="G39" s="3">
        <v>1402</v>
      </c>
      <c r="H39" s="3">
        <v>218</v>
      </c>
      <c r="I39" s="3">
        <v>725</v>
      </c>
      <c r="J39" s="3">
        <v>8710</v>
      </c>
      <c r="K39" s="3">
        <v>85893</v>
      </c>
      <c r="L39" s="3" t="s">
        <v>45</v>
      </c>
      <c r="M39" s="4">
        <f>(Table1_30[[#This Row],[Likes]]+Table1_30[[#This Row],[Shares]]+Table1_30[[#This Row],[Comments]])/Table1_30[[#This Row],[Impressions]]</f>
        <v>0.22195056640238436</v>
      </c>
    </row>
    <row r="40" spans="1:13" x14ac:dyDescent="0.3">
      <c r="A40" s="3" t="s">
        <v>223</v>
      </c>
      <c r="B40" s="3" t="s">
        <v>40</v>
      </c>
      <c r="C40" s="2">
        <v>45648</v>
      </c>
      <c r="D40" s="3" t="s">
        <v>23</v>
      </c>
      <c r="E40" s="3" t="s">
        <v>115</v>
      </c>
      <c r="F40" s="3">
        <v>7870</v>
      </c>
      <c r="G40" s="3">
        <v>968</v>
      </c>
      <c r="H40" s="3">
        <v>626</v>
      </c>
      <c r="I40" s="3">
        <v>465</v>
      </c>
      <c r="J40" s="3">
        <v>27184</v>
      </c>
      <c r="K40" s="3">
        <v>44114</v>
      </c>
      <c r="L40" s="3" t="s">
        <v>45</v>
      </c>
      <c r="M40" s="4">
        <f>(Table1_30[[#This Row],[Likes]]+Table1_30[[#This Row],[Shares]]+Table1_30[[#This Row],[Comments]])/Table1_30[[#This Row],[Impressions]]</f>
        <v>0.2145350682323072</v>
      </c>
    </row>
    <row r="41" spans="1:13" x14ac:dyDescent="0.3">
      <c r="A41" s="3" t="s">
        <v>226</v>
      </c>
      <c r="B41" s="3" t="s">
        <v>40</v>
      </c>
      <c r="C41" s="2">
        <v>45569</v>
      </c>
      <c r="D41" s="3" t="s">
        <v>14</v>
      </c>
      <c r="E41" s="3" t="s">
        <v>35</v>
      </c>
      <c r="F41" s="3">
        <v>21729</v>
      </c>
      <c r="G41" s="3">
        <v>1209</v>
      </c>
      <c r="H41" s="3">
        <v>897</v>
      </c>
      <c r="I41" s="3">
        <v>1624</v>
      </c>
      <c r="J41" s="3">
        <v>38771</v>
      </c>
      <c r="K41" s="3">
        <v>113297</v>
      </c>
      <c r="L41" s="3" t="s">
        <v>29</v>
      </c>
      <c r="M41" s="4">
        <f>(Table1_30[[#This Row],[Likes]]+Table1_30[[#This Row],[Shares]]+Table1_30[[#This Row],[Comments]])/Table1_30[[#This Row],[Impressions]]</f>
        <v>0.21037626768581694</v>
      </c>
    </row>
    <row r="42" spans="1:13" x14ac:dyDescent="0.3">
      <c r="A42" s="3" t="s">
        <v>287</v>
      </c>
      <c r="B42" s="3" t="s">
        <v>40</v>
      </c>
      <c r="C42" s="2">
        <v>45915</v>
      </c>
      <c r="D42" s="3" t="s">
        <v>14</v>
      </c>
      <c r="E42" s="3" t="s">
        <v>35</v>
      </c>
      <c r="F42" s="3">
        <v>18389</v>
      </c>
      <c r="G42" s="3">
        <v>670</v>
      </c>
      <c r="H42" s="3">
        <v>655</v>
      </c>
      <c r="I42" s="3">
        <v>321</v>
      </c>
      <c r="J42" s="3">
        <v>21869</v>
      </c>
      <c r="K42" s="3">
        <v>96088</v>
      </c>
      <c r="L42" s="3" t="s">
        <v>20</v>
      </c>
      <c r="M42" s="4">
        <f>(Table1_30[[#This Row],[Likes]]+Table1_30[[#This Row],[Shares]]+Table1_30[[#This Row],[Comments]])/Table1_30[[#This Row],[Impressions]]</f>
        <v>0.2051660977437349</v>
      </c>
    </row>
    <row r="43" spans="1:13" x14ac:dyDescent="0.3">
      <c r="A43" s="3" t="s">
        <v>109</v>
      </c>
      <c r="B43" s="3" t="s">
        <v>40</v>
      </c>
      <c r="C43" s="2">
        <v>45593</v>
      </c>
      <c r="D43" s="3" t="s">
        <v>34</v>
      </c>
      <c r="E43" s="3" t="s">
        <v>28</v>
      </c>
      <c r="F43" s="3">
        <v>21198</v>
      </c>
      <c r="G43" s="3">
        <v>1484</v>
      </c>
      <c r="H43" s="3">
        <v>174</v>
      </c>
      <c r="I43" s="3">
        <v>1293</v>
      </c>
      <c r="J43" s="3">
        <v>16330</v>
      </c>
      <c r="K43" s="3">
        <v>111635</v>
      </c>
      <c r="L43" s="3" t="s">
        <v>29</v>
      </c>
      <c r="M43" s="4">
        <f>(Table1_30[[#This Row],[Likes]]+Table1_30[[#This Row],[Shares]]+Table1_30[[#This Row],[Comments]])/Table1_30[[#This Row],[Impressions]]</f>
        <v>0.20473865723115511</v>
      </c>
    </row>
    <row r="44" spans="1:13" x14ac:dyDescent="0.3">
      <c r="A44" s="3" t="s">
        <v>77</v>
      </c>
      <c r="B44" s="3" t="s">
        <v>13</v>
      </c>
      <c r="C44" s="2">
        <v>45721</v>
      </c>
      <c r="D44" s="3" t="s">
        <v>34</v>
      </c>
      <c r="E44" s="3" t="s">
        <v>50</v>
      </c>
      <c r="F44" s="3">
        <v>12916</v>
      </c>
      <c r="G44" s="3">
        <v>1262</v>
      </c>
      <c r="H44" s="3">
        <v>772</v>
      </c>
      <c r="I44" s="3">
        <v>856</v>
      </c>
      <c r="J44" s="3">
        <v>11496</v>
      </c>
      <c r="K44" s="3">
        <v>75046</v>
      </c>
      <c r="L44" s="3" t="s">
        <v>25</v>
      </c>
      <c r="M44" s="4">
        <f>(Table1_30[[#This Row],[Likes]]+Table1_30[[#This Row],[Shares]]+Table1_30[[#This Row],[Comments]])/Table1_30[[#This Row],[Impressions]]</f>
        <v>0.19921115049436347</v>
      </c>
    </row>
    <row r="45" spans="1:13" x14ac:dyDescent="0.3">
      <c r="A45" s="3" t="s">
        <v>282</v>
      </c>
      <c r="B45" s="3" t="s">
        <v>40</v>
      </c>
      <c r="C45" s="2">
        <v>45576</v>
      </c>
      <c r="D45" s="3" t="s">
        <v>34</v>
      </c>
      <c r="E45" s="3" t="s">
        <v>41</v>
      </c>
      <c r="F45" s="3">
        <v>19447</v>
      </c>
      <c r="G45" s="3">
        <v>1014</v>
      </c>
      <c r="H45" s="3">
        <v>256</v>
      </c>
      <c r="I45" s="3">
        <v>2354</v>
      </c>
      <c r="J45" s="3">
        <v>5472</v>
      </c>
      <c r="K45" s="3">
        <v>104106</v>
      </c>
      <c r="L45" s="3" t="s">
        <v>16</v>
      </c>
      <c r="M45" s="4">
        <f>(Table1_30[[#This Row],[Likes]]+Table1_30[[#This Row],[Shares]]+Table1_30[[#This Row],[Comments]])/Table1_30[[#This Row],[Impressions]]</f>
        <v>0.19899909707413599</v>
      </c>
    </row>
    <row r="46" spans="1:13" x14ac:dyDescent="0.3">
      <c r="A46" s="3" t="s">
        <v>296</v>
      </c>
      <c r="B46" s="3" t="s">
        <v>13</v>
      </c>
      <c r="C46" s="2">
        <v>45700</v>
      </c>
      <c r="D46" s="3" t="s">
        <v>27</v>
      </c>
      <c r="E46" s="3" t="s">
        <v>19</v>
      </c>
      <c r="F46" s="3">
        <v>15234</v>
      </c>
      <c r="G46" s="3">
        <v>1276</v>
      </c>
      <c r="H46" s="3">
        <v>670</v>
      </c>
      <c r="I46" s="3">
        <v>1860</v>
      </c>
      <c r="J46" s="3">
        <v>60397</v>
      </c>
      <c r="K46" s="3">
        <v>86413</v>
      </c>
      <c r="L46" s="3" t="s">
        <v>45</v>
      </c>
      <c r="M46" s="4">
        <f>(Table1_30[[#This Row],[Likes]]+Table1_30[[#This Row],[Shares]]+Table1_30[[#This Row],[Comments]])/Table1_30[[#This Row],[Impressions]]</f>
        <v>0.19881267864788862</v>
      </c>
    </row>
    <row r="47" spans="1:13" x14ac:dyDescent="0.3">
      <c r="A47" s="3" t="s">
        <v>129</v>
      </c>
      <c r="B47" s="3" t="s">
        <v>40</v>
      </c>
      <c r="C47" s="2">
        <v>45637</v>
      </c>
      <c r="D47" s="3" t="s">
        <v>34</v>
      </c>
      <c r="E47" s="3" t="s">
        <v>41</v>
      </c>
      <c r="F47" s="3">
        <v>22645</v>
      </c>
      <c r="G47" s="3">
        <v>545</v>
      </c>
      <c r="H47" s="3">
        <v>972</v>
      </c>
      <c r="I47" s="3">
        <v>321</v>
      </c>
      <c r="J47" s="3">
        <v>8396</v>
      </c>
      <c r="K47" s="3">
        <v>121537</v>
      </c>
      <c r="L47" s="3" t="s">
        <v>45</v>
      </c>
      <c r="M47" s="4">
        <f>(Table1_30[[#This Row],[Likes]]+Table1_30[[#This Row],[Shares]]+Table1_30[[#This Row],[Comments]])/Table1_30[[#This Row],[Impressions]]</f>
        <v>0.19880365649966678</v>
      </c>
    </row>
    <row r="48" spans="1:13" x14ac:dyDescent="0.3">
      <c r="A48" s="3" t="s">
        <v>199</v>
      </c>
      <c r="B48" s="3" t="s">
        <v>18</v>
      </c>
      <c r="C48" s="2">
        <v>45755</v>
      </c>
      <c r="D48" s="3" t="s">
        <v>27</v>
      </c>
      <c r="E48" s="3" t="s">
        <v>15</v>
      </c>
      <c r="F48" s="3">
        <v>15568</v>
      </c>
      <c r="G48" s="3">
        <v>1166</v>
      </c>
      <c r="H48" s="3">
        <v>546</v>
      </c>
      <c r="I48" s="3">
        <v>826</v>
      </c>
      <c r="J48" s="3">
        <v>21836</v>
      </c>
      <c r="K48" s="3">
        <v>87055</v>
      </c>
      <c r="L48" s="3" t="s">
        <v>16</v>
      </c>
      <c r="M48" s="4">
        <f>(Table1_30[[#This Row],[Likes]]+Table1_30[[#This Row],[Shares]]+Table1_30[[#This Row],[Comments]])/Table1_30[[#This Row],[Impressions]]</f>
        <v>0.19849520418126471</v>
      </c>
    </row>
    <row r="49" spans="1:13" x14ac:dyDescent="0.3">
      <c r="A49" s="3" t="s">
        <v>336</v>
      </c>
      <c r="B49" s="3" t="s">
        <v>18</v>
      </c>
      <c r="C49" s="2">
        <v>45926</v>
      </c>
      <c r="D49" s="3" t="s">
        <v>27</v>
      </c>
      <c r="E49" s="3" t="s">
        <v>41</v>
      </c>
      <c r="F49" s="3">
        <v>21216</v>
      </c>
      <c r="G49" s="3">
        <v>226</v>
      </c>
      <c r="H49" s="3">
        <v>187</v>
      </c>
      <c r="I49" s="3">
        <v>1573</v>
      </c>
      <c r="J49" s="3">
        <v>62688</v>
      </c>
      <c r="K49" s="3">
        <v>111031</v>
      </c>
      <c r="L49" s="3" t="s">
        <v>20</v>
      </c>
      <c r="M49" s="4">
        <f>(Table1_30[[#This Row],[Likes]]+Table1_30[[#This Row],[Shares]]+Table1_30[[#This Row],[Comments]])/Table1_30[[#This Row],[Impressions]]</f>
        <v>0.19480145184678152</v>
      </c>
    </row>
    <row r="50" spans="1:13" x14ac:dyDescent="0.3">
      <c r="A50" s="3" t="s">
        <v>103</v>
      </c>
      <c r="B50" s="3" t="s">
        <v>22</v>
      </c>
      <c r="C50" s="2">
        <v>45634</v>
      </c>
      <c r="D50" s="3" t="s">
        <v>27</v>
      </c>
      <c r="E50" s="3" t="s">
        <v>19</v>
      </c>
      <c r="F50" s="3">
        <v>10427</v>
      </c>
      <c r="G50" s="3">
        <v>1014</v>
      </c>
      <c r="H50" s="3">
        <v>166</v>
      </c>
      <c r="I50" s="3">
        <v>1649</v>
      </c>
      <c r="J50" s="3">
        <v>15145</v>
      </c>
      <c r="K50" s="3">
        <v>59816</v>
      </c>
      <c r="L50" s="3" t="s">
        <v>25</v>
      </c>
      <c r="M50" s="4">
        <f>(Table1_30[[#This Row],[Likes]]+Table1_30[[#This Row],[Shares]]+Table1_30[[#This Row],[Comments]])/Table1_30[[#This Row],[Impressions]]</f>
        <v>0.19404507155276179</v>
      </c>
    </row>
    <row r="51" spans="1:13" x14ac:dyDescent="0.3">
      <c r="A51" s="3" t="s">
        <v>162</v>
      </c>
      <c r="B51" s="3" t="s">
        <v>18</v>
      </c>
      <c r="C51" s="2">
        <v>45744</v>
      </c>
      <c r="D51" s="3" t="s">
        <v>14</v>
      </c>
      <c r="E51" s="3" t="s">
        <v>37</v>
      </c>
      <c r="F51" s="3">
        <v>13637</v>
      </c>
      <c r="G51" s="3">
        <v>1135</v>
      </c>
      <c r="H51" s="3">
        <v>540</v>
      </c>
      <c r="I51" s="3">
        <v>1288</v>
      </c>
      <c r="J51" s="3">
        <v>45183</v>
      </c>
      <c r="K51" s="3">
        <v>79062</v>
      </c>
      <c r="L51" s="3" t="s">
        <v>45</v>
      </c>
      <c r="M51" s="4">
        <f>(Table1_30[[#This Row],[Likes]]+Table1_30[[#This Row],[Shares]]+Table1_30[[#This Row],[Comments]])/Table1_30[[#This Row],[Impressions]]</f>
        <v>0.19367079001290127</v>
      </c>
    </row>
    <row r="52" spans="1:13" x14ac:dyDescent="0.3">
      <c r="A52" s="3" t="s">
        <v>165</v>
      </c>
      <c r="B52" s="3" t="s">
        <v>18</v>
      </c>
      <c r="C52" s="2">
        <v>45494</v>
      </c>
      <c r="D52" s="3" t="s">
        <v>14</v>
      </c>
      <c r="E52" s="3" t="s">
        <v>28</v>
      </c>
      <c r="F52" s="3">
        <v>11911</v>
      </c>
      <c r="G52" s="3">
        <v>1360</v>
      </c>
      <c r="H52" s="3">
        <v>778</v>
      </c>
      <c r="I52" s="3">
        <v>1168</v>
      </c>
      <c r="J52" s="3">
        <v>16483</v>
      </c>
      <c r="K52" s="3">
        <v>72556</v>
      </c>
      <c r="L52" s="3" t="s">
        <v>25</v>
      </c>
      <c r="M52" s="4">
        <f>(Table1_30[[#This Row],[Likes]]+Table1_30[[#This Row],[Shares]]+Table1_30[[#This Row],[Comments]])/Table1_30[[#This Row],[Impressions]]</f>
        <v>0.19362974805667346</v>
      </c>
    </row>
    <row r="53" spans="1:13" x14ac:dyDescent="0.3">
      <c r="A53" s="3" t="s">
        <v>133</v>
      </c>
      <c r="B53" s="3" t="s">
        <v>40</v>
      </c>
      <c r="C53" s="2">
        <v>45517</v>
      </c>
      <c r="D53" s="3" t="s">
        <v>34</v>
      </c>
      <c r="E53" s="3" t="s">
        <v>115</v>
      </c>
      <c r="F53" s="3">
        <v>6854</v>
      </c>
      <c r="G53" s="3">
        <v>417</v>
      </c>
      <c r="H53" s="3">
        <v>467</v>
      </c>
      <c r="I53" s="3">
        <v>1003</v>
      </c>
      <c r="J53" s="3">
        <v>61333</v>
      </c>
      <c r="K53" s="3">
        <v>40281</v>
      </c>
      <c r="L53" s="3" t="s">
        <v>16</v>
      </c>
      <c r="M53" s="4">
        <f>(Table1_30[[#This Row],[Likes]]+Table1_30[[#This Row],[Shares]]+Table1_30[[#This Row],[Comments]])/Table1_30[[#This Row],[Impressions]]</f>
        <v>0.19210049402944315</v>
      </c>
    </row>
    <row r="54" spans="1:13" x14ac:dyDescent="0.3">
      <c r="A54" s="3" t="s">
        <v>82</v>
      </c>
      <c r="B54" s="3" t="s">
        <v>18</v>
      </c>
      <c r="C54" s="2">
        <v>45712</v>
      </c>
      <c r="D54" s="3" t="s">
        <v>23</v>
      </c>
      <c r="E54" s="3" t="s">
        <v>41</v>
      </c>
      <c r="F54" s="3">
        <v>24984</v>
      </c>
      <c r="G54" s="3">
        <v>753</v>
      </c>
      <c r="H54" s="3">
        <v>461</v>
      </c>
      <c r="I54" s="3">
        <v>2710</v>
      </c>
      <c r="J54" s="3">
        <v>20792</v>
      </c>
      <c r="K54" s="3">
        <v>141520</v>
      </c>
      <c r="L54" s="3" t="s">
        <v>25</v>
      </c>
      <c r="M54" s="4">
        <f>(Table1_30[[#This Row],[Likes]]+Table1_30[[#This Row],[Shares]]+Table1_30[[#This Row],[Comments]])/Table1_30[[#This Row],[Impressions]]</f>
        <v>0.18511871113623515</v>
      </c>
    </row>
    <row r="55" spans="1:13" x14ac:dyDescent="0.3">
      <c r="A55" s="3" t="s">
        <v>188</v>
      </c>
      <c r="B55" s="3" t="s">
        <v>13</v>
      </c>
      <c r="C55" s="2">
        <v>45934</v>
      </c>
      <c r="D55" s="3" t="s">
        <v>27</v>
      </c>
      <c r="E55" s="3" t="s">
        <v>115</v>
      </c>
      <c r="F55" s="3">
        <v>12488</v>
      </c>
      <c r="G55" s="3">
        <v>1403</v>
      </c>
      <c r="H55" s="3">
        <v>247</v>
      </c>
      <c r="I55" s="3">
        <v>1350</v>
      </c>
      <c r="J55" s="3">
        <v>28370</v>
      </c>
      <c r="K55" s="3">
        <v>76487</v>
      </c>
      <c r="L55" s="3" t="s">
        <v>20</v>
      </c>
      <c r="M55" s="4">
        <f>(Table1_30[[#This Row],[Likes]]+Table1_30[[#This Row],[Shares]]+Table1_30[[#This Row],[Comments]])/Table1_30[[#This Row],[Impressions]]</f>
        <v>0.18484186855282597</v>
      </c>
    </row>
    <row r="56" spans="1:13" x14ac:dyDescent="0.3">
      <c r="A56" s="3" t="s">
        <v>266</v>
      </c>
      <c r="B56" s="3" t="s">
        <v>22</v>
      </c>
      <c r="C56" s="2">
        <v>45488</v>
      </c>
      <c r="D56" s="3" t="s">
        <v>27</v>
      </c>
      <c r="E56" s="3" t="s">
        <v>32</v>
      </c>
      <c r="F56" s="3">
        <v>12554</v>
      </c>
      <c r="G56" s="3">
        <v>381</v>
      </c>
      <c r="H56" s="3">
        <v>211</v>
      </c>
      <c r="I56" s="3">
        <v>2286</v>
      </c>
      <c r="J56" s="3">
        <v>50567</v>
      </c>
      <c r="K56" s="3">
        <v>72779</v>
      </c>
      <c r="L56" s="3" t="s">
        <v>16</v>
      </c>
      <c r="M56" s="4">
        <f>(Table1_30[[#This Row],[Likes]]+Table1_30[[#This Row],[Shares]]+Table1_30[[#This Row],[Comments]])/Table1_30[[#This Row],[Impressions]]</f>
        <v>0.18062902760411656</v>
      </c>
    </row>
    <row r="57" spans="1:13" x14ac:dyDescent="0.3">
      <c r="A57" s="3" t="s">
        <v>184</v>
      </c>
      <c r="B57" s="3" t="s">
        <v>13</v>
      </c>
      <c r="C57" s="2">
        <v>45762</v>
      </c>
      <c r="D57" s="3" t="s">
        <v>27</v>
      </c>
      <c r="E57" s="3" t="s">
        <v>41</v>
      </c>
      <c r="F57" s="3">
        <v>20977</v>
      </c>
      <c r="G57" s="3">
        <v>1402</v>
      </c>
      <c r="H57" s="3">
        <v>301</v>
      </c>
      <c r="I57" s="3">
        <v>1284</v>
      </c>
      <c r="J57" s="3">
        <v>24620</v>
      </c>
      <c r="K57" s="3">
        <v>128009</v>
      </c>
      <c r="L57" s="3" t="s">
        <v>16</v>
      </c>
      <c r="M57" s="4">
        <f>(Table1_30[[#This Row],[Likes]]+Table1_30[[#This Row],[Shares]]+Table1_30[[#This Row],[Comments]])/Table1_30[[#This Row],[Impressions]]</f>
        <v>0.17717504237983267</v>
      </c>
    </row>
    <row r="58" spans="1:13" x14ac:dyDescent="0.3">
      <c r="A58" s="3" t="s">
        <v>175</v>
      </c>
      <c r="B58" s="3" t="s">
        <v>13</v>
      </c>
      <c r="C58" s="2">
        <v>45594</v>
      </c>
      <c r="D58" s="3" t="s">
        <v>23</v>
      </c>
      <c r="E58" s="3" t="s">
        <v>50</v>
      </c>
      <c r="F58" s="3">
        <v>23969</v>
      </c>
      <c r="G58" s="3">
        <v>1433</v>
      </c>
      <c r="H58" s="3">
        <v>372</v>
      </c>
      <c r="I58" s="3">
        <v>1092</v>
      </c>
      <c r="J58" s="3">
        <v>32147</v>
      </c>
      <c r="K58" s="3">
        <v>145823</v>
      </c>
      <c r="L58" s="3" t="s">
        <v>25</v>
      </c>
      <c r="M58" s="4">
        <f>(Table1_30[[#This Row],[Likes]]+Table1_30[[#This Row],[Shares]]+Table1_30[[#This Row],[Comments]])/Table1_30[[#This Row],[Impressions]]</f>
        <v>0.17674852389540743</v>
      </c>
    </row>
    <row r="59" spans="1:13" x14ac:dyDescent="0.3">
      <c r="A59" s="3" t="s">
        <v>57</v>
      </c>
      <c r="B59" s="3" t="s">
        <v>40</v>
      </c>
      <c r="C59" s="2">
        <v>45602</v>
      </c>
      <c r="D59" s="3" t="s">
        <v>34</v>
      </c>
      <c r="E59" s="3" t="s">
        <v>50</v>
      </c>
      <c r="F59" s="3">
        <v>8938</v>
      </c>
      <c r="G59" s="3">
        <v>800</v>
      </c>
      <c r="H59" s="3">
        <v>842</v>
      </c>
      <c r="I59" s="3">
        <v>2072</v>
      </c>
      <c r="J59" s="3">
        <v>31736</v>
      </c>
      <c r="K59" s="3">
        <v>59975</v>
      </c>
      <c r="L59" s="3" t="s">
        <v>29</v>
      </c>
      <c r="M59" s="4">
        <f>(Table1_30[[#This Row],[Likes]]+Table1_30[[#This Row],[Shares]]+Table1_30[[#This Row],[Comments]])/Table1_30[[#This Row],[Impressions]]</f>
        <v>0.17640683618174238</v>
      </c>
    </row>
    <row r="60" spans="1:13" x14ac:dyDescent="0.3">
      <c r="A60" s="3" t="s">
        <v>161</v>
      </c>
      <c r="B60" s="3" t="s">
        <v>22</v>
      </c>
      <c r="C60" s="2">
        <v>45543</v>
      </c>
      <c r="D60" s="3" t="s">
        <v>34</v>
      </c>
      <c r="E60" s="3" t="s">
        <v>15</v>
      </c>
      <c r="F60" s="3">
        <v>8090</v>
      </c>
      <c r="G60" s="3">
        <v>570</v>
      </c>
      <c r="H60" s="3">
        <v>399</v>
      </c>
      <c r="I60" s="3">
        <v>1862</v>
      </c>
      <c r="J60" s="3">
        <v>34088</v>
      </c>
      <c r="K60" s="3">
        <v>52115</v>
      </c>
      <c r="L60" s="3" t="s">
        <v>16</v>
      </c>
      <c r="M60" s="4">
        <f>(Table1_30[[#This Row],[Likes]]+Table1_30[[#This Row],[Shares]]+Table1_30[[#This Row],[Comments]])/Table1_30[[#This Row],[Impressions]]</f>
        <v>0.17382711311522595</v>
      </c>
    </row>
    <row r="61" spans="1:13" x14ac:dyDescent="0.3">
      <c r="A61" s="3" t="s">
        <v>127</v>
      </c>
      <c r="B61" s="3" t="s">
        <v>18</v>
      </c>
      <c r="C61" s="2">
        <v>45924</v>
      </c>
      <c r="D61" s="3" t="s">
        <v>23</v>
      </c>
      <c r="E61" s="3" t="s">
        <v>35</v>
      </c>
      <c r="F61" s="3">
        <v>12209</v>
      </c>
      <c r="G61" s="3">
        <v>222</v>
      </c>
      <c r="H61" s="3">
        <v>479</v>
      </c>
      <c r="I61" s="3">
        <v>2748</v>
      </c>
      <c r="J61" s="3">
        <v>24615</v>
      </c>
      <c r="K61" s="3">
        <v>74707</v>
      </c>
      <c r="L61" s="3" t="s">
        <v>20</v>
      </c>
      <c r="M61" s="4">
        <f>(Table1_30[[#This Row],[Likes]]+Table1_30[[#This Row],[Shares]]+Table1_30[[#This Row],[Comments]])/Table1_30[[#This Row],[Impressions]]</f>
        <v>0.17280843829895459</v>
      </c>
    </row>
    <row r="62" spans="1:13" x14ac:dyDescent="0.3">
      <c r="A62" s="3" t="s">
        <v>79</v>
      </c>
      <c r="B62" s="3" t="s">
        <v>18</v>
      </c>
      <c r="C62" s="2">
        <v>45718</v>
      </c>
      <c r="D62" s="3" t="s">
        <v>27</v>
      </c>
      <c r="E62" s="3" t="s">
        <v>55</v>
      </c>
      <c r="F62" s="3">
        <v>22562</v>
      </c>
      <c r="G62" s="3">
        <v>778</v>
      </c>
      <c r="H62" s="3">
        <v>907</v>
      </c>
      <c r="I62" s="3">
        <v>1354</v>
      </c>
      <c r="J62" s="3">
        <v>34475</v>
      </c>
      <c r="K62" s="3">
        <v>141459</v>
      </c>
      <c r="L62" s="3" t="s">
        <v>29</v>
      </c>
      <c r="M62" s="4">
        <f>(Table1_30[[#This Row],[Likes]]+Table1_30[[#This Row],[Shares]]+Table1_30[[#This Row],[Comments]])/Table1_30[[#This Row],[Impressions]]</f>
        <v>0.17140655596321194</v>
      </c>
    </row>
    <row r="63" spans="1:13" x14ac:dyDescent="0.3">
      <c r="A63" s="3" t="s">
        <v>312</v>
      </c>
      <c r="B63" s="3" t="s">
        <v>18</v>
      </c>
      <c r="C63" s="2">
        <v>45450</v>
      </c>
      <c r="D63" s="3" t="s">
        <v>27</v>
      </c>
      <c r="E63" s="3" t="s">
        <v>28</v>
      </c>
      <c r="F63" s="3">
        <v>8233</v>
      </c>
      <c r="G63" s="3">
        <v>436</v>
      </c>
      <c r="H63" s="3">
        <v>269</v>
      </c>
      <c r="I63" s="3">
        <v>2037</v>
      </c>
      <c r="J63" s="3">
        <v>8875</v>
      </c>
      <c r="K63" s="3">
        <v>52289</v>
      </c>
      <c r="L63" s="3" t="s">
        <v>16</v>
      </c>
      <c r="M63" s="4">
        <f>(Table1_30[[#This Row],[Likes]]+Table1_30[[#This Row],[Shares]]+Table1_30[[#This Row],[Comments]])/Table1_30[[#This Row],[Impressions]]</f>
        <v>0.17093461339861157</v>
      </c>
    </row>
    <row r="64" spans="1:13" x14ac:dyDescent="0.3">
      <c r="A64" s="3" t="s">
        <v>196</v>
      </c>
      <c r="B64" s="3" t="s">
        <v>18</v>
      </c>
      <c r="C64" s="2">
        <v>45528</v>
      </c>
      <c r="D64" s="3" t="s">
        <v>23</v>
      </c>
      <c r="E64" s="3" t="s">
        <v>55</v>
      </c>
      <c r="F64" s="3">
        <v>22527</v>
      </c>
      <c r="G64" s="3">
        <v>865</v>
      </c>
      <c r="H64" s="3">
        <v>646</v>
      </c>
      <c r="I64" s="3">
        <v>992</v>
      </c>
      <c r="J64" s="3">
        <v>18654</v>
      </c>
      <c r="K64" s="3">
        <v>141376</v>
      </c>
      <c r="L64" s="3" t="s">
        <v>45</v>
      </c>
      <c r="M64" s="4">
        <f>(Table1_30[[#This Row],[Likes]]+Table1_30[[#This Row],[Shares]]+Table1_30[[#This Row],[Comments]])/Table1_30[[#This Row],[Impressions]]</f>
        <v>0.17002885921231325</v>
      </c>
    </row>
    <row r="65" spans="1:13" x14ac:dyDescent="0.3">
      <c r="A65" s="3" t="s">
        <v>194</v>
      </c>
      <c r="B65" s="3" t="s">
        <v>40</v>
      </c>
      <c r="C65" s="2">
        <v>45515</v>
      </c>
      <c r="D65" s="3" t="s">
        <v>34</v>
      </c>
      <c r="E65" s="3" t="s">
        <v>19</v>
      </c>
      <c r="F65" s="3">
        <v>14394</v>
      </c>
      <c r="G65" s="3">
        <v>1202</v>
      </c>
      <c r="H65" s="3">
        <v>188</v>
      </c>
      <c r="I65" s="3">
        <v>1259</v>
      </c>
      <c r="J65" s="3">
        <v>21925</v>
      </c>
      <c r="K65" s="3">
        <v>94061</v>
      </c>
      <c r="L65" s="3" t="s">
        <v>29</v>
      </c>
      <c r="M65" s="4">
        <f>(Table1_30[[#This Row],[Likes]]+Table1_30[[#This Row],[Shares]]+Table1_30[[#This Row],[Comments]])/Table1_30[[#This Row],[Impressions]]</f>
        <v>0.1678059982351878</v>
      </c>
    </row>
    <row r="66" spans="1:13" x14ac:dyDescent="0.3">
      <c r="A66" s="3" t="s">
        <v>238</v>
      </c>
      <c r="B66" s="3" t="s">
        <v>18</v>
      </c>
      <c r="C66" s="2">
        <v>45921</v>
      </c>
      <c r="D66" s="3" t="s">
        <v>14</v>
      </c>
      <c r="E66" s="3" t="s">
        <v>115</v>
      </c>
      <c r="F66" s="3">
        <v>19680</v>
      </c>
      <c r="G66" s="3">
        <v>999</v>
      </c>
      <c r="H66" s="3">
        <v>838</v>
      </c>
      <c r="I66" s="3">
        <v>891</v>
      </c>
      <c r="J66" s="3">
        <v>29576</v>
      </c>
      <c r="K66" s="3">
        <v>129152</v>
      </c>
      <c r="L66" s="3" t="s">
        <v>20</v>
      </c>
      <c r="M66" s="4">
        <f>(Table1_30[[#This Row],[Likes]]+Table1_30[[#This Row],[Shares]]+Table1_30[[#This Row],[Comments]])/Table1_30[[#This Row],[Impressions]]</f>
        <v>0.16660214321110009</v>
      </c>
    </row>
    <row r="67" spans="1:13" x14ac:dyDescent="0.3">
      <c r="A67" s="3" t="s">
        <v>108</v>
      </c>
      <c r="B67" s="3" t="s">
        <v>22</v>
      </c>
      <c r="C67" s="2">
        <v>45921</v>
      </c>
      <c r="D67" s="3" t="s">
        <v>27</v>
      </c>
      <c r="E67" s="3" t="s">
        <v>15</v>
      </c>
      <c r="F67" s="3">
        <v>23103</v>
      </c>
      <c r="G67" s="3">
        <v>1380</v>
      </c>
      <c r="H67" s="3">
        <v>191</v>
      </c>
      <c r="I67" s="3">
        <v>1547</v>
      </c>
      <c r="J67" s="3">
        <v>77798</v>
      </c>
      <c r="K67" s="3">
        <v>148856</v>
      </c>
      <c r="L67" s="3" t="s">
        <v>20</v>
      </c>
      <c r="M67" s="4">
        <f>(Table1_30[[#This Row],[Likes]]+Table1_30[[#This Row],[Shares]]+Table1_30[[#This Row],[Comments]])/Table1_30[[#This Row],[Impressions]]</f>
        <v>0.16575751061428495</v>
      </c>
    </row>
    <row r="68" spans="1:13" x14ac:dyDescent="0.3">
      <c r="A68" s="3" t="s">
        <v>257</v>
      </c>
      <c r="B68" s="3" t="s">
        <v>13</v>
      </c>
      <c r="C68" s="2">
        <v>45739</v>
      </c>
      <c r="D68" s="3" t="s">
        <v>34</v>
      </c>
      <c r="E68" s="3" t="s">
        <v>35</v>
      </c>
      <c r="F68" s="3">
        <v>17728</v>
      </c>
      <c r="G68" s="3">
        <v>1487</v>
      </c>
      <c r="H68" s="3">
        <v>210</v>
      </c>
      <c r="I68" s="3">
        <v>2469</v>
      </c>
      <c r="J68" s="3">
        <v>30565</v>
      </c>
      <c r="K68" s="3">
        <v>117576</v>
      </c>
      <c r="L68" s="3" t="s">
        <v>16</v>
      </c>
      <c r="M68" s="4">
        <f>(Table1_30[[#This Row],[Likes]]+Table1_30[[#This Row],[Shares]]+Table1_30[[#This Row],[Comments]])/Table1_30[[#This Row],[Impressions]]</f>
        <v>0.16521228822208614</v>
      </c>
    </row>
    <row r="69" spans="1:13" x14ac:dyDescent="0.3">
      <c r="A69" s="3" t="s">
        <v>321</v>
      </c>
      <c r="B69" s="3" t="s">
        <v>40</v>
      </c>
      <c r="C69" s="2">
        <v>45491</v>
      </c>
      <c r="D69" s="3" t="s">
        <v>27</v>
      </c>
      <c r="E69" s="3" t="s">
        <v>15</v>
      </c>
      <c r="F69" s="3">
        <v>16594</v>
      </c>
      <c r="G69" s="3">
        <v>809</v>
      </c>
      <c r="H69" s="3">
        <v>784</v>
      </c>
      <c r="I69" s="3">
        <v>1655</v>
      </c>
      <c r="J69" s="3">
        <v>35505</v>
      </c>
      <c r="K69" s="3">
        <v>112588</v>
      </c>
      <c r="L69" s="3" t="s">
        <v>25</v>
      </c>
      <c r="M69" s="4">
        <f>(Table1_30[[#This Row],[Likes]]+Table1_30[[#This Row],[Shares]]+Table1_30[[#This Row],[Comments]])/Table1_30[[#This Row],[Impressions]]</f>
        <v>0.16153586527871533</v>
      </c>
    </row>
    <row r="70" spans="1:13" x14ac:dyDescent="0.3">
      <c r="A70" s="3" t="s">
        <v>97</v>
      </c>
      <c r="B70" s="3" t="s">
        <v>13</v>
      </c>
      <c r="C70" s="2">
        <v>45920</v>
      </c>
      <c r="D70" s="3" t="s">
        <v>14</v>
      </c>
      <c r="E70" s="3" t="s">
        <v>50</v>
      </c>
      <c r="F70" s="3">
        <v>18633</v>
      </c>
      <c r="G70" s="3">
        <v>797</v>
      </c>
      <c r="H70" s="3">
        <v>303</v>
      </c>
      <c r="I70" s="3">
        <v>659</v>
      </c>
      <c r="J70" s="3">
        <v>7</v>
      </c>
      <c r="K70" s="3">
        <v>122189</v>
      </c>
      <c r="L70" s="3" t="s">
        <v>20</v>
      </c>
      <c r="M70" s="4">
        <f>(Table1_30[[#This Row],[Likes]]+Table1_30[[#This Row],[Shares]]+Table1_30[[#This Row],[Comments]])/Table1_30[[#This Row],[Impressions]]</f>
        <v>0.16149571565361859</v>
      </c>
    </row>
    <row r="71" spans="1:13" x14ac:dyDescent="0.3">
      <c r="A71" s="3" t="s">
        <v>110</v>
      </c>
      <c r="B71" s="3" t="s">
        <v>22</v>
      </c>
      <c r="C71" s="2">
        <v>45505</v>
      </c>
      <c r="D71" s="3" t="s">
        <v>14</v>
      </c>
      <c r="E71" s="3" t="s">
        <v>24</v>
      </c>
      <c r="F71" s="3">
        <v>21758</v>
      </c>
      <c r="G71" s="3">
        <v>1380</v>
      </c>
      <c r="H71" s="3">
        <v>188</v>
      </c>
      <c r="I71" s="3">
        <v>1735</v>
      </c>
      <c r="J71" s="3">
        <v>20998</v>
      </c>
      <c r="K71" s="3">
        <v>147803</v>
      </c>
      <c r="L71" s="3" t="s">
        <v>45</v>
      </c>
      <c r="M71" s="4">
        <f>(Table1_30[[#This Row],[Likes]]+Table1_30[[#This Row],[Shares]]+Table1_30[[#This Row],[Comments]])/Table1_30[[#This Row],[Impressions]]</f>
        <v>0.15781817689762725</v>
      </c>
    </row>
    <row r="72" spans="1:13" x14ac:dyDescent="0.3">
      <c r="A72" s="3" t="s">
        <v>225</v>
      </c>
      <c r="B72" s="3" t="s">
        <v>13</v>
      </c>
      <c r="C72" s="2">
        <v>45740</v>
      </c>
      <c r="D72" s="3" t="s">
        <v>14</v>
      </c>
      <c r="E72" s="3" t="s">
        <v>32</v>
      </c>
      <c r="F72" s="3">
        <v>10172</v>
      </c>
      <c r="G72" s="3">
        <v>1398</v>
      </c>
      <c r="H72" s="3">
        <v>394</v>
      </c>
      <c r="I72" s="3">
        <v>2358</v>
      </c>
      <c r="J72" s="3">
        <v>59610</v>
      </c>
      <c r="K72" s="3">
        <v>76321</v>
      </c>
      <c r="L72" s="3" t="s">
        <v>29</v>
      </c>
      <c r="M72" s="4">
        <f>(Table1_30[[#This Row],[Likes]]+Table1_30[[#This Row],[Shares]]+Table1_30[[#This Row],[Comments]])/Table1_30[[#This Row],[Impressions]]</f>
        <v>0.15675895231980713</v>
      </c>
    </row>
    <row r="73" spans="1:13" x14ac:dyDescent="0.3">
      <c r="A73" s="3" t="s">
        <v>85</v>
      </c>
      <c r="B73" s="3" t="s">
        <v>40</v>
      </c>
      <c r="C73" s="2">
        <v>45476</v>
      </c>
      <c r="D73" s="3" t="s">
        <v>23</v>
      </c>
      <c r="E73" s="3" t="s">
        <v>35</v>
      </c>
      <c r="F73" s="3">
        <v>14338</v>
      </c>
      <c r="G73" s="3">
        <v>1454</v>
      </c>
      <c r="H73" s="3">
        <v>697</v>
      </c>
      <c r="I73" s="3">
        <v>2703</v>
      </c>
      <c r="J73" s="3">
        <v>21288</v>
      </c>
      <c r="K73" s="3">
        <v>107649</v>
      </c>
      <c r="L73" s="3" t="s">
        <v>29</v>
      </c>
      <c r="M73" s="4">
        <f>(Table1_30[[#This Row],[Likes]]+Table1_30[[#This Row],[Shares]]+Table1_30[[#This Row],[Comments]])/Table1_30[[#This Row],[Impressions]]</f>
        <v>0.1531737405828201</v>
      </c>
    </row>
    <row r="74" spans="1:13" x14ac:dyDescent="0.3">
      <c r="A74" s="3" t="s">
        <v>168</v>
      </c>
      <c r="B74" s="3" t="s">
        <v>22</v>
      </c>
      <c r="C74" s="2">
        <v>45720</v>
      </c>
      <c r="D74" s="3" t="s">
        <v>27</v>
      </c>
      <c r="E74" s="3" t="s">
        <v>19</v>
      </c>
      <c r="F74" s="3">
        <v>5266</v>
      </c>
      <c r="G74" s="3">
        <v>316</v>
      </c>
      <c r="H74" s="3">
        <v>837</v>
      </c>
      <c r="I74" s="3">
        <v>2276</v>
      </c>
      <c r="J74" s="3">
        <v>20967</v>
      </c>
      <c r="K74" s="3">
        <v>41969</v>
      </c>
      <c r="L74" s="3" t="s">
        <v>45</v>
      </c>
      <c r="M74" s="4">
        <f>(Table1_30[[#This Row],[Likes]]+Table1_30[[#This Row],[Shares]]+Table1_30[[#This Row],[Comments]])/Table1_30[[#This Row],[Impressions]]</f>
        <v>0.1529462222116324</v>
      </c>
    </row>
    <row r="75" spans="1:13" x14ac:dyDescent="0.3">
      <c r="A75" s="3" t="s">
        <v>75</v>
      </c>
      <c r="B75" s="3" t="s">
        <v>13</v>
      </c>
      <c r="C75" s="2">
        <v>45914</v>
      </c>
      <c r="D75" s="3" t="s">
        <v>34</v>
      </c>
      <c r="E75" s="3" t="s">
        <v>37</v>
      </c>
      <c r="F75" s="3">
        <v>19844</v>
      </c>
      <c r="G75" s="3">
        <v>1020</v>
      </c>
      <c r="H75" s="3">
        <v>247</v>
      </c>
      <c r="I75" s="3">
        <v>2354</v>
      </c>
      <c r="J75" s="3">
        <v>37792</v>
      </c>
      <c r="K75" s="3">
        <v>138317</v>
      </c>
      <c r="L75" s="3" t="s">
        <v>20</v>
      </c>
      <c r="M75" s="4">
        <f>(Table1_30[[#This Row],[Likes]]+Table1_30[[#This Row],[Shares]]+Table1_30[[#This Row],[Comments]])/Table1_30[[#This Row],[Impressions]]</f>
        <v>0.15262765965138053</v>
      </c>
    </row>
    <row r="76" spans="1:13" x14ac:dyDescent="0.3">
      <c r="A76" s="3" t="s">
        <v>112</v>
      </c>
      <c r="B76" s="3" t="s">
        <v>18</v>
      </c>
      <c r="C76" s="2">
        <v>45720</v>
      </c>
      <c r="D76" s="3" t="s">
        <v>34</v>
      </c>
      <c r="E76" s="3" t="s">
        <v>41</v>
      </c>
      <c r="F76" s="3">
        <v>13470</v>
      </c>
      <c r="G76" s="3">
        <v>523</v>
      </c>
      <c r="H76" s="3">
        <v>280</v>
      </c>
      <c r="I76" s="3">
        <v>2682</v>
      </c>
      <c r="J76" s="3">
        <v>8538</v>
      </c>
      <c r="K76" s="3">
        <v>95204</v>
      </c>
      <c r="L76" s="3" t="s">
        <v>16</v>
      </c>
      <c r="M76" s="4">
        <f>(Table1_30[[#This Row],[Likes]]+Table1_30[[#This Row],[Shares]]+Table1_30[[#This Row],[Comments]])/Table1_30[[#This Row],[Impressions]]</f>
        <v>0.14992017142136885</v>
      </c>
    </row>
    <row r="77" spans="1:13" x14ac:dyDescent="0.3">
      <c r="A77" s="3" t="s">
        <v>300</v>
      </c>
      <c r="B77" s="3" t="s">
        <v>22</v>
      </c>
      <c r="C77" s="2">
        <v>45687</v>
      </c>
      <c r="D77" s="3" t="s">
        <v>23</v>
      </c>
      <c r="E77" s="3" t="s">
        <v>55</v>
      </c>
      <c r="F77" s="3">
        <v>12954</v>
      </c>
      <c r="G77" s="3">
        <v>913</v>
      </c>
      <c r="H77" s="3">
        <v>722</v>
      </c>
      <c r="I77" s="3">
        <v>1049</v>
      </c>
      <c r="J77" s="3">
        <v>475</v>
      </c>
      <c r="K77" s="3">
        <v>97716</v>
      </c>
      <c r="L77" s="3" t="s">
        <v>16</v>
      </c>
      <c r="M77" s="4">
        <f>(Table1_30[[#This Row],[Likes]]+Table1_30[[#This Row],[Shares]]+Table1_30[[#This Row],[Comments]])/Table1_30[[#This Row],[Impressions]]</f>
        <v>0.14930001228048631</v>
      </c>
    </row>
    <row r="78" spans="1:13" x14ac:dyDescent="0.3">
      <c r="A78" s="3" t="s">
        <v>144</v>
      </c>
      <c r="B78" s="3" t="s">
        <v>18</v>
      </c>
      <c r="C78" s="2">
        <v>45928</v>
      </c>
      <c r="D78" s="3" t="s">
        <v>34</v>
      </c>
      <c r="E78" s="3" t="s">
        <v>37</v>
      </c>
      <c r="F78" s="3">
        <v>21963</v>
      </c>
      <c r="G78" s="3">
        <v>1356</v>
      </c>
      <c r="H78" s="3">
        <v>349</v>
      </c>
      <c r="I78" s="3">
        <v>1206</v>
      </c>
      <c r="J78" s="3">
        <v>51755</v>
      </c>
      <c r="K78" s="3">
        <v>159273</v>
      </c>
      <c r="L78" s="3" t="s">
        <v>20</v>
      </c>
      <c r="M78" s="4">
        <f>(Table1_30[[#This Row],[Likes]]+Table1_30[[#This Row],[Shares]]+Table1_30[[#This Row],[Comments]])/Table1_30[[#This Row],[Impressions]]</f>
        <v>0.14860020216860359</v>
      </c>
    </row>
    <row r="79" spans="1:13" x14ac:dyDescent="0.3">
      <c r="A79" s="3" t="s">
        <v>284</v>
      </c>
      <c r="B79" s="3" t="s">
        <v>22</v>
      </c>
      <c r="C79" s="2">
        <v>45914</v>
      </c>
      <c r="D79" s="3" t="s">
        <v>34</v>
      </c>
      <c r="E79" s="3" t="s">
        <v>50</v>
      </c>
      <c r="F79" s="3">
        <v>12787</v>
      </c>
      <c r="G79" s="3">
        <v>945</v>
      </c>
      <c r="H79" s="3">
        <v>974</v>
      </c>
      <c r="I79" s="3">
        <v>1407</v>
      </c>
      <c r="J79" s="3">
        <v>4037</v>
      </c>
      <c r="K79" s="3">
        <v>99182</v>
      </c>
      <c r="L79" s="3" t="s">
        <v>20</v>
      </c>
      <c r="M79" s="4">
        <f>(Table1_30[[#This Row],[Likes]]+Table1_30[[#This Row],[Shares]]+Table1_30[[#This Row],[Comments]])/Table1_30[[#This Row],[Impressions]]</f>
        <v>0.14827287209372669</v>
      </c>
    </row>
    <row r="80" spans="1:13" x14ac:dyDescent="0.3">
      <c r="A80" s="3" t="s">
        <v>140</v>
      </c>
      <c r="B80" s="3" t="s">
        <v>18</v>
      </c>
      <c r="C80" s="2">
        <v>45739</v>
      </c>
      <c r="D80" s="3" t="s">
        <v>14</v>
      </c>
      <c r="E80" s="3" t="s">
        <v>24</v>
      </c>
      <c r="F80" s="3">
        <v>24711</v>
      </c>
      <c r="G80" s="3">
        <v>882</v>
      </c>
      <c r="H80" s="3">
        <v>876</v>
      </c>
      <c r="I80" s="3">
        <v>2728</v>
      </c>
      <c r="J80" s="3">
        <v>32015</v>
      </c>
      <c r="K80" s="3">
        <v>180272</v>
      </c>
      <c r="L80" s="3" t="s">
        <v>29</v>
      </c>
      <c r="M80" s="4">
        <f>(Table1_30[[#This Row],[Likes]]+Table1_30[[#This Row],[Shares]]+Table1_30[[#This Row],[Comments]])/Table1_30[[#This Row],[Impressions]]</f>
        <v>0.1468281263867933</v>
      </c>
    </row>
    <row r="81" spans="1:13" x14ac:dyDescent="0.3">
      <c r="A81" s="3" t="s">
        <v>278</v>
      </c>
      <c r="B81" s="3" t="s">
        <v>13</v>
      </c>
      <c r="C81" s="2">
        <v>45912</v>
      </c>
      <c r="D81" s="3" t="s">
        <v>27</v>
      </c>
      <c r="E81" s="3" t="s">
        <v>35</v>
      </c>
      <c r="F81" s="3">
        <v>15918</v>
      </c>
      <c r="G81" s="3">
        <v>1114</v>
      </c>
      <c r="H81" s="3">
        <v>392</v>
      </c>
      <c r="I81" s="3">
        <v>1641</v>
      </c>
      <c r="J81" s="3">
        <v>28044</v>
      </c>
      <c r="K81" s="3">
        <v>118714</v>
      </c>
      <c r="L81" s="3" t="s">
        <v>20</v>
      </c>
      <c r="M81" s="4">
        <f>(Table1_30[[#This Row],[Likes]]+Table1_30[[#This Row],[Shares]]+Table1_30[[#This Row],[Comments]])/Table1_30[[#This Row],[Impressions]]</f>
        <v>0.14677291642097814</v>
      </c>
    </row>
    <row r="82" spans="1:13" x14ac:dyDescent="0.3">
      <c r="A82" s="3" t="s">
        <v>191</v>
      </c>
      <c r="B82" s="3" t="s">
        <v>22</v>
      </c>
      <c r="C82" s="2">
        <v>45647</v>
      </c>
      <c r="D82" s="3" t="s">
        <v>14</v>
      </c>
      <c r="E82" s="3" t="s">
        <v>15</v>
      </c>
      <c r="F82" s="3">
        <v>12453</v>
      </c>
      <c r="G82" s="3">
        <v>376</v>
      </c>
      <c r="H82" s="3">
        <v>320</v>
      </c>
      <c r="I82" s="3">
        <v>2546</v>
      </c>
      <c r="J82" s="3">
        <v>22617</v>
      </c>
      <c r="K82" s="3">
        <v>90138</v>
      </c>
      <c r="L82" s="3" t="s">
        <v>25</v>
      </c>
      <c r="M82" s="4">
        <f>(Table1_30[[#This Row],[Likes]]+Table1_30[[#This Row],[Shares]]+Table1_30[[#This Row],[Comments]])/Table1_30[[#This Row],[Impressions]]</f>
        <v>0.14587632297144379</v>
      </c>
    </row>
    <row r="83" spans="1:13" x14ac:dyDescent="0.3">
      <c r="A83" s="3" t="s">
        <v>268</v>
      </c>
      <c r="B83" s="3" t="s">
        <v>18</v>
      </c>
      <c r="C83" s="2">
        <v>45776</v>
      </c>
      <c r="D83" s="3" t="s">
        <v>34</v>
      </c>
      <c r="E83" s="3" t="s">
        <v>37</v>
      </c>
      <c r="F83" s="3">
        <v>16277</v>
      </c>
      <c r="G83" s="3">
        <v>1109</v>
      </c>
      <c r="H83" s="3">
        <v>375</v>
      </c>
      <c r="I83" s="3">
        <v>2225</v>
      </c>
      <c r="J83" s="3">
        <v>1044</v>
      </c>
      <c r="K83" s="3">
        <v>121889</v>
      </c>
      <c r="L83" s="3" t="s">
        <v>29</v>
      </c>
      <c r="M83" s="4">
        <f>(Table1_30[[#This Row],[Likes]]+Table1_30[[#This Row],[Shares]]+Table1_30[[#This Row],[Comments]])/Table1_30[[#This Row],[Impressions]]</f>
        <v>0.14571454356012437</v>
      </c>
    </row>
    <row r="84" spans="1:13" x14ac:dyDescent="0.3">
      <c r="A84" s="3" t="s">
        <v>260</v>
      </c>
      <c r="B84" s="3" t="s">
        <v>18</v>
      </c>
      <c r="C84" s="2">
        <v>45907</v>
      </c>
      <c r="D84" s="3" t="s">
        <v>23</v>
      </c>
      <c r="E84" s="3" t="s">
        <v>115</v>
      </c>
      <c r="F84" s="3">
        <v>4472</v>
      </c>
      <c r="G84" s="3">
        <v>1301</v>
      </c>
      <c r="H84" s="3">
        <v>956</v>
      </c>
      <c r="I84" s="3">
        <v>1186</v>
      </c>
      <c r="J84" s="3">
        <v>3363</v>
      </c>
      <c r="K84" s="3">
        <v>46471</v>
      </c>
      <c r="L84" s="3" t="s">
        <v>20</v>
      </c>
      <c r="M84" s="4">
        <f>(Table1_30[[#This Row],[Likes]]+Table1_30[[#This Row],[Shares]]+Table1_30[[#This Row],[Comments]])/Table1_30[[#This Row],[Impressions]]</f>
        <v>0.14479998278496267</v>
      </c>
    </row>
    <row r="85" spans="1:13" x14ac:dyDescent="0.3">
      <c r="A85" s="3" t="s">
        <v>102</v>
      </c>
      <c r="B85" s="3" t="s">
        <v>18</v>
      </c>
      <c r="C85" s="2">
        <v>45745</v>
      </c>
      <c r="D85" s="3" t="s">
        <v>27</v>
      </c>
      <c r="E85" s="3" t="s">
        <v>37</v>
      </c>
      <c r="F85" s="3">
        <v>19461</v>
      </c>
      <c r="G85" s="3">
        <v>1382</v>
      </c>
      <c r="H85" s="3">
        <v>445</v>
      </c>
      <c r="I85" s="3">
        <v>1307</v>
      </c>
      <c r="J85" s="3">
        <v>84691</v>
      </c>
      <c r="K85" s="3">
        <v>151453</v>
      </c>
      <c r="L85" s="3" t="s">
        <v>29</v>
      </c>
      <c r="M85" s="4">
        <f>(Table1_30[[#This Row],[Likes]]+Table1_30[[#This Row],[Shares]]+Table1_30[[#This Row],[Comments]])/Table1_30[[#This Row],[Impressions]]</f>
        <v>0.14055845707909384</v>
      </c>
    </row>
    <row r="86" spans="1:13" x14ac:dyDescent="0.3">
      <c r="A86" s="3" t="s">
        <v>239</v>
      </c>
      <c r="B86" s="3" t="s">
        <v>13</v>
      </c>
      <c r="C86" s="2">
        <v>45617</v>
      </c>
      <c r="D86" s="3" t="s">
        <v>14</v>
      </c>
      <c r="E86" s="3" t="s">
        <v>37</v>
      </c>
      <c r="F86" s="3">
        <v>8229</v>
      </c>
      <c r="G86" s="3">
        <v>977</v>
      </c>
      <c r="H86" s="3">
        <v>152</v>
      </c>
      <c r="I86" s="3">
        <v>1633</v>
      </c>
      <c r="J86" s="3">
        <v>71447</v>
      </c>
      <c r="K86" s="3">
        <v>67723</v>
      </c>
      <c r="L86" s="3" t="s">
        <v>45</v>
      </c>
      <c r="M86" s="4">
        <f>(Table1_30[[#This Row],[Likes]]+Table1_30[[#This Row],[Shares]]+Table1_30[[#This Row],[Comments]])/Table1_30[[#This Row],[Impressions]]</f>
        <v>0.13818052950991538</v>
      </c>
    </row>
    <row r="87" spans="1:13" x14ac:dyDescent="0.3">
      <c r="A87" s="3" t="s">
        <v>220</v>
      </c>
      <c r="B87" s="3" t="s">
        <v>13</v>
      </c>
      <c r="C87" s="2">
        <v>45943</v>
      </c>
      <c r="D87" s="3" t="s">
        <v>27</v>
      </c>
      <c r="E87" s="3" t="s">
        <v>50</v>
      </c>
      <c r="F87" s="3">
        <v>19302</v>
      </c>
      <c r="G87" s="3">
        <v>1367</v>
      </c>
      <c r="H87" s="3">
        <v>188</v>
      </c>
      <c r="I87" s="3">
        <v>637</v>
      </c>
      <c r="J87" s="3">
        <v>31404</v>
      </c>
      <c r="K87" s="3">
        <v>154044</v>
      </c>
      <c r="L87" s="3" t="s">
        <v>20</v>
      </c>
      <c r="M87" s="4">
        <f>(Table1_30[[#This Row],[Likes]]+Table1_30[[#This Row],[Shares]]+Table1_30[[#This Row],[Comments]])/Table1_30[[#This Row],[Impressions]]</f>
        <v>0.13539638025499209</v>
      </c>
    </row>
    <row r="88" spans="1:13" x14ac:dyDescent="0.3">
      <c r="A88" s="3" t="s">
        <v>124</v>
      </c>
      <c r="B88" s="3" t="s">
        <v>22</v>
      </c>
      <c r="C88" s="2">
        <v>45480</v>
      </c>
      <c r="D88" s="3" t="s">
        <v>23</v>
      </c>
      <c r="E88" s="3" t="s">
        <v>19</v>
      </c>
      <c r="F88" s="3">
        <v>24625</v>
      </c>
      <c r="G88" s="3">
        <v>749</v>
      </c>
      <c r="H88" s="3">
        <v>193</v>
      </c>
      <c r="I88" s="3">
        <v>1340</v>
      </c>
      <c r="J88" s="3">
        <v>4890</v>
      </c>
      <c r="K88" s="3">
        <v>189381</v>
      </c>
      <c r="L88" s="3" t="s">
        <v>16</v>
      </c>
      <c r="M88" s="4">
        <f>(Table1_30[[#This Row],[Likes]]+Table1_30[[#This Row],[Shares]]+Table1_30[[#This Row],[Comments]])/Table1_30[[#This Row],[Impressions]]</f>
        <v>0.13500298340382616</v>
      </c>
    </row>
    <row r="89" spans="1:13" x14ac:dyDescent="0.3">
      <c r="A89" s="3" t="s">
        <v>74</v>
      </c>
      <c r="B89" s="3" t="s">
        <v>22</v>
      </c>
      <c r="C89" s="2">
        <v>45913</v>
      </c>
      <c r="D89" s="3" t="s">
        <v>34</v>
      </c>
      <c r="E89" s="3" t="s">
        <v>35</v>
      </c>
      <c r="F89" s="3">
        <v>17106</v>
      </c>
      <c r="G89" s="3">
        <v>702</v>
      </c>
      <c r="H89" s="3">
        <v>459</v>
      </c>
      <c r="I89" s="3">
        <v>999</v>
      </c>
      <c r="J89" s="3">
        <v>59627</v>
      </c>
      <c r="K89" s="3">
        <v>136059</v>
      </c>
      <c r="L89" s="3" t="s">
        <v>20</v>
      </c>
      <c r="M89" s="4">
        <f>(Table1_30[[#This Row],[Likes]]+Table1_30[[#This Row],[Shares]]+Table1_30[[#This Row],[Comments]])/Table1_30[[#This Row],[Impressions]]</f>
        <v>0.13425793222058077</v>
      </c>
    </row>
    <row r="90" spans="1:13" x14ac:dyDescent="0.3">
      <c r="A90" s="3" t="s">
        <v>204</v>
      </c>
      <c r="B90" s="3" t="s">
        <v>13</v>
      </c>
      <c r="C90" s="2">
        <v>45608</v>
      </c>
      <c r="D90" s="3" t="s">
        <v>14</v>
      </c>
      <c r="E90" s="3" t="s">
        <v>19</v>
      </c>
      <c r="F90" s="3">
        <v>19022</v>
      </c>
      <c r="G90" s="3">
        <v>541</v>
      </c>
      <c r="H90" s="3">
        <v>575</v>
      </c>
      <c r="I90" s="3">
        <v>2063</v>
      </c>
      <c r="J90" s="3">
        <v>42743</v>
      </c>
      <c r="K90" s="3">
        <v>150169</v>
      </c>
      <c r="L90" s="3" t="s">
        <v>16</v>
      </c>
      <c r="M90" s="4">
        <f>(Table1_30[[#This Row],[Likes]]+Table1_30[[#This Row],[Shares]]+Table1_30[[#This Row],[Comments]])/Table1_30[[#This Row],[Impressions]]</f>
        <v>0.13410224480418728</v>
      </c>
    </row>
    <row r="91" spans="1:13" x14ac:dyDescent="0.3">
      <c r="A91" s="3" t="s">
        <v>95</v>
      </c>
      <c r="B91" s="3" t="s">
        <v>22</v>
      </c>
      <c r="C91" s="2">
        <v>45685</v>
      </c>
      <c r="D91" s="3" t="s">
        <v>23</v>
      </c>
      <c r="E91" s="3" t="s">
        <v>37</v>
      </c>
      <c r="F91" s="3">
        <v>9239</v>
      </c>
      <c r="G91" s="3">
        <v>1477</v>
      </c>
      <c r="H91" s="3">
        <v>631</v>
      </c>
      <c r="I91" s="3">
        <v>1556</v>
      </c>
      <c r="J91" s="3">
        <v>11580</v>
      </c>
      <c r="K91" s="3">
        <v>84738</v>
      </c>
      <c r="L91" s="3" t="s">
        <v>25</v>
      </c>
      <c r="M91" s="4">
        <f>(Table1_30[[#This Row],[Likes]]+Table1_30[[#This Row],[Shares]]+Table1_30[[#This Row],[Comments]])/Table1_30[[#This Row],[Impressions]]</f>
        <v>0.13390686586891359</v>
      </c>
    </row>
    <row r="92" spans="1:13" x14ac:dyDescent="0.3">
      <c r="A92" s="3" t="s">
        <v>183</v>
      </c>
      <c r="B92" s="3" t="s">
        <v>13</v>
      </c>
      <c r="C92" s="2">
        <v>45586</v>
      </c>
      <c r="D92" s="3" t="s">
        <v>23</v>
      </c>
      <c r="E92" s="3" t="s">
        <v>41</v>
      </c>
      <c r="F92" s="3">
        <v>20777</v>
      </c>
      <c r="G92" s="3">
        <v>962</v>
      </c>
      <c r="H92" s="3">
        <v>308</v>
      </c>
      <c r="I92" s="3">
        <v>2777</v>
      </c>
      <c r="J92" s="3">
        <v>25529</v>
      </c>
      <c r="K92" s="3">
        <v>165354</v>
      </c>
      <c r="L92" s="3" t="s">
        <v>16</v>
      </c>
      <c r="M92" s="4">
        <f>(Table1_30[[#This Row],[Likes]]+Table1_30[[#This Row],[Shares]]+Table1_30[[#This Row],[Comments]])/Table1_30[[#This Row],[Impressions]]</f>
        <v>0.13333212380710477</v>
      </c>
    </row>
    <row r="93" spans="1:13" x14ac:dyDescent="0.3">
      <c r="A93" s="3" t="s">
        <v>107</v>
      </c>
      <c r="B93" s="3" t="s">
        <v>40</v>
      </c>
      <c r="C93" s="2">
        <v>45719</v>
      </c>
      <c r="D93" s="3" t="s">
        <v>34</v>
      </c>
      <c r="E93" s="3" t="s">
        <v>50</v>
      </c>
      <c r="F93" s="3">
        <v>24928</v>
      </c>
      <c r="G93" s="3">
        <v>214</v>
      </c>
      <c r="H93" s="3">
        <v>765</v>
      </c>
      <c r="I93" s="3">
        <v>1556</v>
      </c>
      <c r="J93" s="3">
        <v>5239</v>
      </c>
      <c r="K93" s="3">
        <v>194571</v>
      </c>
      <c r="L93" s="3" t="s">
        <v>45</v>
      </c>
      <c r="M93" s="4">
        <f>(Table1_30[[#This Row],[Likes]]+Table1_30[[#This Row],[Shares]]+Table1_30[[#This Row],[Comments]])/Table1_30[[#This Row],[Impressions]]</f>
        <v>0.13314933880177415</v>
      </c>
    </row>
    <row r="94" spans="1:13" x14ac:dyDescent="0.3">
      <c r="A94" s="3" t="s">
        <v>301</v>
      </c>
      <c r="B94" s="3" t="s">
        <v>13</v>
      </c>
      <c r="C94" s="2">
        <v>45708</v>
      </c>
      <c r="D94" s="3" t="s">
        <v>34</v>
      </c>
      <c r="E94" s="3" t="s">
        <v>41</v>
      </c>
      <c r="F94" s="3">
        <v>15703</v>
      </c>
      <c r="G94" s="3">
        <v>1381</v>
      </c>
      <c r="H94" s="3">
        <v>639</v>
      </c>
      <c r="I94" s="3">
        <v>984</v>
      </c>
      <c r="J94" s="3">
        <v>10967</v>
      </c>
      <c r="K94" s="3">
        <v>133747</v>
      </c>
      <c r="L94" s="3" t="s">
        <v>45</v>
      </c>
      <c r="M94" s="4">
        <f>(Table1_30[[#This Row],[Likes]]+Table1_30[[#This Row],[Shares]]+Table1_30[[#This Row],[Comments]])/Table1_30[[#This Row],[Impressions]]</f>
        <v>0.13251138343289942</v>
      </c>
    </row>
    <row r="95" spans="1:13" x14ac:dyDescent="0.3">
      <c r="A95" s="3" t="s">
        <v>33</v>
      </c>
      <c r="B95" s="3" t="s">
        <v>22</v>
      </c>
      <c r="C95" s="2">
        <v>45467</v>
      </c>
      <c r="D95" s="3" t="s">
        <v>34</v>
      </c>
      <c r="E95" s="3" t="s">
        <v>35</v>
      </c>
      <c r="F95" s="3">
        <v>7713</v>
      </c>
      <c r="G95" s="3">
        <v>575</v>
      </c>
      <c r="H95" s="3">
        <v>417</v>
      </c>
      <c r="I95" s="3">
        <v>336</v>
      </c>
      <c r="J95" s="3">
        <v>61660</v>
      </c>
      <c r="K95" s="3">
        <v>66017</v>
      </c>
      <c r="L95" s="3" t="s">
        <v>29</v>
      </c>
      <c r="M95" s="4">
        <f>(Table1_30[[#This Row],[Likes]]+Table1_30[[#This Row],[Shares]]+Table1_30[[#This Row],[Comments]])/Table1_30[[#This Row],[Impressions]]</f>
        <v>0.13185997546086614</v>
      </c>
    </row>
    <row r="96" spans="1:13" x14ac:dyDescent="0.3">
      <c r="A96" s="3" t="s">
        <v>136</v>
      </c>
      <c r="B96" s="3" t="s">
        <v>22</v>
      </c>
      <c r="C96" s="2">
        <v>45925</v>
      </c>
      <c r="D96" s="3" t="s">
        <v>14</v>
      </c>
      <c r="E96" s="3" t="s">
        <v>32</v>
      </c>
      <c r="F96" s="3">
        <v>20564</v>
      </c>
      <c r="G96" s="3">
        <v>1433</v>
      </c>
      <c r="H96" s="3">
        <v>488</v>
      </c>
      <c r="I96" s="3">
        <v>1015</v>
      </c>
      <c r="J96" s="3">
        <v>24333</v>
      </c>
      <c r="K96" s="3">
        <v>172130</v>
      </c>
      <c r="L96" s="3" t="s">
        <v>20</v>
      </c>
      <c r="M96" s="4">
        <f>(Table1_30[[#This Row],[Likes]]+Table1_30[[#This Row],[Shares]]+Table1_30[[#This Row],[Comments]])/Table1_30[[#This Row],[Impressions]]</f>
        <v>0.13062801371056759</v>
      </c>
    </row>
    <row r="97" spans="1:13" x14ac:dyDescent="0.3">
      <c r="A97" s="3" t="s">
        <v>330</v>
      </c>
      <c r="B97" s="3" t="s">
        <v>40</v>
      </c>
      <c r="C97" s="2">
        <v>45462</v>
      </c>
      <c r="D97" s="3" t="s">
        <v>34</v>
      </c>
      <c r="E97" s="3" t="s">
        <v>55</v>
      </c>
      <c r="F97" s="3">
        <v>20444</v>
      </c>
      <c r="G97" s="3">
        <v>233</v>
      </c>
      <c r="H97" s="3">
        <v>189</v>
      </c>
      <c r="I97" s="3">
        <v>2879</v>
      </c>
      <c r="J97" s="3">
        <v>28185</v>
      </c>
      <c r="K97" s="3">
        <v>159891</v>
      </c>
      <c r="L97" s="3" t="s">
        <v>29</v>
      </c>
      <c r="M97" s="4">
        <f>(Table1_30[[#This Row],[Likes]]+Table1_30[[#This Row],[Shares]]+Table1_30[[#This Row],[Comments]])/Table1_30[[#This Row],[Impressions]]</f>
        <v>0.13050140408153055</v>
      </c>
    </row>
    <row r="98" spans="1:13" x14ac:dyDescent="0.3">
      <c r="A98" s="3" t="s">
        <v>12</v>
      </c>
      <c r="B98" s="3" t="s">
        <v>13</v>
      </c>
      <c r="C98" s="2">
        <v>45649</v>
      </c>
      <c r="D98" s="3" t="s">
        <v>14</v>
      </c>
      <c r="E98" s="3" t="s">
        <v>15</v>
      </c>
      <c r="F98" s="3">
        <v>24516</v>
      </c>
      <c r="G98" s="3">
        <v>976</v>
      </c>
      <c r="H98" s="3">
        <v>974</v>
      </c>
      <c r="I98" s="3">
        <v>2675</v>
      </c>
      <c r="J98" s="3">
        <v>23275</v>
      </c>
      <c r="K98" s="3">
        <v>202932</v>
      </c>
      <c r="L98" s="3" t="s">
        <v>16</v>
      </c>
      <c r="M98" s="4">
        <f>(Table1_30[[#This Row],[Likes]]+Table1_30[[#This Row],[Shares]]+Table1_30[[#This Row],[Comments]])/Table1_30[[#This Row],[Impressions]]</f>
        <v>0.13041807107799658</v>
      </c>
    </row>
    <row r="99" spans="1:13" x14ac:dyDescent="0.3">
      <c r="A99" s="3" t="s">
        <v>120</v>
      </c>
      <c r="B99" s="3" t="s">
        <v>18</v>
      </c>
      <c r="C99" s="2">
        <v>45635</v>
      </c>
      <c r="D99" s="3" t="s">
        <v>14</v>
      </c>
      <c r="E99" s="3" t="s">
        <v>19</v>
      </c>
      <c r="F99" s="3">
        <v>15051</v>
      </c>
      <c r="G99" s="3">
        <v>268</v>
      </c>
      <c r="H99" s="3">
        <v>251</v>
      </c>
      <c r="I99" s="3">
        <v>783</v>
      </c>
      <c r="J99" s="3">
        <v>34154</v>
      </c>
      <c r="K99" s="3">
        <v>119671</v>
      </c>
      <c r="L99" s="3" t="s">
        <v>29</v>
      </c>
      <c r="M99" s="4">
        <f>(Table1_30[[#This Row],[Likes]]+Table1_30[[#This Row],[Shares]]+Table1_30[[#This Row],[Comments]])/Table1_30[[#This Row],[Impressions]]</f>
        <v>0.13010670922779954</v>
      </c>
    </row>
    <row r="100" spans="1:13" x14ac:dyDescent="0.3">
      <c r="A100" s="3" t="s">
        <v>88</v>
      </c>
      <c r="B100" s="3" t="s">
        <v>13</v>
      </c>
      <c r="C100" s="2">
        <v>45712</v>
      </c>
      <c r="D100" s="3" t="s">
        <v>14</v>
      </c>
      <c r="E100" s="3" t="s">
        <v>50</v>
      </c>
      <c r="F100" s="3">
        <v>23949</v>
      </c>
      <c r="G100" s="3">
        <v>356</v>
      </c>
      <c r="H100" s="3">
        <v>616</v>
      </c>
      <c r="I100" s="3">
        <v>1847</v>
      </c>
      <c r="J100" s="3">
        <v>3144</v>
      </c>
      <c r="K100" s="3">
        <v>192999</v>
      </c>
      <c r="L100" s="3" t="s">
        <v>29</v>
      </c>
      <c r="M100" s="4">
        <f>(Table1_30[[#This Row],[Likes]]+Table1_30[[#This Row],[Shares]]+Table1_30[[#This Row],[Comments]])/Table1_30[[#This Row],[Impressions]]</f>
        <v>0.12912502137316773</v>
      </c>
    </row>
    <row r="101" spans="1:13" x14ac:dyDescent="0.3">
      <c r="A101" s="3" t="s">
        <v>174</v>
      </c>
      <c r="B101" s="3" t="s">
        <v>22</v>
      </c>
      <c r="C101" s="2">
        <v>45745</v>
      </c>
      <c r="D101" s="3" t="s">
        <v>34</v>
      </c>
      <c r="E101" s="3" t="s">
        <v>24</v>
      </c>
      <c r="F101" s="3">
        <v>23508</v>
      </c>
      <c r="G101" s="3">
        <v>585</v>
      </c>
      <c r="H101" s="3">
        <v>743</v>
      </c>
      <c r="I101" s="3">
        <v>2155</v>
      </c>
      <c r="J101" s="3">
        <v>3704</v>
      </c>
      <c r="K101" s="3">
        <v>194268</v>
      </c>
      <c r="L101" s="3" t="s">
        <v>29</v>
      </c>
      <c r="M101" s="4">
        <f>(Table1_30[[#This Row],[Likes]]+Table1_30[[#This Row],[Shares]]+Table1_30[[#This Row],[Comments]])/Table1_30[[#This Row],[Impressions]]</f>
        <v>0.1278440093067309</v>
      </c>
    </row>
    <row r="102" spans="1:13" x14ac:dyDescent="0.3">
      <c r="A102" s="3" t="s">
        <v>230</v>
      </c>
      <c r="B102" s="3" t="s">
        <v>13</v>
      </c>
      <c r="C102" s="2">
        <v>45567</v>
      </c>
      <c r="D102" s="3" t="s">
        <v>27</v>
      </c>
      <c r="E102" s="3" t="s">
        <v>35</v>
      </c>
      <c r="F102" s="3">
        <v>5086</v>
      </c>
      <c r="G102" s="3">
        <v>1336</v>
      </c>
      <c r="H102" s="3">
        <v>897</v>
      </c>
      <c r="I102" s="3">
        <v>1715</v>
      </c>
      <c r="J102" s="3">
        <v>60592</v>
      </c>
      <c r="K102" s="3">
        <v>57772</v>
      </c>
      <c r="L102" s="3" t="s">
        <v>25</v>
      </c>
      <c r="M102" s="4">
        <f>(Table1_30[[#This Row],[Likes]]+Table1_30[[#This Row],[Shares]]+Table1_30[[#This Row],[Comments]])/Table1_30[[#This Row],[Impressions]]</f>
        <v>0.12668766876687668</v>
      </c>
    </row>
    <row r="103" spans="1:13" x14ac:dyDescent="0.3">
      <c r="A103" s="3" t="s">
        <v>171</v>
      </c>
      <c r="B103" s="3" t="s">
        <v>13</v>
      </c>
      <c r="C103" s="2">
        <v>45624</v>
      </c>
      <c r="D103" s="3" t="s">
        <v>34</v>
      </c>
      <c r="E103" s="3" t="s">
        <v>41</v>
      </c>
      <c r="F103" s="3">
        <v>19055</v>
      </c>
      <c r="G103" s="3">
        <v>443</v>
      </c>
      <c r="H103" s="3">
        <v>976</v>
      </c>
      <c r="I103" s="3">
        <v>869</v>
      </c>
      <c r="J103" s="3">
        <v>75437</v>
      </c>
      <c r="K103" s="3">
        <v>161863</v>
      </c>
      <c r="L103" s="3" t="s">
        <v>25</v>
      </c>
      <c r="M103" s="4">
        <f>(Table1_30[[#This Row],[Likes]]+Table1_30[[#This Row],[Shares]]+Table1_30[[#This Row],[Comments]])/Table1_30[[#This Row],[Impressions]]</f>
        <v>0.12648968572187591</v>
      </c>
    </row>
    <row r="104" spans="1:13" x14ac:dyDescent="0.3">
      <c r="A104" s="3" t="s">
        <v>241</v>
      </c>
      <c r="B104" s="3" t="s">
        <v>18</v>
      </c>
      <c r="C104" s="2">
        <v>45923</v>
      </c>
      <c r="D104" s="3" t="s">
        <v>23</v>
      </c>
      <c r="E104" s="3" t="s">
        <v>50</v>
      </c>
      <c r="F104" s="3">
        <v>17147</v>
      </c>
      <c r="G104" s="3">
        <v>286</v>
      </c>
      <c r="H104" s="3">
        <v>291</v>
      </c>
      <c r="I104" s="3">
        <v>2439</v>
      </c>
      <c r="J104" s="3">
        <v>45631</v>
      </c>
      <c r="K104" s="3">
        <v>140494</v>
      </c>
      <c r="L104" s="3" t="s">
        <v>20</v>
      </c>
      <c r="M104" s="4">
        <f>(Table1_30[[#This Row],[Likes]]+Table1_30[[#This Row],[Shares]]+Table1_30[[#This Row],[Comments]])/Table1_30[[#This Row],[Impressions]]</f>
        <v>0.12615485358805359</v>
      </c>
    </row>
    <row r="105" spans="1:13" x14ac:dyDescent="0.3">
      <c r="A105" s="3" t="s">
        <v>58</v>
      </c>
      <c r="B105" s="3" t="s">
        <v>18</v>
      </c>
      <c r="C105" s="2">
        <v>45680</v>
      </c>
      <c r="D105" s="3" t="s">
        <v>27</v>
      </c>
      <c r="E105" s="3" t="s">
        <v>41</v>
      </c>
      <c r="F105" s="3">
        <v>23168</v>
      </c>
      <c r="G105" s="3">
        <v>1265</v>
      </c>
      <c r="H105" s="3">
        <v>441</v>
      </c>
      <c r="I105" s="3">
        <v>1612</v>
      </c>
      <c r="J105" s="3">
        <v>66615</v>
      </c>
      <c r="K105" s="3">
        <v>197795</v>
      </c>
      <c r="L105" s="3" t="s">
        <v>29</v>
      </c>
      <c r="M105" s="4">
        <f>(Table1_30[[#This Row],[Likes]]+Table1_30[[#This Row],[Shares]]+Table1_30[[#This Row],[Comments]])/Table1_30[[#This Row],[Impressions]]</f>
        <v>0.12575646502692181</v>
      </c>
    </row>
    <row r="106" spans="1:13" x14ac:dyDescent="0.3">
      <c r="A106" s="3" t="s">
        <v>307</v>
      </c>
      <c r="B106" s="3" t="s">
        <v>40</v>
      </c>
      <c r="C106" s="2">
        <v>45582</v>
      </c>
      <c r="D106" s="3" t="s">
        <v>27</v>
      </c>
      <c r="E106" s="3" t="s">
        <v>24</v>
      </c>
      <c r="F106" s="3">
        <v>18608</v>
      </c>
      <c r="G106" s="3">
        <v>1338</v>
      </c>
      <c r="H106" s="3">
        <v>365</v>
      </c>
      <c r="I106" s="3">
        <v>2289</v>
      </c>
      <c r="J106" s="3">
        <v>20785</v>
      </c>
      <c r="K106" s="3">
        <v>161999</v>
      </c>
      <c r="L106" s="3" t="s">
        <v>16</v>
      </c>
      <c r="M106" s="4">
        <f>(Table1_30[[#This Row],[Likes]]+Table1_30[[#This Row],[Shares]]+Table1_30[[#This Row],[Comments]])/Table1_30[[#This Row],[Impressions]]</f>
        <v>0.12537731714393299</v>
      </c>
    </row>
    <row r="107" spans="1:13" x14ac:dyDescent="0.3">
      <c r="A107" s="3" t="s">
        <v>167</v>
      </c>
      <c r="B107" s="3" t="s">
        <v>18</v>
      </c>
      <c r="C107" s="2">
        <v>45586</v>
      </c>
      <c r="D107" s="3" t="s">
        <v>14</v>
      </c>
      <c r="E107" s="3" t="s">
        <v>41</v>
      </c>
      <c r="F107" s="3">
        <v>20271</v>
      </c>
      <c r="G107" s="3">
        <v>512</v>
      </c>
      <c r="H107" s="3">
        <v>286</v>
      </c>
      <c r="I107" s="3">
        <v>1982</v>
      </c>
      <c r="J107" s="3">
        <v>43225</v>
      </c>
      <c r="K107" s="3">
        <v>168335</v>
      </c>
      <c r="L107" s="3" t="s">
        <v>29</v>
      </c>
      <c r="M107" s="4">
        <f>(Table1_30[[#This Row],[Likes]]+Table1_30[[#This Row],[Shares]]+Table1_30[[#This Row],[Comments]])/Table1_30[[#This Row],[Impressions]]</f>
        <v>0.12516113701844536</v>
      </c>
    </row>
    <row r="108" spans="1:13" x14ac:dyDescent="0.3">
      <c r="A108" s="3" t="s">
        <v>71</v>
      </c>
      <c r="B108" s="3" t="s">
        <v>22</v>
      </c>
      <c r="C108" s="2">
        <v>45766</v>
      </c>
      <c r="D108" s="3" t="s">
        <v>34</v>
      </c>
      <c r="E108" s="3" t="s">
        <v>64</v>
      </c>
      <c r="F108" s="3">
        <v>20384</v>
      </c>
      <c r="G108" s="3">
        <v>344</v>
      </c>
      <c r="H108" s="3">
        <v>956</v>
      </c>
      <c r="I108" s="3">
        <v>655</v>
      </c>
      <c r="J108" s="3">
        <v>67621</v>
      </c>
      <c r="K108" s="3">
        <v>175720</v>
      </c>
      <c r="L108" s="3" t="s">
        <v>25</v>
      </c>
      <c r="M108" s="4">
        <f>(Table1_30[[#This Row],[Likes]]+Table1_30[[#This Row],[Shares]]+Table1_30[[#This Row],[Comments]])/Table1_30[[#This Row],[Impressions]]</f>
        <v>0.12340086501251991</v>
      </c>
    </row>
    <row r="109" spans="1:13" x14ac:dyDescent="0.3">
      <c r="A109" s="3" t="s">
        <v>180</v>
      </c>
      <c r="B109" s="3" t="s">
        <v>18</v>
      </c>
      <c r="C109" s="2">
        <v>45593</v>
      </c>
      <c r="D109" s="3" t="s">
        <v>34</v>
      </c>
      <c r="E109" s="3" t="s">
        <v>55</v>
      </c>
      <c r="F109" s="3">
        <v>8981</v>
      </c>
      <c r="G109" s="3">
        <v>1138</v>
      </c>
      <c r="H109" s="3">
        <v>764</v>
      </c>
      <c r="I109" s="3">
        <v>2555</v>
      </c>
      <c r="J109" s="3">
        <v>92810</v>
      </c>
      <c r="K109" s="3">
        <v>88320</v>
      </c>
      <c r="L109" s="3" t="s">
        <v>45</v>
      </c>
      <c r="M109" s="4">
        <f>(Table1_30[[#This Row],[Likes]]+Table1_30[[#This Row],[Shares]]+Table1_30[[#This Row],[Comments]])/Table1_30[[#This Row],[Impressions]]</f>
        <v>0.1232223731884058</v>
      </c>
    </row>
    <row r="110" spans="1:13" x14ac:dyDescent="0.3">
      <c r="A110" s="3" t="s">
        <v>193</v>
      </c>
      <c r="B110" s="3" t="s">
        <v>13</v>
      </c>
      <c r="C110" s="2">
        <v>45496</v>
      </c>
      <c r="D110" s="3" t="s">
        <v>27</v>
      </c>
      <c r="E110" s="3" t="s">
        <v>55</v>
      </c>
      <c r="F110" s="3">
        <v>24877</v>
      </c>
      <c r="G110" s="3">
        <v>262</v>
      </c>
      <c r="H110" s="3">
        <v>513</v>
      </c>
      <c r="I110" s="3">
        <v>648</v>
      </c>
      <c r="J110" s="3">
        <v>47544</v>
      </c>
      <c r="K110" s="3">
        <v>208280</v>
      </c>
      <c r="L110" s="3" t="s">
        <v>25</v>
      </c>
      <c r="M110" s="4">
        <f>(Table1_30[[#This Row],[Likes]]+Table1_30[[#This Row],[Shares]]+Table1_30[[#This Row],[Comments]])/Table1_30[[#This Row],[Impressions]]</f>
        <v>0.12316112924908777</v>
      </c>
    </row>
    <row r="111" spans="1:13" x14ac:dyDescent="0.3">
      <c r="A111" s="3" t="s">
        <v>145</v>
      </c>
      <c r="B111" s="3" t="s">
        <v>40</v>
      </c>
      <c r="C111" s="2">
        <v>45512</v>
      </c>
      <c r="D111" s="3" t="s">
        <v>34</v>
      </c>
      <c r="E111" s="3" t="s">
        <v>37</v>
      </c>
      <c r="F111" s="3">
        <v>24355</v>
      </c>
      <c r="G111" s="3">
        <v>1087</v>
      </c>
      <c r="H111" s="3">
        <v>686</v>
      </c>
      <c r="I111" s="3">
        <v>2426</v>
      </c>
      <c r="J111" s="3">
        <v>24963</v>
      </c>
      <c r="K111" s="3">
        <v>212307</v>
      </c>
      <c r="L111" s="3" t="s">
        <v>16</v>
      </c>
      <c r="M111" s="4">
        <f>(Table1_30[[#This Row],[Likes]]+Table1_30[[#This Row],[Shares]]+Table1_30[[#This Row],[Comments]])/Table1_30[[#This Row],[Impressions]]</f>
        <v>0.1230670679723231</v>
      </c>
    </row>
    <row r="112" spans="1:13" x14ac:dyDescent="0.3">
      <c r="A112" s="3" t="s">
        <v>253</v>
      </c>
      <c r="B112" s="3" t="s">
        <v>18</v>
      </c>
      <c r="C112" s="2">
        <v>45926</v>
      </c>
      <c r="D112" s="3" t="s">
        <v>34</v>
      </c>
      <c r="E112" s="3" t="s">
        <v>15</v>
      </c>
      <c r="F112" s="3">
        <v>16369</v>
      </c>
      <c r="G112" s="3">
        <v>1452</v>
      </c>
      <c r="H112" s="3">
        <v>493</v>
      </c>
      <c r="I112" s="3">
        <v>1217</v>
      </c>
      <c r="J112" s="3">
        <v>91440</v>
      </c>
      <c r="K112" s="3">
        <v>149834</v>
      </c>
      <c r="L112" s="3" t="s">
        <v>20</v>
      </c>
      <c r="M112" s="4">
        <f>(Table1_30[[#This Row],[Likes]]+Table1_30[[#This Row],[Shares]]+Table1_30[[#This Row],[Comments]])/Table1_30[[#This Row],[Impressions]]</f>
        <v>0.12222859965027964</v>
      </c>
    </row>
    <row r="113" spans="1:13" x14ac:dyDescent="0.3">
      <c r="A113" s="3" t="s">
        <v>101</v>
      </c>
      <c r="B113" s="3" t="s">
        <v>40</v>
      </c>
      <c r="C113" s="2">
        <v>45499</v>
      </c>
      <c r="D113" s="3" t="s">
        <v>23</v>
      </c>
      <c r="E113" s="3" t="s">
        <v>37</v>
      </c>
      <c r="F113" s="3">
        <v>12176</v>
      </c>
      <c r="G113" s="3">
        <v>1005</v>
      </c>
      <c r="H113" s="3">
        <v>862</v>
      </c>
      <c r="I113" s="3">
        <v>974</v>
      </c>
      <c r="J113" s="3">
        <v>2285</v>
      </c>
      <c r="K113" s="3">
        <v>116619</v>
      </c>
      <c r="L113" s="3" t="s">
        <v>29</v>
      </c>
      <c r="M113" s="4">
        <f>(Table1_30[[#This Row],[Likes]]+Table1_30[[#This Row],[Shares]]+Table1_30[[#This Row],[Comments]])/Table1_30[[#This Row],[Impressions]]</f>
        <v>0.12041777068916729</v>
      </c>
    </row>
    <row r="114" spans="1:13" x14ac:dyDescent="0.3">
      <c r="A114" s="3" t="s">
        <v>264</v>
      </c>
      <c r="B114" s="3" t="s">
        <v>40</v>
      </c>
      <c r="C114" s="2">
        <v>45474</v>
      </c>
      <c r="D114" s="3" t="s">
        <v>27</v>
      </c>
      <c r="E114" s="3" t="s">
        <v>24</v>
      </c>
      <c r="F114" s="3">
        <v>3761</v>
      </c>
      <c r="G114" s="3">
        <v>651</v>
      </c>
      <c r="H114" s="3">
        <v>493</v>
      </c>
      <c r="I114" s="3">
        <v>2294</v>
      </c>
      <c r="J114" s="3">
        <v>71696</v>
      </c>
      <c r="K114" s="3">
        <v>41177</v>
      </c>
      <c r="L114" s="3" t="s">
        <v>16</v>
      </c>
      <c r="M114" s="4">
        <f>(Table1_30[[#This Row],[Likes]]+Table1_30[[#This Row],[Shares]]+Table1_30[[#This Row],[Comments]])/Table1_30[[#This Row],[Impressions]]</f>
        <v>0.11911989702989532</v>
      </c>
    </row>
    <row r="115" spans="1:13" x14ac:dyDescent="0.3">
      <c r="A115" s="3" t="s">
        <v>270</v>
      </c>
      <c r="B115" s="3" t="s">
        <v>18</v>
      </c>
      <c r="C115" s="2">
        <v>45444</v>
      </c>
      <c r="D115" s="3" t="s">
        <v>14</v>
      </c>
      <c r="E115" s="3" t="s">
        <v>35</v>
      </c>
      <c r="F115" s="3">
        <v>19844</v>
      </c>
      <c r="G115" s="3">
        <v>1022</v>
      </c>
      <c r="H115" s="3">
        <v>860</v>
      </c>
      <c r="I115" s="3">
        <v>2570</v>
      </c>
      <c r="J115" s="3">
        <v>23719</v>
      </c>
      <c r="K115" s="3">
        <v>182628</v>
      </c>
      <c r="L115" s="3" t="s">
        <v>25</v>
      </c>
      <c r="M115" s="4">
        <f>(Table1_30[[#This Row],[Likes]]+Table1_30[[#This Row],[Shares]]+Table1_30[[#This Row],[Comments]])/Table1_30[[#This Row],[Impressions]]</f>
        <v>0.11896313818253498</v>
      </c>
    </row>
    <row r="116" spans="1:13" x14ac:dyDescent="0.3">
      <c r="A116" s="3" t="s">
        <v>143</v>
      </c>
      <c r="B116" s="3" t="s">
        <v>40</v>
      </c>
      <c r="C116" s="2">
        <v>45464</v>
      </c>
      <c r="D116" s="3" t="s">
        <v>27</v>
      </c>
      <c r="E116" s="3" t="s">
        <v>28</v>
      </c>
      <c r="F116" s="3">
        <v>21216</v>
      </c>
      <c r="G116" s="3">
        <v>1207</v>
      </c>
      <c r="H116" s="3">
        <v>859</v>
      </c>
      <c r="I116" s="3">
        <v>328</v>
      </c>
      <c r="J116" s="3">
        <v>91296</v>
      </c>
      <c r="K116" s="3">
        <v>196683</v>
      </c>
      <c r="L116" s="3" t="s">
        <v>25</v>
      </c>
      <c r="M116" s="4">
        <f>(Table1_30[[#This Row],[Likes]]+Table1_30[[#This Row],[Shares]]+Table1_30[[#This Row],[Comments]])/Table1_30[[#This Row],[Impressions]]</f>
        <v>0.1183732198512327</v>
      </c>
    </row>
    <row r="117" spans="1:13" x14ac:dyDescent="0.3">
      <c r="A117" s="3" t="s">
        <v>98</v>
      </c>
      <c r="B117" s="3" t="s">
        <v>22</v>
      </c>
      <c r="C117" s="2">
        <v>45504</v>
      </c>
      <c r="D117" s="3" t="s">
        <v>14</v>
      </c>
      <c r="E117" s="3" t="s">
        <v>15</v>
      </c>
      <c r="F117" s="3">
        <v>12357</v>
      </c>
      <c r="G117" s="3">
        <v>716</v>
      </c>
      <c r="H117" s="3">
        <v>599</v>
      </c>
      <c r="I117" s="3">
        <v>999</v>
      </c>
      <c r="J117" s="3">
        <v>89591</v>
      </c>
      <c r="K117" s="3">
        <v>116367</v>
      </c>
      <c r="L117" s="3" t="s">
        <v>16</v>
      </c>
      <c r="M117" s="4">
        <f>(Table1_30[[#This Row],[Likes]]+Table1_30[[#This Row],[Shares]]+Table1_30[[#This Row],[Comments]])/Table1_30[[#This Row],[Impressions]]</f>
        <v>0.11749035379446063</v>
      </c>
    </row>
    <row r="118" spans="1:13" x14ac:dyDescent="0.3">
      <c r="A118" s="3" t="s">
        <v>240</v>
      </c>
      <c r="B118" s="3" t="s">
        <v>22</v>
      </c>
      <c r="C118" s="2">
        <v>45922</v>
      </c>
      <c r="D118" s="3" t="s">
        <v>34</v>
      </c>
      <c r="E118" s="3" t="s">
        <v>32</v>
      </c>
      <c r="F118" s="3">
        <v>18509</v>
      </c>
      <c r="G118" s="3">
        <v>361</v>
      </c>
      <c r="H118" s="3">
        <v>578</v>
      </c>
      <c r="I118" s="3">
        <v>1409</v>
      </c>
      <c r="J118" s="3">
        <v>10569</v>
      </c>
      <c r="K118" s="3">
        <v>166969</v>
      </c>
      <c r="L118" s="3" t="s">
        <v>20</v>
      </c>
      <c r="M118" s="4">
        <f>(Table1_30[[#This Row],[Likes]]+Table1_30[[#This Row],[Shares]]+Table1_30[[#This Row],[Comments]])/Table1_30[[#This Row],[Impressions]]</f>
        <v>0.11647671124580011</v>
      </c>
    </row>
    <row r="119" spans="1:13" x14ac:dyDescent="0.3">
      <c r="A119" s="3" t="s">
        <v>286</v>
      </c>
      <c r="B119" s="3" t="s">
        <v>13</v>
      </c>
      <c r="C119" s="2">
        <v>45465</v>
      </c>
      <c r="D119" s="3" t="s">
        <v>23</v>
      </c>
      <c r="E119" s="3" t="s">
        <v>37</v>
      </c>
      <c r="F119" s="3">
        <v>7342</v>
      </c>
      <c r="G119" s="3">
        <v>906</v>
      </c>
      <c r="H119" s="3">
        <v>902</v>
      </c>
      <c r="I119" s="3">
        <v>1199</v>
      </c>
      <c r="J119" s="3">
        <v>68488</v>
      </c>
      <c r="K119" s="3">
        <v>79310</v>
      </c>
      <c r="L119" s="3" t="s">
        <v>16</v>
      </c>
      <c r="M119" s="4">
        <f>(Table1_30[[#This Row],[Likes]]+Table1_30[[#This Row],[Shares]]+Table1_30[[#This Row],[Comments]])/Table1_30[[#This Row],[Impressions]]</f>
        <v>0.1153700668263775</v>
      </c>
    </row>
    <row r="120" spans="1:13" x14ac:dyDescent="0.3">
      <c r="A120" s="3" t="s">
        <v>131</v>
      </c>
      <c r="B120" s="3" t="s">
        <v>40</v>
      </c>
      <c r="C120" s="2">
        <v>45604</v>
      </c>
      <c r="D120" s="3" t="s">
        <v>23</v>
      </c>
      <c r="E120" s="3" t="s">
        <v>28</v>
      </c>
      <c r="F120" s="3">
        <v>23499</v>
      </c>
      <c r="G120" s="3">
        <v>562</v>
      </c>
      <c r="H120" s="3">
        <v>964</v>
      </c>
      <c r="I120" s="3">
        <v>2557</v>
      </c>
      <c r="J120" s="3">
        <v>56890</v>
      </c>
      <c r="K120" s="3">
        <v>218686</v>
      </c>
      <c r="L120" s="3" t="s">
        <v>29</v>
      </c>
      <c r="M120" s="4">
        <f>(Table1_30[[#This Row],[Likes]]+Table1_30[[#This Row],[Shares]]+Table1_30[[#This Row],[Comments]])/Table1_30[[#This Row],[Impressions]]</f>
        <v>0.11443347996671026</v>
      </c>
    </row>
    <row r="121" spans="1:13" x14ac:dyDescent="0.3">
      <c r="A121" s="3" t="s">
        <v>179</v>
      </c>
      <c r="B121" s="3" t="s">
        <v>18</v>
      </c>
      <c r="C121" s="2">
        <v>45567</v>
      </c>
      <c r="D121" s="3" t="s">
        <v>14</v>
      </c>
      <c r="E121" s="3" t="s">
        <v>24</v>
      </c>
      <c r="F121" s="3">
        <v>15716</v>
      </c>
      <c r="G121" s="3">
        <v>839</v>
      </c>
      <c r="H121" s="3">
        <v>639</v>
      </c>
      <c r="I121" s="3">
        <v>2839</v>
      </c>
      <c r="J121" s="3">
        <v>349</v>
      </c>
      <c r="K121" s="3">
        <v>150677</v>
      </c>
      <c r="L121" s="3" t="s">
        <v>25</v>
      </c>
      <c r="M121" s="4">
        <f>(Table1_30[[#This Row],[Likes]]+Table1_30[[#This Row],[Shares]]+Table1_30[[#This Row],[Comments]])/Table1_30[[#This Row],[Impressions]]</f>
        <v>0.11411164278556117</v>
      </c>
    </row>
    <row r="122" spans="1:13" x14ac:dyDescent="0.3">
      <c r="A122" s="3" t="s">
        <v>134</v>
      </c>
      <c r="B122" s="3" t="s">
        <v>18</v>
      </c>
      <c r="C122" s="2">
        <v>45453</v>
      </c>
      <c r="D122" s="3" t="s">
        <v>27</v>
      </c>
      <c r="E122" s="3" t="s">
        <v>35</v>
      </c>
      <c r="F122" s="3">
        <v>21561</v>
      </c>
      <c r="G122" s="3">
        <v>340</v>
      </c>
      <c r="H122" s="3">
        <v>741</v>
      </c>
      <c r="I122" s="3">
        <v>986</v>
      </c>
      <c r="J122" s="3">
        <v>24826</v>
      </c>
      <c r="K122" s="3">
        <v>198492</v>
      </c>
      <c r="L122" s="3" t="s">
        <v>16</v>
      </c>
      <c r="M122" s="4">
        <f>(Table1_30[[#This Row],[Likes]]+Table1_30[[#This Row],[Shares]]+Table1_30[[#This Row],[Comments]])/Table1_30[[#This Row],[Impressions]]</f>
        <v>0.11407008846704149</v>
      </c>
    </row>
    <row r="123" spans="1:13" x14ac:dyDescent="0.3">
      <c r="A123" s="3" t="s">
        <v>197</v>
      </c>
      <c r="B123" s="3" t="s">
        <v>13</v>
      </c>
      <c r="C123" s="2">
        <v>45936</v>
      </c>
      <c r="D123" s="3" t="s">
        <v>27</v>
      </c>
      <c r="E123" s="3" t="s">
        <v>24</v>
      </c>
      <c r="F123" s="3">
        <v>22028</v>
      </c>
      <c r="G123" s="3">
        <v>355</v>
      </c>
      <c r="H123" s="3">
        <v>665</v>
      </c>
      <c r="I123" s="3">
        <v>1859</v>
      </c>
      <c r="J123" s="3">
        <v>50565</v>
      </c>
      <c r="K123" s="3">
        <v>202962</v>
      </c>
      <c r="L123" s="3" t="s">
        <v>20</v>
      </c>
      <c r="M123" s="4">
        <f>(Table1_30[[#This Row],[Likes]]+Table1_30[[#This Row],[Shares]]+Table1_30[[#This Row],[Comments]])/Table1_30[[#This Row],[Impressions]]</f>
        <v>0.11355820301337197</v>
      </c>
    </row>
    <row r="124" spans="1:13" x14ac:dyDescent="0.3">
      <c r="A124" s="3" t="s">
        <v>61</v>
      </c>
      <c r="B124" s="3" t="s">
        <v>40</v>
      </c>
      <c r="C124" s="2">
        <v>45552</v>
      </c>
      <c r="D124" s="3" t="s">
        <v>23</v>
      </c>
      <c r="E124" s="3" t="s">
        <v>41</v>
      </c>
      <c r="F124" s="3">
        <v>20017</v>
      </c>
      <c r="G124" s="3">
        <v>495</v>
      </c>
      <c r="H124" s="3">
        <v>178</v>
      </c>
      <c r="I124" s="3">
        <v>2683</v>
      </c>
      <c r="J124" s="3">
        <v>32244</v>
      </c>
      <c r="K124" s="3">
        <v>182633</v>
      </c>
      <c r="L124" s="3" t="s">
        <v>16</v>
      </c>
      <c r="M124" s="4">
        <f>(Table1_30[[#This Row],[Likes]]+Table1_30[[#This Row],[Shares]]+Table1_30[[#This Row],[Comments]])/Table1_30[[#This Row],[Impressions]]</f>
        <v>0.11328730295182141</v>
      </c>
    </row>
    <row r="125" spans="1:13" x14ac:dyDescent="0.3">
      <c r="A125" s="3" t="s">
        <v>164</v>
      </c>
      <c r="B125" s="3" t="s">
        <v>22</v>
      </c>
      <c r="C125" s="2">
        <v>45667</v>
      </c>
      <c r="D125" s="3" t="s">
        <v>34</v>
      </c>
      <c r="E125" s="3" t="s">
        <v>55</v>
      </c>
      <c r="F125" s="3">
        <v>14647</v>
      </c>
      <c r="G125" s="3">
        <v>1168</v>
      </c>
      <c r="H125" s="3">
        <v>484</v>
      </c>
      <c r="I125" s="3">
        <v>2650</v>
      </c>
      <c r="J125" s="3">
        <v>27217</v>
      </c>
      <c r="K125" s="3">
        <v>144061</v>
      </c>
      <c r="L125" s="3" t="s">
        <v>29</v>
      </c>
      <c r="M125" s="4">
        <f>(Table1_30[[#This Row],[Likes]]+Table1_30[[#This Row],[Shares]]+Table1_30[[#This Row],[Comments]])/Table1_30[[#This Row],[Impressions]]</f>
        <v>0.11313957281984714</v>
      </c>
    </row>
    <row r="126" spans="1:13" x14ac:dyDescent="0.3">
      <c r="A126" s="3" t="s">
        <v>195</v>
      </c>
      <c r="B126" s="3" t="s">
        <v>22</v>
      </c>
      <c r="C126" s="2">
        <v>45935</v>
      </c>
      <c r="D126" s="3" t="s">
        <v>23</v>
      </c>
      <c r="E126" s="3" t="s">
        <v>35</v>
      </c>
      <c r="F126" s="3">
        <v>21262</v>
      </c>
      <c r="G126" s="3">
        <v>861</v>
      </c>
      <c r="H126" s="3">
        <v>676</v>
      </c>
      <c r="I126" s="3">
        <v>2263</v>
      </c>
      <c r="J126" s="3">
        <v>12085</v>
      </c>
      <c r="K126" s="3">
        <v>201731</v>
      </c>
      <c r="L126" s="3" t="s">
        <v>20</v>
      </c>
      <c r="M126" s="4">
        <f>(Table1_30[[#This Row],[Likes]]+Table1_30[[#This Row],[Shares]]+Table1_30[[#This Row],[Comments]])/Table1_30[[#This Row],[Impressions]]</f>
        <v>0.11301683925623726</v>
      </c>
    </row>
    <row r="127" spans="1:13" x14ac:dyDescent="0.3">
      <c r="A127" s="3" t="s">
        <v>231</v>
      </c>
      <c r="B127" s="3" t="s">
        <v>13</v>
      </c>
      <c r="C127" s="2">
        <v>45519</v>
      </c>
      <c r="D127" s="3" t="s">
        <v>14</v>
      </c>
      <c r="E127" s="3" t="s">
        <v>41</v>
      </c>
      <c r="F127" s="3">
        <v>15503</v>
      </c>
      <c r="G127" s="3">
        <v>313</v>
      </c>
      <c r="H127" s="3">
        <v>388</v>
      </c>
      <c r="I127" s="3">
        <v>1078</v>
      </c>
      <c r="J127" s="3">
        <v>11500</v>
      </c>
      <c r="K127" s="3">
        <v>143754</v>
      </c>
      <c r="L127" s="3" t="s">
        <v>29</v>
      </c>
      <c r="M127" s="4">
        <f>(Table1_30[[#This Row],[Likes]]+Table1_30[[#This Row],[Shares]]+Table1_30[[#This Row],[Comments]])/Table1_30[[#This Row],[Impressions]]</f>
        <v>0.1127203416948398</v>
      </c>
    </row>
    <row r="128" spans="1:13" x14ac:dyDescent="0.3">
      <c r="A128" s="3" t="s">
        <v>106</v>
      </c>
      <c r="B128" s="3" t="s">
        <v>40</v>
      </c>
      <c r="C128" s="2">
        <v>45537</v>
      </c>
      <c r="D128" s="3" t="s">
        <v>34</v>
      </c>
      <c r="E128" s="3" t="s">
        <v>28</v>
      </c>
      <c r="F128" s="3">
        <v>12040</v>
      </c>
      <c r="G128" s="3">
        <v>1147</v>
      </c>
      <c r="H128" s="3">
        <v>210</v>
      </c>
      <c r="I128" s="3">
        <v>885</v>
      </c>
      <c r="J128" s="3">
        <v>30360</v>
      </c>
      <c r="K128" s="3">
        <v>119530</v>
      </c>
      <c r="L128" s="3" t="s">
        <v>29</v>
      </c>
      <c r="M128" s="4">
        <f>(Table1_30[[#This Row],[Likes]]+Table1_30[[#This Row],[Shares]]+Table1_30[[#This Row],[Comments]])/Table1_30[[#This Row],[Impressions]]</f>
        <v>0.1120806492094035</v>
      </c>
    </row>
    <row r="129" spans="1:13" x14ac:dyDescent="0.3">
      <c r="A129" s="3" t="s">
        <v>128</v>
      </c>
      <c r="B129" s="3" t="s">
        <v>18</v>
      </c>
      <c r="C129" s="2">
        <v>45586</v>
      </c>
      <c r="D129" s="3" t="s">
        <v>23</v>
      </c>
      <c r="E129" s="3" t="s">
        <v>19</v>
      </c>
      <c r="F129" s="3">
        <v>19715</v>
      </c>
      <c r="G129" s="3">
        <v>1014</v>
      </c>
      <c r="H129" s="3">
        <v>718</v>
      </c>
      <c r="I129" s="3">
        <v>1185</v>
      </c>
      <c r="J129" s="3">
        <v>37625</v>
      </c>
      <c r="K129" s="3">
        <v>191409</v>
      </c>
      <c r="L129" s="3" t="s">
        <v>16</v>
      </c>
      <c r="M129" s="4">
        <f>(Table1_30[[#This Row],[Likes]]+Table1_30[[#This Row],[Shares]]+Table1_30[[#This Row],[Comments]])/Table1_30[[#This Row],[Impressions]]</f>
        <v>0.11204802282024356</v>
      </c>
    </row>
    <row r="130" spans="1:13" x14ac:dyDescent="0.3">
      <c r="A130" s="3" t="s">
        <v>261</v>
      </c>
      <c r="B130" s="3" t="s">
        <v>40</v>
      </c>
      <c r="C130" s="2">
        <v>45463</v>
      </c>
      <c r="D130" s="3" t="s">
        <v>27</v>
      </c>
      <c r="E130" s="3" t="s">
        <v>37</v>
      </c>
      <c r="F130" s="3">
        <v>21123</v>
      </c>
      <c r="G130" s="3">
        <v>1343</v>
      </c>
      <c r="H130" s="3">
        <v>589</v>
      </c>
      <c r="I130" s="3">
        <v>727</v>
      </c>
      <c r="J130" s="3">
        <v>87833</v>
      </c>
      <c r="K130" s="3">
        <v>206703</v>
      </c>
      <c r="L130" s="3" t="s">
        <v>16</v>
      </c>
      <c r="M130" s="4">
        <f>(Table1_30[[#This Row],[Likes]]+Table1_30[[#This Row],[Shares]]+Table1_30[[#This Row],[Comments]])/Table1_30[[#This Row],[Impressions]]</f>
        <v>0.11153684271636116</v>
      </c>
    </row>
    <row r="131" spans="1:13" x14ac:dyDescent="0.3">
      <c r="A131" s="3" t="s">
        <v>52</v>
      </c>
      <c r="B131" s="3" t="s">
        <v>18</v>
      </c>
      <c r="C131" s="2">
        <v>45466</v>
      </c>
      <c r="D131" s="3" t="s">
        <v>23</v>
      </c>
      <c r="E131" s="3" t="s">
        <v>50</v>
      </c>
      <c r="F131" s="3">
        <v>16512</v>
      </c>
      <c r="G131" s="3">
        <v>1050</v>
      </c>
      <c r="H131" s="3">
        <v>971</v>
      </c>
      <c r="I131" s="3">
        <v>1891</v>
      </c>
      <c r="J131" s="3">
        <v>15865</v>
      </c>
      <c r="K131" s="3">
        <v>166503</v>
      </c>
      <c r="L131" s="3" t="s">
        <v>29</v>
      </c>
      <c r="M131" s="4">
        <f>(Table1_30[[#This Row],[Likes]]+Table1_30[[#This Row],[Shares]]+Table1_30[[#This Row],[Comments]])/Table1_30[[#This Row],[Impressions]]</f>
        <v>0.1113073037723044</v>
      </c>
    </row>
    <row r="132" spans="1:13" x14ac:dyDescent="0.3">
      <c r="A132" s="3" t="s">
        <v>21</v>
      </c>
      <c r="B132" s="3" t="s">
        <v>22</v>
      </c>
      <c r="C132" s="2">
        <v>45789</v>
      </c>
      <c r="D132" s="3" t="s">
        <v>23</v>
      </c>
      <c r="E132" s="3" t="s">
        <v>24</v>
      </c>
      <c r="F132" s="3">
        <v>19308</v>
      </c>
      <c r="G132" s="3">
        <v>1318</v>
      </c>
      <c r="H132" s="3">
        <v>795</v>
      </c>
      <c r="I132" s="3">
        <v>1499</v>
      </c>
      <c r="J132" s="3">
        <v>52307</v>
      </c>
      <c r="K132" s="3">
        <v>193087</v>
      </c>
      <c r="L132" s="3" t="s">
        <v>25</v>
      </c>
      <c r="M132" s="4">
        <f>(Table1_30[[#This Row],[Likes]]+Table1_30[[#This Row],[Shares]]+Table1_30[[#This Row],[Comments]])/Table1_30[[#This Row],[Impressions]]</f>
        <v>0.11093962825047776</v>
      </c>
    </row>
    <row r="133" spans="1:13" x14ac:dyDescent="0.3">
      <c r="A133" s="3" t="s">
        <v>182</v>
      </c>
      <c r="B133" s="3" t="s">
        <v>13</v>
      </c>
      <c r="C133" s="2">
        <v>45448</v>
      </c>
      <c r="D133" s="3" t="s">
        <v>23</v>
      </c>
      <c r="E133" s="3" t="s">
        <v>55</v>
      </c>
      <c r="F133" s="3">
        <v>18907</v>
      </c>
      <c r="G133" s="3">
        <v>1075</v>
      </c>
      <c r="H133" s="3">
        <v>675</v>
      </c>
      <c r="I133" s="3">
        <v>1383</v>
      </c>
      <c r="J133" s="3">
        <v>17875</v>
      </c>
      <c r="K133" s="3">
        <v>186649</v>
      </c>
      <c r="L133" s="3" t="s">
        <v>16</v>
      </c>
      <c r="M133" s="4">
        <f>(Table1_30[[#This Row],[Likes]]+Table1_30[[#This Row],[Shares]]+Table1_30[[#This Row],[Comments]])/Table1_30[[#This Row],[Impressions]]</f>
        <v>0.11067297440650634</v>
      </c>
    </row>
    <row r="134" spans="1:13" x14ac:dyDescent="0.3">
      <c r="A134" s="3" t="s">
        <v>320</v>
      </c>
      <c r="B134" s="3" t="s">
        <v>13</v>
      </c>
      <c r="C134" s="2">
        <v>45552</v>
      </c>
      <c r="D134" s="3" t="s">
        <v>27</v>
      </c>
      <c r="E134" s="3" t="s">
        <v>35</v>
      </c>
      <c r="F134" s="3">
        <v>20410</v>
      </c>
      <c r="G134" s="3">
        <v>1332</v>
      </c>
      <c r="H134" s="3">
        <v>472</v>
      </c>
      <c r="I134" s="3">
        <v>1202</v>
      </c>
      <c r="J134" s="3">
        <v>9418</v>
      </c>
      <c r="K134" s="3">
        <v>200806</v>
      </c>
      <c r="L134" s="3" t="s">
        <v>16</v>
      </c>
      <c r="M134" s="4">
        <f>(Table1_30[[#This Row],[Likes]]+Table1_30[[#This Row],[Shares]]+Table1_30[[#This Row],[Comments]])/Table1_30[[#This Row],[Impressions]]</f>
        <v>0.11062418453631864</v>
      </c>
    </row>
    <row r="135" spans="1:13" x14ac:dyDescent="0.3">
      <c r="A135" s="3" t="s">
        <v>271</v>
      </c>
      <c r="B135" s="3" t="s">
        <v>18</v>
      </c>
      <c r="C135" s="2">
        <v>45648</v>
      </c>
      <c r="D135" s="3" t="s">
        <v>23</v>
      </c>
      <c r="E135" s="3" t="s">
        <v>28</v>
      </c>
      <c r="F135" s="3">
        <v>20117</v>
      </c>
      <c r="G135" s="3">
        <v>1143</v>
      </c>
      <c r="H135" s="3">
        <v>713</v>
      </c>
      <c r="I135" s="3">
        <v>1739</v>
      </c>
      <c r="J135" s="3">
        <v>34444</v>
      </c>
      <c r="K135" s="3">
        <v>198670</v>
      </c>
      <c r="L135" s="3" t="s">
        <v>45</v>
      </c>
      <c r="M135" s="4">
        <f>(Table1_30[[#This Row],[Likes]]+Table1_30[[#This Row],[Shares]]+Table1_30[[#This Row],[Comments]])/Table1_30[[#This Row],[Impressions]]</f>
        <v>0.11060049328031409</v>
      </c>
    </row>
    <row r="136" spans="1:13" x14ac:dyDescent="0.3">
      <c r="A136" s="3" t="s">
        <v>318</v>
      </c>
      <c r="B136" s="3" t="s">
        <v>18</v>
      </c>
      <c r="C136" s="2">
        <v>45568</v>
      </c>
      <c r="D136" s="3" t="s">
        <v>14</v>
      </c>
      <c r="E136" s="3" t="s">
        <v>28</v>
      </c>
      <c r="F136" s="3">
        <v>22618</v>
      </c>
      <c r="G136" s="3">
        <v>641</v>
      </c>
      <c r="H136" s="3">
        <v>416</v>
      </c>
      <c r="I136" s="3">
        <v>1530</v>
      </c>
      <c r="J136" s="3">
        <v>18395</v>
      </c>
      <c r="K136" s="3">
        <v>215211</v>
      </c>
      <c r="L136" s="3" t="s">
        <v>45</v>
      </c>
      <c r="M136" s="4">
        <f>(Table1_30[[#This Row],[Likes]]+Table1_30[[#This Row],[Shares]]+Table1_30[[#This Row],[Comments]])/Table1_30[[#This Row],[Impressions]]</f>
        <v>0.1100083174187193</v>
      </c>
    </row>
    <row r="137" spans="1:13" x14ac:dyDescent="0.3">
      <c r="A137" s="3" t="s">
        <v>294</v>
      </c>
      <c r="B137" s="3" t="s">
        <v>40</v>
      </c>
      <c r="C137" s="2">
        <v>45509</v>
      </c>
      <c r="D137" s="3" t="s">
        <v>27</v>
      </c>
      <c r="E137" s="3" t="s">
        <v>15</v>
      </c>
      <c r="F137" s="3">
        <v>20935</v>
      </c>
      <c r="G137" s="3">
        <v>1104</v>
      </c>
      <c r="H137" s="3">
        <v>876</v>
      </c>
      <c r="I137" s="3">
        <v>1270</v>
      </c>
      <c r="J137" s="3">
        <v>21454</v>
      </c>
      <c r="K137" s="3">
        <v>208722</v>
      </c>
      <c r="L137" s="3" t="s">
        <v>25</v>
      </c>
      <c r="M137" s="4">
        <f>(Table1_30[[#This Row],[Likes]]+Table1_30[[#This Row],[Shares]]+Table1_30[[#This Row],[Comments]])/Table1_30[[#This Row],[Impressions]]</f>
        <v>0.10978718103506099</v>
      </c>
    </row>
    <row r="138" spans="1:13" x14ac:dyDescent="0.3">
      <c r="A138" s="3" t="s">
        <v>189</v>
      </c>
      <c r="B138" s="3" t="s">
        <v>22</v>
      </c>
      <c r="C138" s="2">
        <v>45658</v>
      </c>
      <c r="D138" s="3" t="s">
        <v>27</v>
      </c>
      <c r="E138" s="3" t="s">
        <v>19</v>
      </c>
      <c r="F138" s="3">
        <v>24574</v>
      </c>
      <c r="G138" s="3">
        <v>909</v>
      </c>
      <c r="H138" s="3">
        <v>280</v>
      </c>
      <c r="I138" s="3">
        <v>2009</v>
      </c>
      <c r="J138" s="3">
        <v>6221</v>
      </c>
      <c r="K138" s="3">
        <v>236910</v>
      </c>
      <c r="L138" s="3" t="s">
        <v>45</v>
      </c>
      <c r="M138" s="4">
        <f>(Table1_30[[#This Row],[Likes]]+Table1_30[[#This Row],[Shares]]+Table1_30[[#This Row],[Comments]])/Table1_30[[#This Row],[Impressions]]</f>
        <v>0.10874593727575872</v>
      </c>
    </row>
    <row r="139" spans="1:13" x14ac:dyDescent="0.3">
      <c r="A139" s="3" t="s">
        <v>68</v>
      </c>
      <c r="B139" s="3" t="s">
        <v>18</v>
      </c>
      <c r="C139" s="2">
        <v>45911</v>
      </c>
      <c r="D139" s="3" t="s">
        <v>34</v>
      </c>
      <c r="E139" s="3" t="s">
        <v>41</v>
      </c>
      <c r="F139" s="3">
        <v>10175</v>
      </c>
      <c r="G139" s="3">
        <v>342</v>
      </c>
      <c r="H139" s="3">
        <v>825</v>
      </c>
      <c r="I139" s="3">
        <v>2904</v>
      </c>
      <c r="J139" s="3">
        <v>15954</v>
      </c>
      <c r="K139" s="3">
        <v>104324</v>
      </c>
      <c r="L139" s="3" t="s">
        <v>20</v>
      </c>
      <c r="M139" s="4">
        <f>(Table1_30[[#This Row],[Likes]]+Table1_30[[#This Row],[Shares]]+Table1_30[[#This Row],[Comments]])/Table1_30[[#This Row],[Impressions]]</f>
        <v>0.10871899083624094</v>
      </c>
    </row>
    <row r="140" spans="1:13" x14ac:dyDescent="0.3">
      <c r="A140" s="3" t="s">
        <v>219</v>
      </c>
      <c r="B140" s="3" t="s">
        <v>40</v>
      </c>
      <c r="C140" s="2">
        <v>45643</v>
      </c>
      <c r="D140" s="3" t="s">
        <v>14</v>
      </c>
      <c r="E140" s="3" t="s">
        <v>37</v>
      </c>
      <c r="F140" s="3">
        <v>20030</v>
      </c>
      <c r="G140" s="3">
        <v>485</v>
      </c>
      <c r="H140" s="3">
        <v>888</v>
      </c>
      <c r="I140" s="3">
        <v>1643</v>
      </c>
      <c r="J140" s="3">
        <v>4322</v>
      </c>
      <c r="K140" s="3">
        <v>196995</v>
      </c>
      <c r="L140" s="3" t="s">
        <v>25</v>
      </c>
      <c r="M140" s="4">
        <f>(Table1_30[[#This Row],[Likes]]+Table1_30[[#This Row],[Shares]]+Table1_30[[#This Row],[Comments]])/Table1_30[[#This Row],[Impressions]]</f>
        <v>0.10864742759968526</v>
      </c>
    </row>
    <row r="141" spans="1:13" x14ac:dyDescent="0.3">
      <c r="A141" s="3" t="s">
        <v>87</v>
      </c>
      <c r="B141" s="3" t="s">
        <v>40</v>
      </c>
      <c r="C141" s="2">
        <v>45919</v>
      </c>
      <c r="D141" s="3" t="s">
        <v>14</v>
      </c>
      <c r="E141" s="3" t="s">
        <v>37</v>
      </c>
      <c r="F141" s="3">
        <v>19100</v>
      </c>
      <c r="G141" s="3">
        <v>619</v>
      </c>
      <c r="H141" s="3">
        <v>297</v>
      </c>
      <c r="I141" s="3">
        <v>2312</v>
      </c>
      <c r="J141" s="3">
        <v>9730</v>
      </c>
      <c r="K141" s="3">
        <v>184832</v>
      </c>
      <c r="L141" s="3" t="s">
        <v>20</v>
      </c>
      <c r="M141" s="4">
        <f>(Table1_30[[#This Row],[Likes]]+Table1_30[[#This Row],[Shares]]+Table1_30[[#This Row],[Comments]])/Table1_30[[#This Row],[Impressions]]</f>
        <v>0.10829293628808864</v>
      </c>
    </row>
    <row r="142" spans="1:13" x14ac:dyDescent="0.3">
      <c r="A142" s="3" t="s">
        <v>235</v>
      </c>
      <c r="B142" s="3" t="s">
        <v>22</v>
      </c>
      <c r="C142" s="2">
        <v>45920</v>
      </c>
      <c r="D142" s="3" t="s">
        <v>14</v>
      </c>
      <c r="E142" s="3" t="s">
        <v>37</v>
      </c>
      <c r="F142" s="3">
        <v>12267</v>
      </c>
      <c r="G142" s="3">
        <v>1487</v>
      </c>
      <c r="H142" s="3">
        <v>489</v>
      </c>
      <c r="I142" s="3">
        <v>2748</v>
      </c>
      <c r="J142" s="3">
        <v>34685</v>
      </c>
      <c r="K142" s="3">
        <v>131736</v>
      </c>
      <c r="L142" s="3" t="s">
        <v>20</v>
      </c>
      <c r="M142" s="4">
        <f>(Table1_30[[#This Row],[Likes]]+Table1_30[[#This Row],[Shares]]+Table1_30[[#This Row],[Comments]])/Table1_30[[#This Row],[Impressions]]</f>
        <v>0.1081177506528208</v>
      </c>
    </row>
    <row r="143" spans="1:13" x14ac:dyDescent="0.3">
      <c r="A143" s="3" t="s">
        <v>298</v>
      </c>
      <c r="B143" s="3" t="s">
        <v>40</v>
      </c>
      <c r="C143" s="2">
        <v>45675</v>
      </c>
      <c r="D143" s="3" t="s">
        <v>23</v>
      </c>
      <c r="E143" s="3" t="s">
        <v>55</v>
      </c>
      <c r="F143" s="3">
        <v>22673</v>
      </c>
      <c r="G143" s="3">
        <v>1053</v>
      </c>
      <c r="H143" s="3">
        <v>169</v>
      </c>
      <c r="I143" s="3">
        <v>1566</v>
      </c>
      <c r="J143" s="3">
        <v>9417</v>
      </c>
      <c r="K143" s="3">
        <v>221187</v>
      </c>
      <c r="L143" s="3" t="s">
        <v>29</v>
      </c>
      <c r="M143" s="4">
        <f>(Table1_30[[#This Row],[Likes]]+Table1_30[[#This Row],[Shares]]+Table1_30[[#This Row],[Comments]])/Table1_30[[#This Row],[Impressions]]</f>
        <v>0.10803076130152314</v>
      </c>
    </row>
    <row r="144" spans="1:13" x14ac:dyDescent="0.3">
      <c r="A144" s="3" t="s">
        <v>304</v>
      </c>
      <c r="B144" s="3" t="s">
        <v>18</v>
      </c>
      <c r="C144" s="2">
        <v>45760</v>
      </c>
      <c r="D144" s="3" t="s">
        <v>34</v>
      </c>
      <c r="E144" s="3" t="s">
        <v>64</v>
      </c>
      <c r="F144" s="3">
        <v>24700</v>
      </c>
      <c r="G144" s="3">
        <v>327</v>
      </c>
      <c r="H144" s="3">
        <v>999</v>
      </c>
      <c r="I144" s="3">
        <v>994</v>
      </c>
      <c r="J144" s="3">
        <v>59400</v>
      </c>
      <c r="K144" s="3">
        <v>243502</v>
      </c>
      <c r="L144" s="3" t="s">
        <v>25</v>
      </c>
      <c r="M144" s="4">
        <f>(Table1_30[[#This Row],[Likes]]+Table1_30[[#This Row],[Shares]]+Table1_30[[#This Row],[Comments]])/Table1_30[[#This Row],[Impressions]]</f>
        <v>0.10688207899729776</v>
      </c>
    </row>
    <row r="145" spans="1:13" x14ac:dyDescent="0.3">
      <c r="A145" s="3" t="s">
        <v>216</v>
      </c>
      <c r="B145" s="3" t="s">
        <v>13</v>
      </c>
      <c r="C145" s="2">
        <v>45941</v>
      </c>
      <c r="D145" s="3" t="s">
        <v>34</v>
      </c>
      <c r="E145" s="3" t="s">
        <v>37</v>
      </c>
      <c r="F145" s="3">
        <v>15623</v>
      </c>
      <c r="G145" s="3">
        <v>869</v>
      </c>
      <c r="H145" s="3">
        <v>423</v>
      </c>
      <c r="I145" s="3">
        <v>371</v>
      </c>
      <c r="J145" s="3">
        <v>47579</v>
      </c>
      <c r="K145" s="3">
        <v>158516</v>
      </c>
      <c r="L145" s="3" t="s">
        <v>20</v>
      </c>
      <c r="M145" s="4">
        <f>(Table1_30[[#This Row],[Likes]]+Table1_30[[#This Row],[Shares]]+Table1_30[[#This Row],[Comments]])/Table1_30[[#This Row],[Impressions]]</f>
        <v>0.10670847106916652</v>
      </c>
    </row>
    <row r="146" spans="1:13" x14ac:dyDescent="0.3">
      <c r="A146" s="3" t="s">
        <v>250</v>
      </c>
      <c r="B146" s="3" t="s">
        <v>13</v>
      </c>
      <c r="C146" s="2">
        <v>45649</v>
      </c>
      <c r="D146" s="3" t="s">
        <v>27</v>
      </c>
      <c r="E146" s="3" t="s">
        <v>24</v>
      </c>
      <c r="F146" s="3">
        <v>18616</v>
      </c>
      <c r="G146" s="3">
        <v>1277</v>
      </c>
      <c r="H146" s="3">
        <v>734</v>
      </c>
      <c r="I146" s="3">
        <v>2249</v>
      </c>
      <c r="J146" s="3">
        <v>3399</v>
      </c>
      <c r="K146" s="3">
        <v>193515</v>
      </c>
      <c r="L146" s="3" t="s">
        <v>29</v>
      </c>
      <c r="M146" s="4">
        <f>(Table1_30[[#This Row],[Likes]]+Table1_30[[#This Row],[Shares]]+Table1_30[[#This Row],[Comments]])/Table1_30[[#This Row],[Impressions]]</f>
        <v>0.10659122031883833</v>
      </c>
    </row>
    <row r="147" spans="1:13" x14ac:dyDescent="0.3">
      <c r="A147" s="3" t="s">
        <v>308</v>
      </c>
      <c r="B147" s="3" t="s">
        <v>18</v>
      </c>
      <c r="C147" s="2">
        <v>45743</v>
      </c>
      <c r="D147" s="3" t="s">
        <v>23</v>
      </c>
      <c r="E147" s="3" t="s">
        <v>55</v>
      </c>
      <c r="F147" s="3">
        <v>14819</v>
      </c>
      <c r="G147" s="3">
        <v>1432</v>
      </c>
      <c r="H147" s="3">
        <v>152</v>
      </c>
      <c r="I147" s="3">
        <v>961</v>
      </c>
      <c r="J147" s="3">
        <v>39154</v>
      </c>
      <c r="K147" s="3">
        <v>154793</v>
      </c>
      <c r="L147" s="3" t="s">
        <v>29</v>
      </c>
      <c r="M147" s="4">
        <f>(Table1_30[[#This Row],[Likes]]+Table1_30[[#This Row],[Shares]]+Table1_30[[#This Row],[Comments]])/Table1_30[[#This Row],[Impressions]]</f>
        <v>0.10596732410380315</v>
      </c>
    </row>
    <row r="148" spans="1:13" x14ac:dyDescent="0.3">
      <c r="A148" s="3" t="s">
        <v>234</v>
      </c>
      <c r="B148" s="3" t="s">
        <v>18</v>
      </c>
      <c r="C148" s="2">
        <v>45919</v>
      </c>
      <c r="D148" s="3" t="s">
        <v>34</v>
      </c>
      <c r="E148" s="3" t="s">
        <v>28</v>
      </c>
      <c r="F148" s="3">
        <v>14772</v>
      </c>
      <c r="G148" s="3">
        <v>1030</v>
      </c>
      <c r="H148" s="3">
        <v>508</v>
      </c>
      <c r="I148" s="3">
        <v>1876</v>
      </c>
      <c r="J148" s="3">
        <v>8882</v>
      </c>
      <c r="K148" s="3">
        <v>155142</v>
      </c>
      <c r="L148" s="3" t="s">
        <v>20</v>
      </c>
      <c r="M148" s="4">
        <f>(Table1_30[[#This Row],[Likes]]+Table1_30[[#This Row],[Shares]]+Table1_30[[#This Row],[Comments]])/Table1_30[[#This Row],[Impressions]]</f>
        <v>0.10512949426976577</v>
      </c>
    </row>
    <row r="149" spans="1:13" x14ac:dyDescent="0.3">
      <c r="A149" s="3" t="s">
        <v>332</v>
      </c>
      <c r="B149" s="3" t="s">
        <v>18</v>
      </c>
      <c r="C149" s="2">
        <v>45699</v>
      </c>
      <c r="D149" s="3" t="s">
        <v>34</v>
      </c>
      <c r="E149" s="3" t="s">
        <v>115</v>
      </c>
      <c r="F149" s="3">
        <v>3619</v>
      </c>
      <c r="G149" s="3">
        <v>1376</v>
      </c>
      <c r="H149" s="3">
        <v>410</v>
      </c>
      <c r="I149" s="3">
        <v>2499</v>
      </c>
      <c r="J149" s="3">
        <v>58146</v>
      </c>
      <c r="K149" s="3">
        <v>52149</v>
      </c>
      <c r="L149" s="3" t="s">
        <v>16</v>
      </c>
      <c r="M149" s="4">
        <f>(Table1_30[[#This Row],[Likes]]+Table1_30[[#This Row],[Shares]]+Table1_30[[#This Row],[Comments]])/Table1_30[[#This Row],[Impressions]]</f>
        <v>0.10364532397553165</v>
      </c>
    </row>
    <row r="150" spans="1:13" x14ac:dyDescent="0.3">
      <c r="A150" s="3" t="s">
        <v>276</v>
      </c>
      <c r="B150" s="3" t="s">
        <v>18</v>
      </c>
      <c r="C150" s="2">
        <v>45911</v>
      </c>
      <c r="D150" s="3" t="s">
        <v>27</v>
      </c>
      <c r="E150" s="3" t="s">
        <v>35</v>
      </c>
      <c r="F150" s="3">
        <v>21901</v>
      </c>
      <c r="G150" s="3">
        <v>1308</v>
      </c>
      <c r="H150" s="3">
        <v>724</v>
      </c>
      <c r="I150" s="3">
        <v>2183</v>
      </c>
      <c r="J150" s="3">
        <v>15996</v>
      </c>
      <c r="K150" s="3">
        <v>230961</v>
      </c>
      <c r="L150" s="3" t="s">
        <v>20</v>
      </c>
      <c r="M150" s="4">
        <f>(Table1_30[[#This Row],[Likes]]+Table1_30[[#This Row],[Shares]]+Table1_30[[#This Row],[Comments]])/Table1_30[[#This Row],[Impressions]]</f>
        <v>0.10362355549205277</v>
      </c>
    </row>
    <row r="151" spans="1:13" x14ac:dyDescent="0.3">
      <c r="A151" s="3" t="s">
        <v>279</v>
      </c>
      <c r="B151" s="3" t="s">
        <v>18</v>
      </c>
      <c r="C151" s="2">
        <v>45722</v>
      </c>
      <c r="D151" s="3" t="s">
        <v>23</v>
      </c>
      <c r="E151" s="3" t="s">
        <v>41</v>
      </c>
      <c r="F151" s="3">
        <v>22119</v>
      </c>
      <c r="G151" s="3">
        <v>899</v>
      </c>
      <c r="H151" s="3">
        <v>642</v>
      </c>
      <c r="I151" s="3">
        <v>410</v>
      </c>
      <c r="J151" s="3">
        <v>49490</v>
      </c>
      <c r="K151" s="3">
        <v>229420</v>
      </c>
      <c r="L151" s="3" t="s">
        <v>29</v>
      </c>
      <c r="M151" s="4">
        <f>(Table1_30[[#This Row],[Likes]]+Table1_30[[#This Row],[Shares]]+Table1_30[[#This Row],[Comments]])/Table1_30[[#This Row],[Impressions]]</f>
        <v>0.10312963124400662</v>
      </c>
    </row>
    <row r="152" spans="1:13" x14ac:dyDescent="0.3">
      <c r="A152" s="3" t="s">
        <v>326</v>
      </c>
      <c r="B152" s="3" t="s">
        <v>18</v>
      </c>
      <c r="C152" s="2">
        <v>45920</v>
      </c>
      <c r="D152" s="3" t="s">
        <v>14</v>
      </c>
      <c r="E152" s="3" t="s">
        <v>32</v>
      </c>
      <c r="F152" s="3">
        <v>24422</v>
      </c>
      <c r="G152" s="3">
        <v>327</v>
      </c>
      <c r="H152" s="3">
        <v>481</v>
      </c>
      <c r="I152" s="3">
        <v>2371</v>
      </c>
      <c r="J152" s="3">
        <v>35340</v>
      </c>
      <c r="K152" s="3">
        <v>245244</v>
      </c>
      <c r="L152" s="3" t="s">
        <v>20</v>
      </c>
      <c r="M152" s="4">
        <f>(Table1_30[[#This Row],[Likes]]+Table1_30[[#This Row],[Shares]]+Table1_30[[#This Row],[Comments]])/Table1_30[[#This Row],[Impressions]]</f>
        <v>0.10287713460879777</v>
      </c>
    </row>
    <row r="153" spans="1:13" x14ac:dyDescent="0.3">
      <c r="A153" s="3" t="s">
        <v>273</v>
      </c>
      <c r="B153" s="3" t="s">
        <v>40</v>
      </c>
      <c r="C153" s="2">
        <v>45587</v>
      </c>
      <c r="D153" s="3" t="s">
        <v>34</v>
      </c>
      <c r="E153" s="3" t="s">
        <v>24</v>
      </c>
      <c r="F153" s="3">
        <v>7622</v>
      </c>
      <c r="G153" s="3">
        <v>529</v>
      </c>
      <c r="H153" s="3">
        <v>720</v>
      </c>
      <c r="I153" s="3">
        <v>1015</v>
      </c>
      <c r="J153" s="3">
        <v>71322</v>
      </c>
      <c r="K153" s="3">
        <v>86819</v>
      </c>
      <c r="L153" s="3" t="s">
        <v>45</v>
      </c>
      <c r="M153" s="4">
        <f>(Table1_30[[#This Row],[Likes]]+Table1_30[[#This Row],[Shares]]+Table1_30[[#This Row],[Comments]])/Table1_30[[#This Row],[Impressions]]</f>
        <v>0.10217809465669957</v>
      </c>
    </row>
    <row r="154" spans="1:13" x14ac:dyDescent="0.3">
      <c r="A154" s="3" t="s">
        <v>202</v>
      </c>
      <c r="B154" s="3" t="s">
        <v>22</v>
      </c>
      <c r="C154" s="2">
        <v>45704</v>
      </c>
      <c r="D154" s="3" t="s">
        <v>23</v>
      </c>
      <c r="E154" s="3" t="s">
        <v>50</v>
      </c>
      <c r="F154" s="3">
        <v>24195</v>
      </c>
      <c r="G154" s="3">
        <v>888</v>
      </c>
      <c r="H154" s="3">
        <v>165</v>
      </c>
      <c r="I154" s="3">
        <v>1559</v>
      </c>
      <c r="J154" s="3">
        <v>11596</v>
      </c>
      <c r="K154" s="3">
        <v>249988</v>
      </c>
      <c r="L154" s="3" t="s">
        <v>25</v>
      </c>
      <c r="M154" s="4">
        <f>(Table1_30[[#This Row],[Likes]]+Table1_30[[#This Row],[Shares]]+Table1_30[[#This Row],[Comments]])/Table1_30[[#This Row],[Impressions]]</f>
        <v>0.10099684784869674</v>
      </c>
    </row>
    <row r="155" spans="1:13" x14ac:dyDescent="0.3">
      <c r="A155" s="3" t="s">
        <v>158</v>
      </c>
      <c r="B155" s="3" t="s">
        <v>22</v>
      </c>
      <c r="C155" s="2">
        <v>45567</v>
      </c>
      <c r="D155" s="3" t="s">
        <v>27</v>
      </c>
      <c r="E155" s="3" t="s">
        <v>55</v>
      </c>
      <c r="F155" s="3">
        <v>9350</v>
      </c>
      <c r="G155" s="3">
        <v>1024</v>
      </c>
      <c r="H155" s="3">
        <v>550</v>
      </c>
      <c r="I155" s="3">
        <v>2123</v>
      </c>
      <c r="J155" s="3">
        <v>53916</v>
      </c>
      <c r="K155" s="3">
        <v>108785</v>
      </c>
      <c r="L155" s="3" t="s">
        <v>25</v>
      </c>
      <c r="M155" s="4">
        <f>(Table1_30[[#This Row],[Likes]]+Table1_30[[#This Row],[Shares]]+Table1_30[[#This Row],[Comments]])/Table1_30[[#This Row],[Impressions]]</f>
        <v>0.10041825619340902</v>
      </c>
    </row>
    <row r="156" spans="1:13" x14ac:dyDescent="0.3">
      <c r="A156" s="3" t="s">
        <v>285</v>
      </c>
      <c r="B156" s="3" t="s">
        <v>22</v>
      </c>
      <c r="C156" s="2">
        <v>45491</v>
      </c>
      <c r="D156" s="3" t="s">
        <v>27</v>
      </c>
      <c r="E156" s="3" t="s">
        <v>64</v>
      </c>
      <c r="F156" s="3">
        <v>11111</v>
      </c>
      <c r="G156" s="3">
        <v>1222</v>
      </c>
      <c r="H156" s="3">
        <v>367</v>
      </c>
      <c r="I156" s="3">
        <v>507</v>
      </c>
      <c r="J156" s="3">
        <v>14129</v>
      </c>
      <c r="K156" s="3">
        <v>127163</v>
      </c>
      <c r="L156" s="3" t="s">
        <v>45</v>
      </c>
      <c r="M156" s="4">
        <f>(Table1_30[[#This Row],[Likes]]+Table1_30[[#This Row],[Shares]]+Table1_30[[#This Row],[Comments]])/Table1_30[[#This Row],[Impressions]]</f>
        <v>9.9871818060284834E-2</v>
      </c>
    </row>
    <row r="157" spans="1:13" x14ac:dyDescent="0.3">
      <c r="A157" s="3" t="s">
        <v>201</v>
      </c>
      <c r="B157" s="3" t="s">
        <v>40</v>
      </c>
      <c r="C157" s="2">
        <v>45937</v>
      </c>
      <c r="D157" s="3" t="s">
        <v>34</v>
      </c>
      <c r="E157" s="3" t="s">
        <v>37</v>
      </c>
      <c r="F157" s="3">
        <v>19660</v>
      </c>
      <c r="G157" s="3">
        <v>1307</v>
      </c>
      <c r="H157" s="3">
        <v>310</v>
      </c>
      <c r="I157" s="3">
        <v>2802</v>
      </c>
      <c r="J157" s="3">
        <v>22171</v>
      </c>
      <c r="K157" s="3">
        <v>213359</v>
      </c>
      <c r="L157" s="3" t="s">
        <v>20</v>
      </c>
      <c r="M157" s="4">
        <f>(Table1_30[[#This Row],[Likes]]+Table1_30[[#This Row],[Shares]]+Table1_30[[#This Row],[Comments]])/Table1_30[[#This Row],[Impressions]]</f>
        <v>9.9723939463533293E-2</v>
      </c>
    </row>
    <row r="158" spans="1:13" x14ac:dyDescent="0.3">
      <c r="A158" s="3" t="s">
        <v>39</v>
      </c>
      <c r="B158" s="3" t="s">
        <v>40</v>
      </c>
      <c r="C158" s="2">
        <v>45727</v>
      </c>
      <c r="D158" s="3" t="s">
        <v>27</v>
      </c>
      <c r="E158" s="3" t="s">
        <v>41</v>
      </c>
      <c r="F158" s="3">
        <v>20222</v>
      </c>
      <c r="G158" s="3">
        <v>712</v>
      </c>
      <c r="H158" s="3">
        <v>604</v>
      </c>
      <c r="I158" s="3">
        <v>1272</v>
      </c>
      <c r="J158" s="3">
        <v>71598</v>
      </c>
      <c r="K158" s="3">
        <v>216422</v>
      </c>
      <c r="L158" s="3" t="s">
        <v>25</v>
      </c>
      <c r="M158" s="4">
        <f>(Table1_30[[#This Row],[Likes]]+Table1_30[[#This Row],[Shares]]+Table1_30[[#This Row],[Comments]])/Table1_30[[#This Row],[Impressions]]</f>
        <v>9.9518533235992648E-2</v>
      </c>
    </row>
    <row r="159" spans="1:13" x14ac:dyDescent="0.3">
      <c r="A159" s="3" t="s">
        <v>139</v>
      </c>
      <c r="B159" s="3" t="s">
        <v>40</v>
      </c>
      <c r="C159" s="2">
        <v>45927</v>
      </c>
      <c r="D159" s="3" t="s">
        <v>23</v>
      </c>
      <c r="E159" s="3" t="s">
        <v>19</v>
      </c>
      <c r="F159" s="3">
        <v>18521</v>
      </c>
      <c r="G159" s="3">
        <v>1027</v>
      </c>
      <c r="H159" s="3">
        <v>230</v>
      </c>
      <c r="I159" s="3">
        <v>1247</v>
      </c>
      <c r="J159" s="3">
        <v>39588</v>
      </c>
      <c r="K159" s="3">
        <v>200928</v>
      </c>
      <c r="L159" s="3" t="s">
        <v>20</v>
      </c>
      <c r="M159" s="4">
        <f>(Table1_30[[#This Row],[Likes]]+Table1_30[[#This Row],[Shares]]+Table1_30[[#This Row],[Comments]])/Table1_30[[#This Row],[Impressions]]</f>
        <v>9.8433269628921807E-2</v>
      </c>
    </row>
    <row r="160" spans="1:13" x14ac:dyDescent="0.3">
      <c r="A160" s="3" t="s">
        <v>154</v>
      </c>
      <c r="B160" s="3" t="s">
        <v>40</v>
      </c>
      <c r="C160" s="2">
        <v>45600</v>
      </c>
      <c r="D160" s="3" t="s">
        <v>27</v>
      </c>
      <c r="E160" s="3" t="s">
        <v>32</v>
      </c>
      <c r="F160" s="3">
        <v>14234</v>
      </c>
      <c r="G160" s="3">
        <v>1013</v>
      </c>
      <c r="H160" s="3">
        <v>437</v>
      </c>
      <c r="I160" s="3">
        <v>338</v>
      </c>
      <c r="J160" s="3">
        <v>67754</v>
      </c>
      <c r="K160" s="3">
        <v>160030</v>
      </c>
      <c r="L160" s="3" t="s">
        <v>25</v>
      </c>
      <c r="M160" s="4">
        <f>(Table1_30[[#This Row],[Likes]]+Table1_30[[#This Row],[Shares]]+Table1_30[[#This Row],[Comments]])/Table1_30[[#This Row],[Impressions]]</f>
        <v>9.8006623758045364E-2</v>
      </c>
    </row>
    <row r="161" spans="1:13" x14ac:dyDescent="0.3">
      <c r="A161" s="3" t="s">
        <v>289</v>
      </c>
      <c r="B161" s="3" t="s">
        <v>18</v>
      </c>
      <c r="C161" s="2">
        <v>45916</v>
      </c>
      <c r="D161" s="3" t="s">
        <v>14</v>
      </c>
      <c r="E161" s="3" t="s">
        <v>64</v>
      </c>
      <c r="F161" s="3">
        <v>16043</v>
      </c>
      <c r="G161" s="3">
        <v>595</v>
      </c>
      <c r="H161" s="3">
        <v>923</v>
      </c>
      <c r="I161" s="3">
        <v>1194</v>
      </c>
      <c r="J161" s="3">
        <v>52613</v>
      </c>
      <c r="K161" s="3">
        <v>179978</v>
      </c>
      <c r="L161" s="3" t="s">
        <v>20</v>
      </c>
      <c r="M161" s="4">
        <f>(Table1_30[[#This Row],[Likes]]+Table1_30[[#This Row],[Shares]]+Table1_30[[#This Row],[Comments]])/Table1_30[[#This Row],[Impressions]]</f>
        <v>9.757303670448611E-2</v>
      </c>
    </row>
    <row r="162" spans="1:13" x14ac:dyDescent="0.3">
      <c r="A162" s="3" t="s">
        <v>150</v>
      </c>
      <c r="B162" s="3" t="s">
        <v>40</v>
      </c>
      <c r="C162" s="2">
        <v>45610</v>
      </c>
      <c r="D162" s="3" t="s">
        <v>14</v>
      </c>
      <c r="E162" s="3" t="s">
        <v>24</v>
      </c>
      <c r="F162" s="3">
        <v>6300</v>
      </c>
      <c r="G162" s="3">
        <v>1213</v>
      </c>
      <c r="H162" s="3">
        <v>720</v>
      </c>
      <c r="I162" s="3">
        <v>1037</v>
      </c>
      <c r="J162" s="3">
        <v>39569</v>
      </c>
      <c r="K162" s="3">
        <v>85272</v>
      </c>
      <c r="L162" s="3" t="s">
        <v>29</v>
      </c>
      <c r="M162" s="4">
        <f>(Table1_30[[#This Row],[Likes]]+Table1_30[[#This Row],[Shares]]+Table1_30[[#This Row],[Comments]])/Table1_30[[#This Row],[Impressions]]</f>
        <v>9.6549863964724647E-2</v>
      </c>
    </row>
    <row r="163" spans="1:13" x14ac:dyDescent="0.3">
      <c r="A163" s="3" t="s">
        <v>244</v>
      </c>
      <c r="B163" s="3" t="s">
        <v>18</v>
      </c>
      <c r="C163" s="2">
        <v>45467</v>
      </c>
      <c r="D163" s="3" t="s">
        <v>23</v>
      </c>
      <c r="E163" s="3" t="s">
        <v>19</v>
      </c>
      <c r="F163" s="3">
        <v>5596</v>
      </c>
      <c r="G163" s="3">
        <v>1231</v>
      </c>
      <c r="H163" s="3">
        <v>473</v>
      </c>
      <c r="I163" s="3">
        <v>2251</v>
      </c>
      <c r="J163" s="3">
        <v>43705</v>
      </c>
      <c r="K163" s="3">
        <v>75643</v>
      </c>
      <c r="L163" s="3" t="s">
        <v>16</v>
      </c>
      <c r="M163" s="4">
        <f>(Table1_30[[#This Row],[Likes]]+Table1_30[[#This Row],[Shares]]+Table1_30[[#This Row],[Comments]])/Table1_30[[#This Row],[Impressions]]</f>
        <v>9.6505955607260427E-2</v>
      </c>
    </row>
    <row r="164" spans="1:13" x14ac:dyDescent="0.3">
      <c r="A164" s="3" t="s">
        <v>299</v>
      </c>
      <c r="B164" s="3" t="s">
        <v>22</v>
      </c>
      <c r="C164" s="2">
        <v>45524</v>
      </c>
      <c r="D164" s="3" t="s">
        <v>23</v>
      </c>
      <c r="E164" s="3" t="s">
        <v>32</v>
      </c>
      <c r="F164" s="3">
        <v>2846</v>
      </c>
      <c r="G164" s="3">
        <v>792</v>
      </c>
      <c r="H164" s="3">
        <v>902</v>
      </c>
      <c r="I164" s="3">
        <v>2469</v>
      </c>
      <c r="J164" s="3">
        <v>12130</v>
      </c>
      <c r="K164" s="3">
        <v>47151</v>
      </c>
      <c r="L164" s="3" t="s">
        <v>16</v>
      </c>
      <c r="M164" s="4">
        <f>(Table1_30[[#This Row],[Likes]]+Table1_30[[#This Row],[Shares]]+Table1_30[[#This Row],[Comments]])/Table1_30[[#This Row],[Impressions]]</f>
        <v>9.6286399015927546E-2</v>
      </c>
    </row>
    <row r="165" spans="1:13" x14ac:dyDescent="0.3">
      <c r="A165" s="3" t="s">
        <v>70</v>
      </c>
      <c r="B165" s="3" t="s">
        <v>40</v>
      </c>
      <c r="C165" s="2">
        <v>45626</v>
      </c>
      <c r="D165" s="3" t="s">
        <v>27</v>
      </c>
      <c r="E165" s="3" t="s">
        <v>50</v>
      </c>
      <c r="F165" s="3">
        <v>14763</v>
      </c>
      <c r="G165" s="3">
        <v>864</v>
      </c>
      <c r="H165" s="3">
        <v>336</v>
      </c>
      <c r="I165" s="3">
        <v>1493</v>
      </c>
      <c r="J165" s="3">
        <v>33310</v>
      </c>
      <c r="K165" s="3">
        <v>165932</v>
      </c>
      <c r="L165" s="3" t="s">
        <v>29</v>
      </c>
      <c r="M165" s="4">
        <f>(Table1_30[[#This Row],[Likes]]+Table1_30[[#This Row],[Shares]]+Table1_30[[#This Row],[Comments]])/Table1_30[[#This Row],[Impressions]]</f>
        <v>9.6202058674637797E-2</v>
      </c>
    </row>
    <row r="166" spans="1:13" x14ac:dyDescent="0.3">
      <c r="A166" s="3" t="s">
        <v>60</v>
      </c>
      <c r="B166" s="3" t="s">
        <v>40</v>
      </c>
      <c r="C166" s="2">
        <v>45752</v>
      </c>
      <c r="D166" s="3" t="s">
        <v>27</v>
      </c>
      <c r="E166" s="3" t="s">
        <v>37</v>
      </c>
      <c r="F166" s="3">
        <v>22384</v>
      </c>
      <c r="G166" s="3">
        <v>601</v>
      </c>
      <c r="H166" s="3">
        <v>943</v>
      </c>
      <c r="I166" s="3">
        <v>515</v>
      </c>
      <c r="J166" s="3">
        <v>41309</v>
      </c>
      <c r="K166" s="3">
        <v>249373</v>
      </c>
      <c r="L166" s="3" t="s">
        <v>16</v>
      </c>
      <c r="M166" s="4">
        <f>(Table1_30[[#This Row],[Likes]]+Table1_30[[#This Row],[Shares]]+Table1_30[[#This Row],[Comments]])/Table1_30[[#This Row],[Impressions]]</f>
        <v>9.5952649244304716E-2</v>
      </c>
    </row>
    <row r="167" spans="1:13" x14ac:dyDescent="0.3">
      <c r="A167" s="3" t="s">
        <v>274</v>
      </c>
      <c r="B167" s="3" t="s">
        <v>40</v>
      </c>
      <c r="C167" s="2">
        <v>45489</v>
      </c>
      <c r="D167" s="3" t="s">
        <v>23</v>
      </c>
      <c r="E167" s="3" t="s">
        <v>41</v>
      </c>
      <c r="F167" s="3">
        <v>8767</v>
      </c>
      <c r="G167" s="3">
        <v>974</v>
      </c>
      <c r="H167" s="3">
        <v>733</v>
      </c>
      <c r="I167" s="3">
        <v>1587</v>
      </c>
      <c r="J167" s="3">
        <v>74927</v>
      </c>
      <c r="K167" s="3">
        <v>113770</v>
      </c>
      <c r="L167" s="3" t="s">
        <v>16</v>
      </c>
      <c r="M167" s="4">
        <f>(Table1_30[[#This Row],[Likes]]+Table1_30[[#This Row],[Shares]]+Table1_30[[#This Row],[Comments]])/Table1_30[[#This Row],[Impressions]]</f>
        <v>9.2062933989628198E-2</v>
      </c>
    </row>
    <row r="168" spans="1:13" x14ac:dyDescent="0.3">
      <c r="A168" s="3" t="s">
        <v>91</v>
      </c>
      <c r="B168" s="3" t="s">
        <v>18</v>
      </c>
      <c r="C168" s="2">
        <v>45644</v>
      </c>
      <c r="D168" s="3" t="s">
        <v>23</v>
      </c>
      <c r="E168" s="3" t="s">
        <v>41</v>
      </c>
      <c r="F168" s="3">
        <v>14775</v>
      </c>
      <c r="G168" s="3">
        <v>1220</v>
      </c>
      <c r="H168" s="3">
        <v>640</v>
      </c>
      <c r="I168" s="3">
        <v>1547</v>
      </c>
      <c r="J168" s="3">
        <v>28527</v>
      </c>
      <c r="K168" s="3">
        <v>183660</v>
      </c>
      <c r="L168" s="3" t="s">
        <v>45</v>
      </c>
      <c r="M168" s="4">
        <f>(Table1_30[[#This Row],[Likes]]+Table1_30[[#This Row],[Shares]]+Table1_30[[#This Row],[Comments]])/Table1_30[[#This Row],[Impressions]]</f>
        <v>9.0574975498203203E-2</v>
      </c>
    </row>
    <row r="169" spans="1:13" x14ac:dyDescent="0.3">
      <c r="A169" s="3" t="s">
        <v>302</v>
      </c>
      <c r="B169" s="3" t="s">
        <v>40</v>
      </c>
      <c r="C169" s="2">
        <v>45621</v>
      </c>
      <c r="D169" s="3" t="s">
        <v>27</v>
      </c>
      <c r="E169" s="3" t="s">
        <v>41</v>
      </c>
      <c r="F169" s="3">
        <v>17385</v>
      </c>
      <c r="G169" s="3">
        <v>831</v>
      </c>
      <c r="H169" s="3">
        <v>568</v>
      </c>
      <c r="I169" s="3">
        <v>2227</v>
      </c>
      <c r="J169" s="3">
        <v>49351</v>
      </c>
      <c r="K169" s="3">
        <v>207450</v>
      </c>
      <c r="L169" s="3" t="s">
        <v>25</v>
      </c>
      <c r="M169" s="4">
        <f>(Table1_30[[#This Row],[Likes]]+Table1_30[[#This Row],[Shares]]+Table1_30[[#This Row],[Comments]])/Table1_30[[#This Row],[Impressions]]</f>
        <v>9.0547119787900698E-2</v>
      </c>
    </row>
    <row r="170" spans="1:13" x14ac:dyDescent="0.3">
      <c r="A170" s="3" t="s">
        <v>215</v>
      </c>
      <c r="B170" s="3" t="s">
        <v>22</v>
      </c>
      <c r="C170" s="2">
        <v>45488</v>
      </c>
      <c r="D170" s="3" t="s">
        <v>14</v>
      </c>
      <c r="E170" s="3" t="s">
        <v>50</v>
      </c>
      <c r="F170" s="3">
        <v>17034</v>
      </c>
      <c r="G170" s="3">
        <v>231</v>
      </c>
      <c r="H170" s="3">
        <v>290</v>
      </c>
      <c r="I170" s="3">
        <v>1387</v>
      </c>
      <c r="J170" s="3">
        <v>63550</v>
      </c>
      <c r="K170" s="3">
        <v>198280</v>
      </c>
      <c r="L170" s="3" t="s">
        <v>45</v>
      </c>
      <c r="M170" s="4">
        <f>(Table1_30[[#This Row],[Likes]]+Table1_30[[#This Row],[Shares]]+Table1_30[[#This Row],[Comments]])/Table1_30[[#This Row],[Impressions]]</f>
        <v>8.8536413153116805E-2</v>
      </c>
    </row>
    <row r="171" spans="1:13" x14ac:dyDescent="0.3">
      <c r="A171" s="3" t="s">
        <v>17</v>
      </c>
      <c r="B171" s="3" t="s">
        <v>18</v>
      </c>
      <c r="C171" s="2">
        <v>45903</v>
      </c>
      <c r="D171" s="3" t="s">
        <v>14</v>
      </c>
      <c r="E171" s="3" t="s">
        <v>19</v>
      </c>
      <c r="F171" s="3">
        <v>4779</v>
      </c>
      <c r="G171" s="3">
        <v>1110</v>
      </c>
      <c r="H171" s="3">
        <v>436</v>
      </c>
      <c r="I171" s="3">
        <v>1574</v>
      </c>
      <c r="J171" s="3">
        <v>77167</v>
      </c>
      <c r="K171" s="3">
        <v>71585</v>
      </c>
      <c r="L171" s="3" t="s">
        <v>20</v>
      </c>
      <c r="M171" s="4">
        <f>(Table1_30[[#This Row],[Likes]]+Table1_30[[#This Row],[Shares]]+Table1_30[[#This Row],[Comments]])/Table1_30[[#This Row],[Impressions]]</f>
        <v>8.8356499266606131E-2</v>
      </c>
    </row>
    <row r="172" spans="1:13" x14ac:dyDescent="0.3">
      <c r="A172" s="3" t="s">
        <v>122</v>
      </c>
      <c r="B172" s="3" t="s">
        <v>13</v>
      </c>
      <c r="C172" s="2">
        <v>45684</v>
      </c>
      <c r="D172" s="3" t="s">
        <v>34</v>
      </c>
      <c r="E172" s="3" t="s">
        <v>41</v>
      </c>
      <c r="F172" s="3">
        <v>8949</v>
      </c>
      <c r="G172" s="3">
        <v>1477</v>
      </c>
      <c r="H172" s="3">
        <v>424</v>
      </c>
      <c r="I172" s="3">
        <v>1030</v>
      </c>
      <c r="J172" s="3">
        <v>58052</v>
      </c>
      <c r="K172" s="3">
        <v>123310</v>
      </c>
      <c r="L172" s="3" t="s">
        <v>16</v>
      </c>
      <c r="M172" s="4">
        <f>(Table1_30[[#This Row],[Likes]]+Table1_30[[#This Row],[Shares]]+Table1_30[[#This Row],[Comments]])/Table1_30[[#This Row],[Impressions]]</f>
        <v>8.7989619657773091E-2</v>
      </c>
    </row>
    <row r="173" spans="1:13" x14ac:dyDescent="0.3">
      <c r="A173" s="3" t="s">
        <v>92</v>
      </c>
      <c r="B173" s="3" t="s">
        <v>18</v>
      </c>
      <c r="C173" s="2">
        <v>45586</v>
      </c>
      <c r="D173" s="3" t="s">
        <v>27</v>
      </c>
      <c r="E173" s="3" t="s">
        <v>50</v>
      </c>
      <c r="F173" s="3">
        <v>12015</v>
      </c>
      <c r="G173" s="3">
        <v>1196</v>
      </c>
      <c r="H173" s="3">
        <v>998</v>
      </c>
      <c r="I173" s="3">
        <v>1848</v>
      </c>
      <c r="J173" s="3">
        <v>44739</v>
      </c>
      <c r="K173" s="3">
        <v>161750</v>
      </c>
      <c r="L173" s="3" t="s">
        <v>45</v>
      </c>
      <c r="M173" s="4">
        <f>(Table1_30[[#This Row],[Likes]]+Table1_30[[#This Row],[Shares]]+Table1_30[[#This Row],[Comments]])/Table1_30[[#This Row],[Impressions]]</f>
        <v>8.7845440494590421E-2</v>
      </c>
    </row>
    <row r="174" spans="1:13" x14ac:dyDescent="0.3">
      <c r="A174" s="3" t="s">
        <v>333</v>
      </c>
      <c r="B174" s="3" t="s">
        <v>40</v>
      </c>
      <c r="C174" s="2">
        <v>45650</v>
      </c>
      <c r="D174" s="3" t="s">
        <v>14</v>
      </c>
      <c r="E174" s="3" t="s">
        <v>64</v>
      </c>
      <c r="F174" s="3">
        <v>10512</v>
      </c>
      <c r="G174" s="3">
        <v>1197</v>
      </c>
      <c r="H174" s="3">
        <v>544</v>
      </c>
      <c r="I174" s="3">
        <v>2012</v>
      </c>
      <c r="J174" s="3">
        <v>10245</v>
      </c>
      <c r="K174" s="3">
        <v>140102</v>
      </c>
      <c r="L174" s="3" t="s">
        <v>16</v>
      </c>
      <c r="M174" s="4">
        <f>(Table1_30[[#This Row],[Likes]]+Table1_30[[#This Row],[Shares]]+Table1_30[[#This Row],[Comments]])/Table1_30[[#This Row],[Impressions]]</f>
        <v>8.745770938316369E-2</v>
      </c>
    </row>
    <row r="175" spans="1:13" x14ac:dyDescent="0.3">
      <c r="A175" s="3" t="s">
        <v>173</v>
      </c>
      <c r="B175" s="3" t="s">
        <v>22</v>
      </c>
      <c r="C175" s="2">
        <v>45504</v>
      </c>
      <c r="D175" s="3" t="s">
        <v>34</v>
      </c>
      <c r="E175" s="3" t="s">
        <v>28</v>
      </c>
      <c r="F175" s="3">
        <v>13314</v>
      </c>
      <c r="G175" s="3">
        <v>274</v>
      </c>
      <c r="H175" s="3">
        <v>626</v>
      </c>
      <c r="I175" s="3">
        <v>2280</v>
      </c>
      <c r="J175" s="3">
        <v>14639</v>
      </c>
      <c r="K175" s="3">
        <v>163008</v>
      </c>
      <c r="L175" s="3" t="s">
        <v>29</v>
      </c>
      <c r="M175" s="4">
        <f>(Table1_30[[#This Row],[Likes]]+Table1_30[[#This Row],[Shares]]+Table1_30[[#This Row],[Comments]])/Table1_30[[#This Row],[Impressions]]</f>
        <v>8.7198174322732622E-2</v>
      </c>
    </row>
    <row r="176" spans="1:13" x14ac:dyDescent="0.3">
      <c r="A176" s="3" t="s">
        <v>63</v>
      </c>
      <c r="B176" s="3" t="s">
        <v>18</v>
      </c>
      <c r="C176" s="2">
        <v>45910</v>
      </c>
      <c r="D176" s="3" t="s">
        <v>34</v>
      </c>
      <c r="E176" s="3" t="s">
        <v>64</v>
      </c>
      <c r="F176" s="3">
        <v>9266</v>
      </c>
      <c r="G176" s="3">
        <v>999</v>
      </c>
      <c r="H176" s="3">
        <v>928</v>
      </c>
      <c r="I176" s="3">
        <v>2700</v>
      </c>
      <c r="J176" s="3">
        <v>12264</v>
      </c>
      <c r="K176" s="3">
        <v>128397</v>
      </c>
      <c r="L176" s="3" t="s">
        <v>20</v>
      </c>
      <c r="M176" s="4">
        <f>(Table1_30[[#This Row],[Likes]]+Table1_30[[#This Row],[Shares]]+Table1_30[[#This Row],[Comments]])/Table1_30[[#This Row],[Impressions]]</f>
        <v>8.7174933993784898E-2</v>
      </c>
    </row>
    <row r="177" spans="1:13" x14ac:dyDescent="0.3">
      <c r="A177" s="3" t="s">
        <v>69</v>
      </c>
      <c r="B177" s="3" t="s">
        <v>40</v>
      </c>
      <c r="C177" s="2">
        <v>45912</v>
      </c>
      <c r="D177" s="3" t="s">
        <v>23</v>
      </c>
      <c r="E177" s="3" t="s">
        <v>24</v>
      </c>
      <c r="F177" s="3">
        <v>17158</v>
      </c>
      <c r="G177" s="3">
        <v>1192</v>
      </c>
      <c r="H177" s="3">
        <v>262</v>
      </c>
      <c r="I177" s="3">
        <v>2016</v>
      </c>
      <c r="J177" s="3">
        <v>28771</v>
      </c>
      <c r="K177" s="3">
        <v>216037</v>
      </c>
      <c r="L177" s="3" t="s">
        <v>20</v>
      </c>
      <c r="M177" s="4">
        <f>(Table1_30[[#This Row],[Likes]]+Table1_30[[#This Row],[Shares]]+Table1_30[[#This Row],[Comments]])/Table1_30[[#This Row],[Impressions]]</f>
        <v>8.6151909163708074E-2</v>
      </c>
    </row>
    <row r="178" spans="1:13" x14ac:dyDescent="0.3">
      <c r="A178" s="3" t="s">
        <v>99</v>
      </c>
      <c r="B178" s="3" t="s">
        <v>22</v>
      </c>
      <c r="C178" s="2">
        <v>45521</v>
      </c>
      <c r="D178" s="3" t="s">
        <v>27</v>
      </c>
      <c r="E178" s="3" t="s">
        <v>32</v>
      </c>
      <c r="F178" s="3">
        <v>19154</v>
      </c>
      <c r="G178" s="3">
        <v>1064</v>
      </c>
      <c r="H178" s="3">
        <v>650</v>
      </c>
      <c r="I178" s="3">
        <v>747</v>
      </c>
      <c r="J178" s="3">
        <v>42667</v>
      </c>
      <c r="K178" s="3">
        <v>242332</v>
      </c>
      <c r="L178" s="3" t="s">
        <v>25</v>
      </c>
      <c r="M178" s="4">
        <f>(Table1_30[[#This Row],[Likes]]+Table1_30[[#This Row],[Shares]]+Table1_30[[#This Row],[Comments]])/Table1_30[[#This Row],[Impressions]]</f>
        <v>8.6113266097750191E-2</v>
      </c>
    </row>
    <row r="179" spans="1:13" x14ac:dyDescent="0.3">
      <c r="A179" s="3" t="s">
        <v>90</v>
      </c>
      <c r="B179" s="3" t="s">
        <v>13</v>
      </c>
      <c r="C179" s="2">
        <v>45460</v>
      </c>
      <c r="D179" s="3" t="s">
        <v>34</v>
      </c>
      <c r="E179" s="3" t="s">
        <v>15</v>
      </c>
      <c r="F179" s="3">
        <v>6976</v>
      </c>
      <c r="G179" s="3">
        <v>1320</v>
      </c>
      <c r="H179" s="3">
        <v>393</v>
      </c>
      <c r="I179" s="3">
        <v>2285</v>
      </c>
      <c r="J179" s="3">
        <v>14049</v>
      </c>
      <c r="K179" s="3">
        <v>101367</v>
      </c>
      <c r="L179" s="3" t="s">
        <v>45</v>
      </c>
      <c r="M179" s="4">
        <f>(Table1_30[[#This Row],[Likes]]+Table1_30[[#This Row],[Shares]]+Table1_30[[#This Row],[Comments]])/Table1_30[[#This Row],[Impressions]]</f>
        <v>8.5718231771681114E-2</v>
      </c>
    </row>
    <row r="180" spans="1:13" x14ac:dyDescent="0.3">
      <c r="A180" s="3" t="s">
        <v>295</v>
      </c>
      <c r="B180" s="3" t="s">
        <v>18</v>
      </c>
      <c r="C180" s="2">
        <v>45698</v>
      </c>
      <c r="D180" s="3" t="s">
        <v>34</v>
      </c>
      <c r="E180" s="3" t="s">
        <v>19</v>
      </c>
      <c r="F180" s="3">
        <v>16309</v>
      </c>
      <c r="G180" s="3">
        <v>1449</v>
      </c>
      <c r="H180" s="3">
        <v>838</v>
      </c>
      <c r="I180" s="3">
        <v>2434</v>
      </c>
      <c r="J180" s="3">
        <v>2940</v>
      </c>
      <c r="K180" s="3">
        <v>217953</v>
      </c>
      <c r="L180" s="3" t="s">
        <v>29</v>
      </c>
      <c r="M180" s="4">
        <f>(Table1_30[[#This Row],[Likes]]+Table1_30[[#This Row],[Shares]]+Table1_30[[#This Row],[Comments]])/Table1_30[[#This Row],[Impressions]]</f>
        <v>8.5321147219813445E-2</v>
      </c>
    </row>
    <row r="181" spans="1:13" x14ac:dyDescent="0.3">
      <c r="A181" s="3" t="s">
        <v>59</v>
      </c>
      <c r="B181" s="3" t="s">
        <v>18</v>
      </c>
      <c r="C181" s="2">
        <v>45909</v>
      </c>
      <c r="D181" s="3" t="s">
        <v>27</v>
      </c>
      <c r="E181" s="3" t="s">
        <v>37</v>
      </c>
      <c r="F181" s="3">
        <v>15772</v>
      </c>
      <c r="G181" s="3">
        <v>288</v>
      </c>
      <c r="H181" s="3">
        <v>520</v>
      </c>
      <c r="I181" s="3">
        <v>1585</v>
      </c>
      <c r="J181" s="3">
        <v>59182</v>
      </c>
      <c r="K181" s="3">
        <v>194351</v>
      </c>
      <c r="L181" s="3" t="s">
        <v>20</v>
      </c>
      <c r="M181" s="4">
        <f>(Table1_30[[#This Row],[Likes]]+Table1_30[[#This Row],[Shares]]+Table1_30[[#This Row],[Comments]])/Table1_30[[#This Row],[Impressions]]</f>
        <v>8.5309568769905988E-2</v>
      </c>
    </row>
    <row r="182" spans="1:13" x14ac:dyDescent="0.3">
      <c r="A182" s="3" t="s">
        <v>249</v>
      </c>
      <c r="B182" s="3" t="s">
        <v>22</v>
      </c>
      <c r="C182" s="2">
        <v>45778</v>
      </c>
      <c r="D182" s="3" t="s">
        <v>23</v>
      </c>
      <c r="E182" s="3" t="s">
        <v>41</v>
      </c>
      <c r="F182" s="3">
        <v>10258</v>
      </c>
      <c r="G182" s="3">
        <v>527</v>
      </c>
      <c r="H182" s="3">
        <v>854</v>
      </c>
      <c r="I182" s="3">
        <v>2068</v>
      </c>
      <c r="J182" s="3">
        <v>45632</v>
      </c>
      <c r="K182" s="3">
        <v>136546</v>
      </c>
      <c r="L182" s="3" t="s">
        <v>45</v>
      </c>
      <c r="M182" s="4">
        <f>(Table1_30[[#This Row],[Likes]]+Table1_30[[#This Row],[Shares]]+Table1_30[[#This Row],[Comments]])/Table1_30[[#This Row],[Impressions]]</f>
        <v>8.5238674146441498E-2</v>
      </c>
    </row>
    <row r="183" spans="1:13" x14ac:dyDescent="0.3">
      <c r="A183" s="3" t="s">
        <v>291</v>
      </c>
      <c r="B183" s="3" t="s">
        <v>22</v>
      </c>
      <c r="C183" s="2">
        <v>45750</v>
      </c>
      <c r="D183" s="3" t="s">
        <v>14</v>
      </c>
      <c r="E183" s="3" t="s">
        <v>115</v>
      </c>
      <c r="F183" s="3">
        <v>10837</v>
      </c>
      <c r="G183" s="3">
        <v>1004</v>
      </c>
      <c r="H183" s="3">
        <v>922</v>
      </c>
      <c r="I183" s="3">
        <v>1108</v>
      </c>
      <c r="J183" s="3">
        <v>36807</v>
      </c>
      <c r="K183" s="3">
        <v>150350</v>
      </c>
      <c r="L183" s="3" t="s">
        <v>25</v>
      </c>
      <c r="M183" s="4">
        <f>(Table1_30[[#This Row],[Likes]]+Table1_30[[#This Row],[Shares]]+Table1_30[[#This Row],[Comments]])/Table1_30[[#This Row],[Impressions]]</f>
        <v>8.4888593282341204E-2</v>
      </c>
    </row>
    <row r="184" spans="1:13" x14ac:dyDescent="0.3">
      <c r="A184" s="3" t="s">
        <v>36</v>
      </c>
      <c r="B184" s="3" t="s">
        <v>22</v>
      </c>
      <c r="C184" s="2">
        <v>45486</v>
      </c>
      <c r="D184" s="3" t="s">
        <v>27</v>
      </c>
      <c r="E184" s="3" t="s">
        <v>37</v>
      </c>
      <c r="F184" s="3">
        <v>18639</v>
      </c>
      <c r="G184" s="3">
        <v>1360</v>
      </c>
      <c r="H184" s="3">
        <v>898</v>
      </c>
      <c r="I184" s="3">
        <v>2011</v>
      </c>
      <c r="J184" s="3">
        <v>42841</v>
      </c>
      <c r="K184" s="3">
        <v>247779</v>
      </c>
      <c r="L184" s="3" t="s">
        <v>29</v>
      </c>
      <c r="M184" s="4">
        <f>(Table1_30[[#This Row],[Likes]]+Table1_30[[#This Row],[Shares]]+Table1_30[[#This Row],[Comments]])/Table1_30[[#This Row],[Impressions]]</f>
        <v>8.4337252148083575E-2</v>
      </c>
    </row>
    <row r="185" spans="1:13" x14ac:dyDescent="0.3">
      <c r="A185" s="3" t="s">
        <v>251</v>
      </c>
      <c r="B185" s="3" t="s">
        <v>13</v>
      </c>
      <c r="C185" s="2">
        <v>45925</v>
      </c>
      <c r="D185" s="3" t="s">
        <v>27</v>
      </c>
      <c r="E185" s="3" t="s">
        <v>55</v>
      </c>
      <c r="F185" s="3">
        <v>8371</v>
      </c>
      <c r="G185" s="3">
        <v>960</v>
      </c>
      <c r="H185" s="3">
        <v>548</v>
      </c>
      <c r="I185" s="3">
        <v>2936</v>
      </c>
      <c r="J185" s="3">
        <v>82543</v>
      </c>
      <c r="K185" s="3">
        <v>119973</v>
      </c>
      <c r="L185" s="3" t="s">
        <v>20</v>
      </c>
      <c r="M185" s="4">
        <f>(Table1_30[[#This Row],[Likes]]+Table1_30[[#This Row],[Shares]]+Table1_30[[#This Row],[Comments]])/Table1_30[[#This Row],[Impressions]]</f>
        <v>8.2343527293641069E-2</v>
      </c>
    </row>
    <row r="186" spans="1:13" x14ac:dyDescent="0.3">
      <c r="A186" s="3" t="s">
        <v>153</v>
      </c>
      <c r="B186" s="3" t="s">
        <v>22</v>
      </c>
      <c r="C186" s="2">
        <v>45600</v>
      </c>
      <c r="D186" s="3" t="s">
        <v>14</v>
      </c>
      <c r="E186" s="3" t="s">
        <v>50</v>
      </c>
      <c r="F186" s="3">
        <v>14015</v>
      </c>
      <c r="G186" s="3">
        <v>978</v>
      </c>
      <c r="H186" s="3">
        <v>196</v>
      </c>
      <c r="I186" s="3">
        <v>2744</v>
      </c>
      <c r="J186" s="3">
        <v>20190</v>
      </c>
      <c r="K186" s="3">
        <v>186470</v>
      </c>
      <c r="L186" s="3" t="s">
        <v>25</v>
      </c>
      <c r="M186" s="4">
        <f>(Table1_30[[#This Row],[Likes]]+Table1_30[[#This Row],[Shares]]+Table1_30[[#This Row],[Comments]])/Table1_30[[#This Row],[Impressions]]</f>
        <v>8.1455462004611998E-2</v>
      </c>
    </row>
    <row r="187" spans="1:13" x14ac:dyDescent="0.3">
      <c r="A187" s="3" t="s">
        <v>212</v>
      </c>
      <c r="B187" s="3" t="s">
        <v>40</v>
      </c>
      <c r="C187" s="2">
        <v>45939</v>
      </c>
      <c r="D187" s="3" t="s">
        <v>34</v>
      </c>
      <c r="E187" s="3" t="s">
        <v>24</v>
      </c>
      <c r="F187" s="3">
        <v>18748</v>
      </c>
      <c r="G187" s="3">
        <v>634</v>
      </c>
      <c r="H187" s="3">
        <v>400</v>
      </c>
      <c r="I187" s="3">
        <v>1667</v>
      </c>
      <c r="J187" s="3">
        <v>75813</v>
      </c>
      <c r="K187" s="3">
        <v>244456</v>
      </c>
      <c r="L187" s="3" t="s">
        <v>20</v>
      </c>
      <c r="M187" s="4">
        <f>(Table1_30[[#This Row],[Likes]]+Table1_30[[#This Row],[Shares]]+Table1_30[[#This Row],[Comments]])/Table1_30[[#This Row],[Impressions]]</f>
        <v>8.0922538207284747E-2</v>
      </c>
    </row>
    <row r="188" spans="1:13" x14ac:dyDescent="0.3">
      <c r="A188" s="3" t="s">
        <v>211</v>
      </c>
      <c r="B188" s="3" t="s">
        <v>18</v>
      </c>
      <c r="C188" s="2">
        <v>45938</v>
      </c>
      <c r="D188" s="3" t="s">
        <v>23</v>
      </c>
      <c r="E188" s="3" t="s">
        <v>50</v>
      </c>
      <c r="F188" s="3">
        <v>17745</v>
      </c>
      <c r="G188" s="3">
        <v>414</v>
      </c>
      <c r="H188" s="3">
        <v>563</v>
      </c>
      <c r="I188" s="3">
        <v>2733</v>
      </c>
      <c r="J188" s="3">
        <v>995</v>
      </c>
      <c r="K188" s="3">
        <v>231648</v>
      </c>
      <c r="L188" s="3" t="s">
        <v>20</v>
      </c>
      <c r="M188" s="4">
        <f>(Table1_30[[#This Row],[Likes]]+Table1_30[[#This Row],[Shares]]+Table1_30[[#This Row],[Comments]])/Table1_30[[#This Row],[Impressions]]</f>
        <v>8.0820900676889074E-2</v>
      </c>
    </row>
    <row r="189" spans="1:13" x14ac:dyDescent="0.3">
      <c r="A189" s="3" t="s">
        <v>248</v>
      </c>
      <c r="B189" s="3" t="s">
        <v>13</v>
      </c>
      <c r="C189" s="2">
        <v>45719</v>
      </c>
      <c r="D189" s="3" t="s">
        <v>27</v>
      </c>
      <c r="E189" s="3" t="s">
        <v>15</v>
      </c>
      <c r="F189" s="3">
        <v>9561</v>
      </c>
      <c r="G189" s="3">
        <v>642</v>
      </c>
      <c r="H189" s="3">
        <v>581</v>
      </c>
      <c r="I189" s="3">
        <v>2572</v>
      </c>
      <c r="J189" s="3">
        <v>38552</v>
      </c>
      <c r="K189" s="3">
        <v>133680</v>
      </c>
      <c r="L189" s="3" t="s">
        <v>16</v>
      </c>
      <c r="M189" s="4">
        <f>(Table1_30[[#This Row],[Likes]]+Table1_30[[#This Row],[Shares]]+Table1_30[[#This Row],[Comments]])/Table1_30[[#This Row],[Impressions]]</f>
        <v>8.0670257330939563E-2</v>
      </c>
    </row>
    <row r="190" spans="1:13" x14ac:dyDescent="0.3">
      <c r="A190" s="3" t="s">
        <v>208</v>
      </c>
      <c r="B190" s="3" t="s">
        <v>22</v>
      </c>
      <c r="C190" s="2">
        <v>45518</v>
      </c>
      <c r="D190" s="3" t="s">
        <v>34</v>
      </c>
      <c r="E190" s="3" t="s">
        <v>115</v>
      </c>
      <c r="F190" s="3">
        <v>10150</v>
      </c>
      <c r="G190" s="3">
        <v>526</v>
      </c>
      <c r="H190" s="3">
        <v>888</v>
      </c>
      <c r="I190" s="3">
        <v>1313</v>
      </c>
      <c r="J190" s="3">
        <v>51605</v>
      </c>
      <c r="K190" s="3">
        <v>143409</v>
      </c>
      <c r="L190" s="3" t="s">
        <v>16</v>
      </c>
      <c r="M190" s="4">
        <f>(Table1_30[[#This Row],[Likes]]+Table1_30[[#This Row],[Shares]]+Table1_30[[#This Row],[Comments]])/Table1_30[[#This Row],[Impressions]]</f>
        <v>8.0636501195880311E-2</v>
      </c>
    </row>
    <row r="191" spans="1:13" x14ac:dyDescent="0.3">
      <c r="A191" s="3" t="s">
        <v>227</v>
      </c>
      <c r="B191" s="3" t="s">
        <v>13</v>
      </c>
      <c r="C191" s="2">
        <v>45944</v>
      </c>
      <c r="D191" s="3" t="s">
        <v>34</v>
      </c>
      <c r="E191" s="3" t="s">
        <v>55</v>
      </c>
      <c r="F191" s="3">
        <v>9673</v>
      </c>
      <c r="G191" s="3">
        <v>393</v>
      </c>
      <c r="H191" s="3">
        <v>846</v>
      </c>
      <c r="I191" s="3">
        <v>1028</v>
      </c>
      <c r="J191" s="3">
        <v>55556</v>
      </c>
      <c r="K191" s="3">
        <v>136652</v>
      </c>
      <c r="L191" s="3" t="s">
        <v>20</v>
      </c>
      <c r="M191" s="4">
        <f>(Table1_30[[#This Row],[Likes]]+Table1_30[[#This Row],[Shares]]+Table1_30[[#This Row],[Comments]])/Table1_30[[#This Row],[Impressions]]</f>
        <v>7.9852471972601938E-2</v>
      </c>
    </row>
    <row r="192" spans="1:13" x14ac:dyDescent="0.3">
      <c r="A192" s="3" t="s">
        <v>263</v>
      </c>
      <c r="B192" s="3" t="s">
        <v>22</v>
      </c>
      <c r="C192" s="2">
        <v>45455</v>
      </c>
      <c r="D192" s="3" t="s">
        <v>23</v>
      </c>
      <c r="E192" s="3" t="s">
        <v>19</v>
      </c>
      <c r="F192" s="3">
        <v>17679</v>
      </c>
      <c r="G192" s="3">
        <v>690</v>
      </c>
      <c r="H192" s="3">
        <v>451</v>
      </c>
      <c r="I192" s="3">
        <v>2195</v>
      </c>
      <c r="J192" s="3">
        <v>4390</v>
      </c>
      <c r="K192" s="3">
        <v>235804</v>
      </c>
      <c r="L192" s="3" t="s">
        <v>45</v>
      </c>
      <c r="M192" s="4">
        <f>(Table1_30[[#This Row],[Likes]]+Table1_30[[#This Row],[Shares]]+Table1_30[[#This Row],[Comments]])/Table1_30[[#This Row],[Impressions]]</f>
        <v>7.9812047293514959E-2</v>
      </c>
    </row>
    <row r="193" spans="1:13" x14ac:dyDescent="0.3">
      <c r="A193" s="3" t="s">
        <v>303</v>
      </c>
      <c r="B193" s="3" t="s">
        <v>18</v>
      </c>
      <c r="C193" s="2">
        <v>45569</v>
      </c>
      <c r="D193" s="3" t="s">
        <v>27</v>
      </c>
      <c r="E193" s="3" t="s">
        <v>50</v>
      </c>
      <c r="F193" s="3">
        <v>15746</v>
      </c>
      <c r="G193" s="3">
        <v>258</v>
      </c>
      <c r="H193" s="3">
        <v>839</v>
      </c>
      <c r="I193" s="3">
        <v>2656</v>
      </c>
      <c r="J193" s="3">
        <v>66614</v>
      </c>
      <c r="K193" s="3">
        <v>213724</v>
      </c>
      <c r="L193" s="3" t="s">
        <v>25</v>
      </c>
      <c r="M193" s="4">
        <f>(Table1_30[[#This Row],[Likes]]+Table1_30[[#This Row],[Shares]]+Table1_30[[#This Row],[Comments]])/Table1_30[[#This Row],[Impressions]]</f>
        <v>7.8807246729426739E-2</v>
      </c>
    </row>
    <row r="194" spans="1:13" x14ac:dyDescent="0.3">
      <c r="A194" s="3" t="s">
        <v>94</v>
      </c>
      <c r="B194" s="3" t="s">
        <v>13</v>
      </c>
      <c r="C194" s="2">
        <v>45465</v>
      </c>
      <c r="D194" s="3" t="s">
        <v>14</v>
      </c>
      <c r="E194" s="3" t="s">
        <v>37</v>
      </c>
      <c r="F194" s="3">
        <v>16430</v>
      </c>
      <c r="G194" s="3">
        <v>488</v>
      </c>
      <c r="H194" s="3">
        <v>514</v>
      </c>
      <c r="I194" s="3">
        <v>1436</v>
      </c>
      <c r="J194" s="3">
        <v>30059</v>
      </c>
      <c r="K194" s="3">
        <v>223305</v>
      </c>
      <c r="L194" s="3" t="s">
        <v>29</v>
      </c>
      <c r="M194" s="4">
        <f>(Table1_30[[#This Row],[Likes]]+Table1_30[[#This Row],[Shares]]+Table1_30[[#This Row],[Comments]])/Table1_30[[#This Row],[Impressions]]</f>
        <v>7.8063634938760881E-2</v>
      </c>
    </row>
    <row r="195" spans="1:13" x14ac:dyDescent="0.3">
      <c r="A195" s="3" t="s">
        <v>160</v>
      </c>
      <c r="B195" s="3" t="s">
        <v>13</v>
      </c>
      <c r="C195" s="2">
        <v>45753</v>
      </c>
      <c r="D195" s="3" t="s">
        <v>23</v>
      </c>
      <c r="E195" s="3" t="s">
        <v>55</v>
      </c>
      <c r="F195" s="3">
        <v>8238</v>
      </c>
      <c r="G195" s="3">
        <v>766</v>
      </c>
      <c r="H195" s="3">
        <v>235</v>
      </c>
      <c r="I195" s="3">
        <v>1273</v>
      </c>
      <c r="J195" s="3">
        <v>4706</v>
      </c>
      <c r="K195" s="3">
        <v>119141</v>
      </c>
      <c r="L195" s="3" t="s">
        <v>29</v>
      </c>
      <c r="M195" s="4">
        <f>(Table1_30[[#This Row],[Likes]]+Table1_30[[#This Row],[Shares]]+Table1_30[[#This Row],[Comments]])/Table1_30[[#This Row],[Impressions]]</f>
        <v>7.7546772311798629E-2</v>
      </c>
    </row>
    <row r="196" spans="1:13" x14ac:dyDescent="0.3">
      <c r="A196" s="3" t="s">
        <v>137</v>
      </c>
      <c r="B196" s="3" t="s">
        <v>13</v>
      </c>
      <c r="C196" s="2">
        <v>45583</v>
      </c>
      <c r="D196" s="3" t="s">
        <v>34</v>
      </c>
      <c r="E196" s="3" t="s">
        <v>19</v>
      </c>
      <c r="F196" s="3">
        <v>6892</v>
      </c>
      <c r="G196" s="3">
        <v>1184</v>
      </c>
      <c r="H196" s="3">
        <v>925</v>
      </c>
      <c r="I196" s="3">
        <v>1062</v>
      </c>
      <c r="J196" s="3">
        <v>75008</v>
      </c>
      <c r="K196" s="3">
        <v>116260</v>
      </c>
      <c r="L196" s="3" t="s">
        <v>45</v>
      </c>
      <c r="M196" s="4">
        <f>(Table1_30[[#This Row],[Likes]]+Table1_30[[#This Row],[Shares]]+Table1_30[[#This Row],[Comments]])/Table1_30[[#This Row],[Impressions]]</f>
        <v>7.7421297092723204E-2</v>
      </c>
    </row>
    <row r="197" spans="1:13" x14ac:dyDescent="0.3">
      <c r="A197" s="3" t="s">
        <v>314</v>
      </c>
      <c r="B197" s="3" t="s">
        <v>40</v>
      </c>
      <c r="C197" s="2">
        <v>45622</v>
      </c>
      <c r="D197" s="3" t="s">
        <v>27</v>
      </c>
      <c r="E197" s="3" t="s">
        <v>35</v>
      </c>
      <c r="F197" s="3">
        <v>14607</v>
      </c>
      <c r="G197" s="3">
        <v>1458</v>
      </c>
      <c r="H197" s="3">
        <v>478</v>
      </c>
      <c r="I197" s="3">
        <v>334</v>
      </c>
      <c r="J197" s="3">
        <v>49257</v>
      </c>
      <c r="K197" s="3">
        <v>214668</v>
      </c>
      <c r="L197" s="3" t="s">
        <v>29</v>
      </c>
      <c r="M197" s="4">
        <f>(Table1_30[[#This Row],[Likes]]+Table1_30[[#This Row],[Shares]]+Table1_30[[#This Row],[Comments]])/Table1_30[[#This Row],[Impressions]]</f>
        <v>7.7063185942944451E-2</v>
      </c>
    </row>
    <row r="198" spans="1:13" x14ac:dyDescent="0.3">
      <c r="A198" s="3" t="s">
        <v>42</v>
      </c>
      <c r="B198" s="3" t="s">
        <v>13</v>
      </c>
      <c r="C198" s="2">
        <v>45690</v>
      </c>
      <c r="D198" s="3" t="s">
        <v>34</v>
      </c>
      <c r="E198" s="3" t="s">
        <v>28</v>
      </c>
      <c r="F198" s="3">
        <v>12136</v>
      </c>
      <c r="G198" s="3">
        <v>1117</v>
      </c>
      <c r="H198" s="3">
        <v>834</v>
      </c>
      <c r="I198" s="3">
        <v>892</v>
      </c>
      <c r="J198" s="3">
        <v>24675</v>
      </c>
      <c r="K198" s="3">
        <v>183273</v>
      </c>
      <c r="L198" s="3" t="s">
        <v>25</v>
      </c>
      <c r="M198" s="4">
        <f>(Table1_30[[#This Row],[Likes]]+Table1_30[[#This Row],[Shares]]+Table1_30[[#This Row],[Comments]])/Table1_30[[#This Row],[Impressions]]</f>
        <v>7.6863476889667326E-2</v>
      </c>
    </row>
    <row r="199" spans="1:13" x14ac:dyDescent="0.3">
      <c r="A199" s="3" t="s">
        <v>313</v>
      </c>
      <c r="B199" s="3" t="s">
        <v>22</v>
      </c>
      <c r="C199" s="2">
        <v>45753</v>
      </c>
      <c r="D199" s="3" t="s">
        <v>14</v>
      </c>
      <c r="E199" s="3" t="s">
        <v>64</v>
      </c>
      <c r="F199" s="3">
        <v>14941</v>
      </c>
      <c r="G199" s="3">
        <v>1424</v>
      </c>
      <c r="H199" s="3">
        <v>238</v>
      </c>
      <c r="I199" s="3">
        <v>1054</v>
      </c>
      <c r="J199" s="3">
        <v>20516</v>
      </c>
      <c r="K199" s="3">
        <v>216048</v>
      </c>
      <c r="L199" s="3" t="s">
        <v>45</v>
      </c>
      <c r="M199" s="4">
        <f>(Table1_30[[#This Row],[Likes]]+Table1_30[[#This Row],[Shares]]+Table1_30[[#This Row],[Comments]])/Table1_30[[#This Row],[Impressions]]</f>
        <v>7.6848663260016298E-2</v>
      </c>
    </row>
    <row r="200" spans="1:13" x14ac:dyDescent="0.3">
      <c r="A200" s="3" t="s">
        <v>152</v>
      </c>
      <c r="B200" s="3" t="s">
        <v>18</v>
      </c>
      <c r="C200" s="2">
        <v>45734</v>
      </c>
      <c r="D200" s="3" t="s">
        <v>14</v>
      </c>
      <c r="E200" s="3" t="s">
        <v>37</v>
      </c>
      <c r="F200" s="3">
        <v>5818</v>
      </c>
      <c r="G200" s="3">
        <v>1252</v>
      </c>
      <c r="H200" s="3">
        <v>687</v>
      </c>
      <c r="I200" s="3">
        <v>2300</v>
      </c>
      <c r="J200" s="3">
        <v>25081</v>
      </c>
      <c r="K200" s="3">
        <v>101212</v>
      </c>
      <c r="L200" s="3" t="s">
        <v>45</v>
      </c>
      <c r="M200" s="4">
        <f>(Table1_30[[#This Row],[Likes]]+Table1_30[[#This Row],[Shares]]+Table1_30[[#This Row],[Comments]])/Table1_30[[#This Row],[Impressions]]</f>
        <v>7.6641109749832043E-2</v>
      </c>
    </row>
    <row r="201" spans="1:13" x14ac:dyDescent="0.3">
      <c r="A201" s="3" t="s">
        <v>148</v>
      </c>
      <c r="B201" s="3" t="s">
        <v>13</v>
      </c>
      <c r="C201" s="2">
        <v>45570</v>
      </c>
      <c r="D201" s="3" t="s">
        <v>34</v>
      </c>
      <c r="E201" s="3" t="s">
        <v>19</v>
      </c>
      <c r="F201" s="3">
        <v>16388</v>
      </c>
      <c r="G201" s="3">
        <v>1208</v>
      </c>
      <c r="H201" s="3">
        <v>417</v>
      </c>
      <c r="I201" s="3">
        <v>2306</v>
      </c>
      <c r="J201" s="3">
        <v>16865</v>
      </c>
      <c r="K201" s="3">
        <v>236733</v>
      </c>
      <c r="L201" s="3" t="s">
        <v>16</v>
      </c>
      <c r="M201" s="4">
        <f>(Table1_30[[#This Row],[Likes]]+Table1_30[[#This Row],[Shares]]+Table1_30[[#This Row],[Comments]])/Table1_30[[#This Row],[Impressions]]</f>
        <v>7.6089940988370866E-2</v>
      </c>
    </row>
    <row r="202" spans="1:13" x14ac:dyDescent="0.3">
      <c r="A202" s="3" t="s">
        <v>247</v>
      </c>
      <c r="B202" s="3" t="s">
        <v>13</v>
      </c>
      <c r="C202" s="2">
        <v>45924</v>
      </c>
      <c r="D202" s="3" t="s">
        <v>14</v>
      </c>
      <c r="E202" s="3" t="s">
        <v>64</v>
      </c>
      <c r="F202" s="3">
        <v>11795</v>
      </c>
      <c r="G202" s="3">
        <v>958</v>
      </c>
      <c r="H202" s="3">
        <v>814</v>
      </c>
      <c r="I202" s="3">
        <v>301</v>
      </c>
      <c r="J202" s="3">
        <v>12564</v>
      </c>
      <c r="K202" s="3">
        <v>179999</v>
      </c>
      <c r="L202" s="3" t="s">
        <v>20</v>
      </c>
      <c r="M202" s="4">
        <f>(Table1_30[[#This Row],[Likes]]+Table1_30[[#This Row],[Shares]]+Table1_30[[#This Row],[Comments]])/Table1_30[[#This Row],[Impressions]]</f>
        <v>7.5372640959116444E-2</v>
      </c>
    </row>
    <row r="203" spans="1:13" x14ac:dyDescent="0.3">
      <c r="A203" s="3" t="s">
        <v>269</v>
      </c>
      <c r="B203" s="3" t="s">
        <v>18</v>
      </c>
      <c r="C203" s="2">
        <v>45724</v>
      </c>
      <c r="D203" s="3" t="s">
        <v>14</v>
      </c>
      <c r="E203" s="3" t="s">
        <v>15</v>
      </c>
      <c r="F203" s="3">
        <v>5812</v>
      </c>
      <c r="G203" s="3">
        <v>934</v>
      </c>
      <c r="H203" s="3">
        <v>302</v>
      </c>
      <c r="I203" s="3">
        <v>2356</v>
      </c>
      <c r="J203" s="3">
        <v>37437</v>
      </c>
      <c r="K203" s="3">
        <v>93551</v>
      </c>
      <c r="L203" s="3" t="s">
        <v>16</v>
      </c>
      <c r="M203" s="4">
        <f>(Table1_30[[#This Row],[Likes]]+Table1_30[[#This Row],[Shares]]+Table1_30[[#This Row],[Comments]])/Table1_30[[#This Row],[Impressions]]</f>
        <v>7.5338585370546551E-2</v>
      </c>
    </row>
    <row r="204" spans="1:13" x14ac:dyDescent="0.3">
      <c r="A204" s="3" t="s">
        <v>275</v>
      </c>
      <c r="B204" s="3" t="s">
        <v>13</v>
      </c>
      <c r="C204" s="2">
        <v>45910</v>
      </c>
      <c r="D204" s="3" t="s">
        <v>14</v>
      </c>
      <c r="E204" s="3" t="s">
        <v>19</v>
      </c>
      <c r="F204" s="3">
        <v>13613</v>
      </c>
      <c r="G204" s="3">
        <v>350</v>
      </c>
      <c r="H204" s="3">
        <v>809</v>
      </c>
      <c r="I204" s="3">
        <v>2013</v>
      </c>
      <c r="J204" s="3">
        <v>20471</v>
      </c>
      <c r="K204" s="3">
        <v>198038</v>
      </c>
      <c r="L204" s="3" t="s">
        <v>20</v>
      </c>
      <c r="M204" s="4">
        <f>(Table1_30[[#This Row],[Likes]]+Table1_30[[#This Row],[Shares]]+Table1_30[[#This Row],[Comments]])/Table1_30[[#This Row],[Impressions]]</f>
        <v>7.4591745018632791E-2</v>
      </c>
    </row>
    <row r="205" spans="1:13" x14ac:dyDescent="0.3">
      <c r="A205" s="3" t="s">
        <v>49</v>
      </c>
      <c r="B205" s="3" t="s">
        <v>18</v>
      </c>
      <c r="C205" s="2">
        <v>45782</v>
      </c>
      <c r="D205" s="3" t="s">
        <v>23</v>
      </c>
      <c r="E205" s="3" t="s">
        <v>50</v>
      </c>
      <c r="F205" s="3">
        <v>10415</v>
      </c>
      <c r="G205" s="3">
        <v>1388</v>
      </c>
      <c r="H205" s="3">
        <v>725</v>
      </c>
      <c r="I205" s="3">
        <v>2462</v>
      </c>
      <c r="J205" s="3">
        <v>53082</v>
      </c>
      <c r="K205" s="3">
        <v>168267</v>
      </c>
      <c r="L205" s="3" t="s">
        <v>45</v>
      </c>
      <c r="M205" s="4">
        <f>(Table1_30[[#This Row],[Likes]]+Table1_30[[#This Row],[Shares]]+Table1_30[[#This Row],[Comments]])/Table1_30[[#This Row],[Impressions]]</f>
        <v>7.4453101321114656E-2</v>
      </c>
    </row>
    <row r="206" spans="1:13" x14ac:dyDescent="0.3">
      <c r="A206" s="3" t="s">
        <v>288</v>
      </c>
      <c r="B206" s="3" t="s">
        <v>22</v>
      </c>
      <c r="C206" s="2">
        <v>45775</v>
      </c>
      <c r="D206" s="3" t="s">
        <v>34</v>
      </c>
      <c r="E206" s="3" t="s">
        <v>50</v>
      </c>
      <c r="F206" s="3">
        <v>10659</v>
      </c>
      <c r="G206" s="3">
        <v>1342</v>
      </c>
      <c r="H206" s="3">
        <v>408</v>
      </c>
      <c r="I206" s="3">
        <v>709</v>
      </c>
      <c r="J206" s="3">
        <v>16309</v>
      </c>
      <c r="K206" s="3">
        <v>168803</v>
      </c>
      <c r="L206" s="3" t="s">
        <v>25</v>
      </c>
      <c r="M206" s="4">
        <f>(Table1_30[[#This Row],[Likes]]+Table1_30[[#This Row],[Shares]]+Table1_30[[#This Row],[Comments]])/Table1_30[[#This Row],[Impressions]]</f>
        <v>7.3511726687321907E-2</v>
      </c>
    </row>
    <row r="207" spans="1:13" x14ac:dyDescent="0.3">
      <c r="A207" s="3" t="s">
        <v>245</v>
      </c>
      <c r="B207" s="3" t="s">
        <v>40</v>
      </c>
      <c r="C207" s="2">
        <v>45735</v>
      </c>
      <c r="D207" s="3" t="s">
        <v>34</v>
      </c>
      <c r="E207" s="3" t="s">
        <v>28</v>
      </c>
      <c r="F207" s="3">
        <v>13475</v>
      </c>
      <c r="G207" s="3">
        <v>1032</v>
      </c>
      <c r="H207" s="3">
        <v>295</v>
      </c>
      <c r="I207" s="3">
        <v>541</v>
      </c>
      <c r="J207" s="3">
        <v>43666</v>
      </c>
      <c r="K207" s="3">
        <v>202396</v>
      </c>
      <c r="L207" s="3" t="s">
        <v>45</v>
      </c>
      <c r="M207" s="4">
        <f>(Table1_30[[#This Row],[Likes]]+Table1_30[[#This Row],[Shares]]+Table1_30[[#This Row],[Comments]])/Table1_30[[#This Row],[Impressions]]</f>
        <v>7.3133856400324118E-2</v>
      </c>
    </row>
    <row r="208" spans="1:13" x14ac:dyDescent="0.3">
      <c r="A208" s="3" t="s">
        <v>51</v>
      </c>
      <c r="B208" s="3" t="s">
        <v>18</v>
      </c>
      <c r="C208" s="2">
        <v>45523</v>
      </c>
      <c r="D208" s="3" t="s">
        <v>14</v>
      </c>
      <c r="E208" s="3" t="s">
        <v>37</v>
      </c>
      <c r="F208" s="3">
        <v>15550</v>
      </c>
      <c r="G208" s="3">
        <v>204</v>
      </c>
      <c r="H208" s="3">
        <v>279</v>
      </c>
      <c r="I208" s="3">
        <v>1646</v>
      </c>
      <c r="J208" s="3">
        <v>35819</v>
      </c>
      <c r="K208" s="3">
        <v>219436</v>
      </c>
      <c r="L208" s="3" t="s">
        <v>16</v>
      </c>
      <c r="M208" s="4">
        <f>(Table1_30[[#This Row],[Likes]]+Table1_30[[#This Row],[Shares]]+Table1_30[[#This Row],[Comments]])/Table1_30[[#This Row],[Impressions]]</f>
        <v>7.306458375107093E-2</v>
      </c>
    </row>
    <row r="209" spans="1:13" x14ac:dyDescent="0.3">
      <c r="A209" s="3" t="s">
        <v>265</v>
      </c>
      <c r="B209" s="3" t="s">
        <v>22</v>
      </c>
      <c r="C209" s="2">
        <v>45476</v>
      </c>
      <c r="D209" s="3" t="s">
        <v>27</v>
      </c>
      <c r="E209" s="3" t="s">
        <v>19</v>
      </c>
      <c r="F209" s="3">
        <v>12167</v>
      </c>
      <c r="G209" s="3">
        <v>364</v>
      </c>
      <c r="H209" s="3">
        <v>160</v>
      </c>
      <c r="I209" s="3">
        <v>616</v>
      </c>
      <c r="J209" s="3">
        <v>42228</v>
      </c>
      <c r="K209" s="3">
        <v>175832</v>
      </c>
      <c r="L209" s="3" t="s">
        <v>25</v>
      </c>
      <c r="M209" s="4">
        <f>(Table1_30[[#This Row],[Likes]]+Table1_30[[#This Row],[Shares]]+Table1_30[[#This Row],[Comments]])/Table1_30[[#This Row],[Impressions]]</f>
        <v>7.2176850630146963E-2</v>
      </c>
    </row>
    <row r="210" spans="1:13" x14ac:dyDescent="0.3">
      <c r="A210" s="3" t="s">
        <v>125</v>
      </c>
      <c r="B210" s="3" t="s">
        <v>18</v>
      </c>
      <c r="C210" s="2">
        <v>45923</v>
      </c>
      <c r="D210" s="3" t="s">
        <v>14</v>
      </c>
      <c r="E210" s="3" t="s">
        <v>115</v>
      </c>
      <c r="F210" s="3">
        <v>10017</v>
      </c>
      <c r="G210" s="3">
        <v>1357</v>
      </c>
      <c r="H210" s="3">
        <v>966</v>
      </c>
      <c r="I210" s="3">
        <v>2871</v>
      </c>
      <c r="J210" s="3">
        <v>14800</v>
      </c>
      <c r="K210" s="3">
        <v>171691</v>
      </c>
      <c r="L210" s="3" t="s">
        <v>20</v>
      </c>
      <c r="M210" s="4">
        <f>(Table1_30[[#This Row],[Likes]]+Table1_30[[#This Row],[Shares]]+Table1_30[[#This Row],[Comments]])/Table1_30[[#This Row],[Impressions]]</f>
        <v>7.1873307278774071E-2</v>
      </c>
    </row>
    <row r="211" spans="1:13" x14ac:dyDescent="0.3">
      <c r="A211" s="3" t="s">
        <v>213</v>
      </c>
      <c r="B211" s="3" t="s">
        <v>13</v>
      </c>
      <c r="C211" s="2">
        <v>45483</v>
      </c>
      <c r="D211" s="3" t="s">
        <v>14</v>
      </c>
      <c r="E211" s="3" t="s">
        <v>55</v>
      </c>
      <c r="F211" s="3">
        <v>8809</v>
      </c>
      <c r="G211" s="3">
        <v>1151</v>
      </c>
      <c r="H211" s="3">
        <v>908</v>
      </c>
      <c r="I211" s="3">
        <v>883</v>
      </c>
      <c r="J211" s="3">
        <v>42921</v>
      </c>
      <c r="K211" s="3">
        <v>151279</v>
      </c>
      <c r="L211" s="3" t="s">
        <v>45</v>
      </c>
      <c r="M211" s="4">
        <f>(Table1_30[[#This Row],[Likes]]+Table1_30[[#This Row],[Shares]]+Table1_30[[#This Row],[Comments]])/Table1_30[[#This Row],[Impressions]]</f>
        <v>7.1840771025720687E-2</v>
      </c>
    </row>
    <row r="212" spans="1:13" x14ac:dyDescent="0.3">
      <c r="A212" s="3" t="s">
        <v>228</v>
      </c>
      <c r="B212" s="3" t="s">
        <v>13</v>
      </c>
      <c r="C212" s="2">
        <v>45945</v>
      </c>
      <c r="D212" s="3" t="s">
        <v>14</v>
      </c>
      <c r="E212" s="3" t="s">
        <v>37</v>
      </c>
      <c r="F212" s="3">
        <v>8882</v>
      </c>
      <c r="G212" s="3">
        <v>701</v>
      </c>
      <c r="H212" s="3">
        <v>421</v>
      </c>
      <c r="I212" s="3">
        <v>2343</v>
      </c>
      <c r="J212" s="3">
        <v>13588</v>
      </c>
      <c r="K212" s="3">
        <v>139304</v>
      </c>
      <c r="L212" s="3" t="s">
        <v>20</v>
      </c>
      <c r="M212" s="4">
        <f>(Table1_30[[#This Row],[Likes]]+Table1_30[[#This Row],[Shares]]+Table1_30[[#This Row],[Comments]])/Table1_30[[#This Row],[Impressions]]</f>
        <v>7.1814161833113191E-2</v>
      </c>
    </row>
    <row r="213" spans="1:13" x14ac:dyDescent="0.3">
      <c r="A213" s="3" t="s">
        <v>151</v>
      </c>
      <c r="B213" s="3" t="s">
        <v>13</v>
      </c>
      <c r="C213" s="2">
        <v>45930</v>
      </c>
      <c r="D213" s="3" t="s">
        <v>23</v>
      </c>
      <c r="E213" s="3" t="s">
        <v>15</v>
      </c>
      <c r="F213" s="3">
        <v>8269</v>
      </c>
      <c r="G213" s="3">
        <v>250</v>
      </c>
      <c r="H213" s="3">
        <v>638</v>
      </c>
      <c r="I213" s="3">
        <v>815</v>
      </c>
      <c r="J213" s="3">
        <v>41991</v>
      </c>
      <c r="K213" s="3">
        <v>129393</v>
      </c>
      <c r="L213" s="3" t="s">
        <v>20</v>
      </c>
      <c r="M213" s="4">
        <f>(Table1_30[[#This Row],[Likes]]+Table1_30[[#This Row],[Shares]]+Table1_30[[#This Row],[Comments]])/Table1_30[[#This Row],[Impressions]]</f>
        <v>7.0768897853825175E-2</v>
      </c>
    </row>
    <row r="214" spans="1:13" x14ac:dyDescent="0.3">
      <c r="A214" s="3" t="s">
        <v>293</v>
      </c>
      <c r="B214" s="3" t="s">
        <v>13</v>
      </c>
      <c r="C214" s="2">
        <v>45753</v>
      </c>
      <c r="D214" s="3" t="s">
        <v>34</v>
      </c>
      <c r="E214" s="3" t="s">
        <v>50</v>
      </c>
      <c r="F214" s="3">
        <v>15917</v>
      </c>
      <c r="G214" s="3">
        <v>1479</v>
      </c>
      <c r="H214" s="3">
        <v>196</v>
      </c>
      <c r="I214" s="3">
        <v>313</v>
      </c>
      <c r="J214" s="3">
        <v>48524</v>
      </c>
      <c r="K214" s="3">
        <v>249684</v>
      </c>
      <c r="L214" s="3" t="s">
        <v>29</v>
      </c>
      <c r="M214" s="4">
        <f>(Table1_30[[#This Row],[Likes]]+Table1_30[[#This Row],[Shares]]+Table1_30[[#This Row],[Comments]])/Table1_30[[#This Row],[Impressions]]</f>
        <v>7.0457057720959296E-2</v>
      </c>
    </row>
    <row r="215" spans="1:13" x14ac:dyDescent="0.3">
      <c r="A215" s="3" t="s">
        <v>327</v>
      </c>
      <c r="B215" s="3" t="s">
        <v>22</v>
      </c>
      <c r="C215" s="2">
        <v>45602</v>
      </c>
      <c r="D215" s="3" t="s">
        <v>14</v>
      </c>
      <c r="E215" s="3" t="s">
        <v>35</v>
      </c>
      <c r="F215" s="3">
        <v>11865</v>
      </c>
      <c r="G215" s="3">
        <v>241</v>
      </c>
      <c r="H215" s="3">
        <v>319</v>
      </c>
      <c r="I215" s="3">
        <v>703</v>
      </c>
      <c r="J215" s="3">
        <v>69596</v>
      </c>
      <c r="K215" s="3">
        <v>177513</v>
      </c>
      <c r="L215" s="3" t="s">
        <v>29</v>
      </c>
      <c r="M215" s="4">
        <f>(Table1_30[[#This Row],[Likes]]+Table1_30[[#This Row],[Shares]]+Table1_30[[#This Row],[Comments]])/Table1_30[[#This Row],[Impressions]]</f>
        <v>6.999487361489018E-2</v>
      </c>
    </row>
    <row r="216" spans="1:13" x14ac:dyDescent="0.3">
      <c r="A216" s="3" t="s">
        <v>335</v>
      </c>
      <c r="B216" s="3" t="s">
        <v>22</v>
      </c>
      <c r="C216" s="2">
        <v>45925</v>
      </c>
      <c r="D216" s="3" t="s">
        <v>34</v>
      </c>
      <c r="E216" s="3" t="s">
        <v>55</v>
      </c>
      <c r="F216" s="3">
        <v>12568</v>
      </c>
      <c r="G216" s="3">
        <v>541</v>
      </c>
      <c r="H216" s="3">
        <v>273</v>
      </c>
      <c r="I216" s="3">
        <v>2767</v>
      </c>
      <c r="J216" s="3">
        <v>22331</v>
      </c>
      <c r="K216" s="3">
        <v>192747</v>
      </c>
      <c r="L216" s="3" t="s">
        <v>20</v>
      </c>
      <c r="M216" s="4">
        <f>(Table1_30[[#This Row],[Likes]]+Table1_30[[#This Row],[Shares]]+Table1_30[[#This Row],[Comments]])/Table1_30[[#This Row],[Impressions]]</f>
        <v>6.9427799135654514E-2</v>
      </c>
    </row>
    <row r="217" spans="1:13" x14ac:dyDescent="0.3">
      <c r="A217" s="3" t="s">
        <v>80</v>
      </c>
      <c r="B217" s="3" t="s">
        <v>18</v>
      </c>
      <c r="C217" s="2">
        <v>45917</v>
      </c>
      <c r="D217" s="3" t="s">
        <v>23</v>
      </c>
      <c r="E217" s="3" t="s">
        <v>35</v>
      </c>
      <c r="F217" s="3">
        <v>15456</v>
      </c>
      <c r="G217" s="3">
        <v>590</v>
      </c>
      <c r="H217" s="3">
        <v>555</v>
      </c>
      <c r="I217" s="3">
        <v>2882</v>
      </c>
      <c r="J217" s="3">
        <v>49816</v>
      </c>
      <c r="K217" s="3">
        <v>240422</v>
      </c>
      <c r="L217" s="3" t="s">
        <v>20</v>
      </c>
      <c r="M217" s="4">
        <f>(Table1_30[[#This Row],[Likes]]+Table1_30[[#This Row],[Shares]]+Table1_30[[#This Row],[Comments]])/Table1_30[[#This Row],[Impressions]]</f>
        <v>6.9049421433978589E-2</v>
      </c>
    </row>
    <row r="218" spans="1:13" x14ac:dyDescent="0.3">
      <c r="A218" s="3" t="s">
        <v>72</v>
      </c>
      <c r="B218" s="3" t="s">
        <v>18</v>
      </c>
      <c r="C218" s="2">
        <v>45663</v>
      </c>
      <c r="D218" s="3" t="s">
        <v>14</v>
      </c>
      <c r="E218" s="3" t="s">
        <v>24</v>
      </c>
      <c r="F218" s="3">
        <v>11860</v>
      </c>
      <c r="G218" s="3">
        <v>1448</v>
      </c>
      <c r="H218" s="3">
        <v>893</v>
      </c>
      <c r="I218" s="3">
        <v>490</v>
      </c>
      <c r="J218" s="3">
        <v>23518</v>
      </c>
      <c r="K218" s="3">
        <v>206205</v>
      </c>
      <c r="L218" s="3" t="s">
        <v>16</v>
      </c>
      <c r="M218" s="4">
        <f>(Table1_30[[#This Row],[Likes]]+Table1_30[[#This Row],[Shares]]+Table1_30[[#This Row],[Comments]])/Table1_30[[#This Row],[Impressions]]</f>
        <v>6.8868359157149436E-2</v>
      </c>
    </row>
    <row r="219" spans="1:13" x14ac:dyDescent="0.3">
      <c r="A219" s="3" t="s">
        <v>198</v>
      </c>
      <c r="B219" s="3" t="s">
        <v>22</v>
      </c>
      <c r="C219" s="2">
        <v>45748</v>
      </c>
      <c r="D219" s="3" t="s">
        <v>14</v>
      </c>
      <c r="E219" s="3" t="s">
        <v>35</v>
      </c>
      <c r="F219" s="3">
        <v>6432</v>
      </c>
      <c r="G219" s="3">
        <v>1272</v>
      </c>
      <c r="H219" s="3">
        <v>498</v>
      </c>
      <c r="I219" s="3">
        <v>677</v>
      </c>
      <c r="J219" s="3">
        <v>47305</v>
      </c>
      <c r="K219" s="3">
        <v>119134</v>
      </c>
      <c r="L219" s="3" t="s">
        <v>16</v>
      </c>
      <c r="M219" s="4">
        <f>(Table1_30[[#This Row],[Likes]]+Table1_30[[#This Row],[Shares]]+Table1_30[[#This Row],[Comments]])/Table1_30[[#This Row],[Impressions]]</f>
        <v>6.8846844729464299E-2</v>
      </c>
    </row>
    <row r="220" spans="1:13" x14ac:dyDescent="0.3">
      <c r="A220" s="3" t="s">
        <v>315</v>
      </c>
      <c r="B220" s="3" t="s">
        <v>22</v>
      </c>
      <c r="C220" s="2">
        <v>45537</v>
      </c>
      <c r="D220" s="3" t="s">
        <v>27</v>
      </c>
      <c r="E220" s="3" t="s">
        <v>28</v>
      </c>
      <c r="F220" s="3">
        <v>11765</v>
      </c>
      <c r="G220" s="3">
        <v>693</v>
      </c>
      <c r="H220" s="3">
        <v>729</v>
      </c>
      <c r="I220" s="3">
        <v>744</v>
      </c>
      <c r="J220" s="3">
        <v>97772</v>
      </c>
      <c r="K220" s="3">
        <v>194243</v>
      </c>
      <c r="L220" s="3" t="s">
        <v>16</v>
      </c>
      <c r="M220" s="4">
        <f>(Table1_30[[#This Row],[Likes]]+Table1_30[[#This Row],[Shares]]+Table1_30[[#This Row],[Comments]])/Table1_30[[#This Row],[Impressions]]</f>
        <v>6.7889190344053579E-2</v>
      </c>
    </row>
    <row r="221" spans="1:13" x14ac:dyDescent="0.3">
      <c r="A221" s="3" t="s">
        <v>277</v>
      </c>
      <c r="B221" s="3" t="s">
        <v>40</v>
      </c>
      <c r="C221" s="2">
        <v>45675</v>
      </c>
      <c r="D221" s="3" t="s">
        <v>23</v>
      </c>
      <c r="E221" s="3" t="s">
        <v>55</v>
      </c>
      <c r="F221" s="3">
        <v>12589</v>
      </c>
      <c r="G221" s="3">
        <v>346</v>
      </c>
      <c r="H221" s="3">
        <v>459</v>
      </c>
      <c r="I221" s="3">
        <v>1407</v>
      </c>
      <c r="J221" s="3">
        <v>29254</v>
      </c>
      <c r="K221" s="3">
        <v>198059</v>
      </c>
      <c r="L221" s="3" t="s">
        <v>25</v>
      </c>
      <c r="M221" s="4">
        <f>(Table1_30[[#This Row],[Likes]]+Table1_30[[#This Row],[Shares]]+Table1_30[[#This Row],[Comments]])/Table1_30[[#This Row],[Impressions]]</f>
        <v>6.7626313371268162E-2</v>
      </c>
    </row>
    <row r="222" spans="1:13" x14ac:dyDescent="0.3">
      <c r="A222" s="3" t="s">
        <v>147</v>
      </c>
      <c r="B222" s="3" t="s">
        <v>18</v>
      </c>
      <c r="C222" s="2">
        <v>45619</v>
      </c>
      <c r="D222" s="3" t="s">
        <v>23</v>
      </c>
      <c r="E222" s="3" t="s">
        <v>32</v>
      </c>
      <c r="F222" s="3">
        <v>9941</v>
      </c>
      <c r="G222" s="3">
        <v>1329</v>
      </c>
      <c r="H222" s="3">
        <v>238</v>
      </c>
      <c r="I222" s="3">
        <v>869</v>
      </c>
      <c r="J222" s="3">
        <v>40281</v>
      </c>
      <c r="K222" s="3">
        <v>172311</v>
      </c>
      <c r="L222" s="3" t="s">
        <v>25</v>
      </c>
      <c r="M222" s="4">
        <f>(Table1_30[[#This Row],[Likes]]+Table1_30[[#This Row],[Shares]]+Table1_30[[#This Row],[Comments]])/Table1_30[[#This Row],[Impressions]]</f>
        <v>6.6786217943137702E-2</v>
      </c>
    </row>
    <row r="223" spans="1:13" x14ac:dyDescent="0.3">
      <c r="A223" s="3" t="s">
        <v>135</v>
      </c>
      <c r="B223" s="3" t="s">
        <v>40</v>
      </c>
      <c r="C223" s="2">
        <v>45475</v>
      </c>
      <c r="D223" s="3" t="s">
        <v>34</v>
      </c>
      <c r="E223" s="3" t="s">
        <v>35</v>
      </c>
      <c r="F223" s="3">
        <v>12320</v>
      </c>
      <c r="G223" s="3">
        <v>1157</v>
      </c>
      <c r="H223" s="3">
        <v>365</v>
      </c>
      <c r="I223" s="3">
        <v>584</v>
      </c>
      <c r="J223" s="3">
        <v>66634</v>
      </c>
      <c r="K223" s="3">
        <v>210102</v>
      </c>
      <c r="L223" s="3" t="s">
        <v>29</v>
      </c>
      <c r="M223" s="4">
        <f>(Table1_30[[#This Row],[Likes]]+Table1_30[[#This Row],[Shares]]+Table1_30[[#This Row],[Comments]])/Table1_30[[#This Row],[Impressions]]</f>
        <v>6.5882285746922925E-2</v>
      </c>
    </row>
    <row r="224" spans="1:13" x14ac:dyDescent="0.3">
      <c r="A224" s="3" t="s">
        <v>258</v>
      </c>
      <c r="B224" s="3" t="s">
        <v>13</v>
      </c>
      <c r="C224" s="2">
        <v>45573</v>
      </c>
      <c r="D224" s="3" t="s">
        <v>23</v>
      </c>
      <c r="E224" s="3" t="s">
        <v>64</v>
      </c>
      <c r="F224" s="3">
        <v>8738</v>
      </c>
      <c r="G224" s="3">
        <v>295</v>
      </c>
      <c r="H224" s="3">
        <v>529</v>
      </c>
      <c r="I224" s="3">
        <v>442</v>
      </c>
      <c r="J224" s="3">
        <v>25286</v>
      </c>
      <c r="K224" s="3">
        <v>147522</v>
      </c>
      <c r="L224" s="3" t="s">
        <v>29</v>
      </c>
      <c r="M224" s="4">
        <f>(Table1_30[[#This Row],[Likes]]+Table1_30[[#This Row],[Shares]]+Table1_30[[#This Row],[Comments]])/Table1_30[[#This Row],[Impressions]]</f>
        <v>6.4817450956467515E-2</v>
      </c>
    </row>
    <row r="225" spans="1:13" x14ac:dyDescent="0.3">
      <c r="A225" s="3" t="s">
        <v>89</v>
      </c>
      <c r="B225" s="3" t="s">
        <v>18</v>
      </c>
      <c r="C225" s="2">
        <v>45729</v>
      </c>
      <c r="D225" s="3" t="s">
        <v>34</v>
      </c>
      <c r="E225" s="3" t="s">
        <v>24</v>
      </c>
      <c r="F225" s="3">
        <v>6544</v>
      </c>
      <c r="G225" s="3">
        <v>749</v>
      </c>
      <c r="H225" s="3">
        <v>888</v>
      </c>
      <c r="I225" s="3">
        <v>594</v>
      </c>
      <c r="J225" s="3">
        <v>18171</v>
      </c>
      <c r="K225" s="3">
        <v>126475</v>
      </c>
      <c r="L225" s="3" t="s">
        <v>25</v>
      </c>
      <c r="M225" s="4">
        <f>(Table1_30[[#This Row],[Likes]]+Table1_30[[#This Row],[Shares]]+Table1_30[[#This Row],[Comments]])/Table1_30[[#This Row],[Impressions]]</f>
        <v>6.4684720300454635E-2</v>
      </c>
    </row>
    <row r="226" spans="1:13" x14ac:dyDescent="0.3">
      <c r="A226" s="3" t="s">
        <v>254</v>
      </c>
      <c r="B226" s="3" t="s">
        <v>22</v>
      </c>
      <c r="C226" s="2">
        <v>45454</v>
      </c>
      <c r="D226" s="3" t="s">
        <v>27</v>
      </c>
      <c r="E226" s="3" t="s">
        <v>64</v>
      </c>
      <c r="F226" s="3">
        <v>14910</v>
      </c>
      <c r="G226" s="3">
        <v>778</v>
      </c>
      <c r="H226" s="3">
        <v>289</v>
      </c>
      <c r="I226" s="3">
        <v>2541</v>
      </c>
      <c r="J226" s="3">
        <v>14309</v>
      </c>
      <c r="K226" s="3">
        <v>247815</v>
      </c>
      <c r="L226" s="3" t="s">
        <v>25</v>
      </c>
      <c r="M226" s="4">
        <f>(Table1_30[[#This Row],[Likes]]+Table1_30[[#This Row],[Shares]]+Table1_30[[#This Row],[Comments]])/Table1_30[[#This Row],[Impressions]]</f>
        <v>6.4471480741682297E-2</v>
      </c>
    </row>
    <row r="227" spans="1:13" x14ac:dyDescent="0.3">
      <c r="A227" s="3" t="s">
        <v>190</v>
      </c>
      <c r="B227" s="3" t="s">
        <v>13</v>
      </c>
      <c r="C227" s="2">
        <v>45574</v>
      </c>
      <c r="D227" s="3" t="s">
        <v>27</v>
      </c>
      <c r="E227" s="3" t="s">
        <v>41</v>
      </c>
      <c r="F227" s="3">
        <v>7240</v>
      </c>
      <c r="G227" s="3">
        <v>1384</v>
      </c>
      <c r="H227" s="3">
        <v>954</v>
      </c>
      <c r="I227" s="3">
        <v>2335</v>
      </c>
      <c r="J227" s="3">
        <v>6757</v>
      </c>
      <c r="K227" s="3">
        <v>150448</v>
      </c>
      <c r="L227" s="3" t="s">
        <v>25</v>
      </c>
      <c r="M227" s="4">
        <f>(Table1_30[[#This Row],[Likes]]+Table1_30[[#This Row],[Shares]]+Table1_30[[#This Row],[Comments]])/Table1_30[[#This Row],[Impressions]]</f>
        <v>6.3663192598106988E-2</v>
      </c>
    </row>
    <row r="228" spans="1:13" x14ac:dyDescent="0.3">
      <c r="A228" s="3" t="s">
        <v>246</v>
      </c>
      <c r="B228" s="3" t="s">
        <v>22</v>
      </c>
      <c r="C228" s="2">
        <v>45707</v>
      </c>
      <c r="D228" s="3" t="s">
        <v>27</v>
      </c>
      <c r="E228" s="3" t="s">
        <v>41</v>
      </c>
      <c r="F228" s="3">
        <v>8168</v>
      </c>
      <c r="G228" s="3">
        <v>512</v>
      </c>
      <c r="H228" s="3">
        <v>442</v>
      </c>
      <c r="I228" s="3">
        <v>2343</v>
      </c>
      <c r="J228" s="3">
        <v>2753</v>
      </c>
      <c r="K228" s="3">
        <v>143896</v>
      </c>
      <c r="L228" s="3" t="s">
        <v>45</v>
      </c>
      <c r="M228" s="4">
        <f>(Table1_30[[#This Row],[Likes]]+Table1_30[[#This Row],[Shares]]+Table1_30[[#This Row],[Comments]])/Table1_30[[#This Row],[Impressions]]</f>
        <v>6.3393006059932172E-2</v>
      </c>
    </row>
    <row r="229" spans="1:13" x14ac:dyDescent="0.3">
      <c r="A229" s="3" t="s">
        <v>185</v>
      </c>
      <c r="B229" s="3" t="s">
        <v>22</v>
      </c>
      <c r="C229" s="2">
        <v>45459</v>
      </c>
      <c r="D229" s="3" t="s">
        <v>23</v>
      </c>
      <c r="E229" s="3" t="s">
        <v>15</v>
      </c>
      <c r="F229" s="3">
        <v>12160</v>
      </c>
      <c r="G229" s="3">
        <v>1405</v>
      </c>
      <c r="H229" s="3">
        <v>769</v>
      </c>
      <c r="I229" s="3">
        <v>1980</v>
      </c>
      <c r="J229" s="3">
        <v>33174</v>
      </c>
      <c r="K229" s="3">
        <v>226481</v>
      </c>
      <c r="L229" s="3" t="s">
        <v>16</v>
      </c>
      <c r="M229" s="4">
        <f>(Table1_30[[#This Row],[Likes]]+Table1_30[[#This Row],[Shares]]+Table1_30[[#This Row],[Comments]])/Table1_30[[#This Row],[Impressions]]</f>
        <v>6.329007731332871E-2</v>
      </c>
    </row>
    <row r="230" spans="1:13" x14ac:dyDescent="0.3">
      <c r="A230" s="3" t="s">
        <v>331</v>
      </c>
      <c r="B230" s="3" t="s">
        <v>40</v>
      </c>
      <c r="C230" s="2">
        <v>45783</v>
      </c>
      <c r="D230" s="3" t="s">
        <v>34</v>
      </c>
      <c r="E230" s="3" t="s">
        <v>15</v>
      </c>
      <c r="F230" s="3">
        <v>7287</v>
      </c>
      <c r="G230" s="3">
        <v>1240</v>
      </c>
      <c r="H230" s="3">
        <v>686</v>
      </c>
      <c r="I230" s="3">
        <v>1255</v>
      </c>
      <c r="J230" s="3">
        <v>15403</v>
      </c>
      <c r="K230" s="3">
        <v>147971</v>
      </c>
      <c r="L230" s="3" t="s">
        <v>16</v>
      </c>
      <c r="M230" s="4">
        <f>(Table1_30[[#This Row],[Likes]]+Table1_30[[#This Row],[Shares]]+Table1_30[[#This Row],[Comments]])/Table1_30[[#This Row],[Impressions]]</f>
        <v>6.2262200025680704E-2</v>
      </c>
    </row>
    <row r="231" spans="1:13" x14ac:dyDescent="0.3">
      <c r="A231" s="3" t="s">
        <v>121</v>
      </c>
      <c r="B231" s="3" t="s">
        <v>13</v>
      </c>
      <c r="C231" s="2">
        <v>45766</v>
      </c>
      <c r="D231" s="3" t="s">
        <v>14</v>
      </c>
      <c r="E231" s="3" t="s">
        <v>35</v>
      </c>
      <c r="F231" s="3">
        <v>8881</v>
      </c>
      <c r="G231" s="3">
        <v>210</v>
      </c>
      <c r="H231" s="3">
        <v>673</v>
      </c>
      <c r="I231" s="3">
        <v>1565</v>
      </c>
      <c r="J231" s="3">
        <v>24847</v>
      </c>
      <c r="K231" s="3">
        <v>156891</v>
      </c>
      <c r="L231" s="3" t="s">
        <v>25</v>
      </c>
      <c r="M231" s="4">
        <f>(Table1_30[[#This Row],[Likes]]+Table1_30[[#This Row],[Shares]]+Table1_30[[#This Row],[Comments]])/Table1_30[[#This Row],[Impressions]]</f>
        <v>6.223429004850501E-2</v>
      </c>
    </row>
    <row r="232" spans="1:13" x14ac:dyDescent="0.3">
      <c r="A232" s="3" t="s">
        <v>192</v>
      </c>
      <c r="B232" s="3" t="s">
        <v>40</v>
      </c>
      <c r="C232" s="2">
        <v>45587</v>
      </c>
      <c r="D232" s="3" t="s">
        <v>23</v>
      </c>
      <c r="E232" s="3" t="s">
        <v>35</v>
      </c>
      <c r="F232" s="3">
        <v>12478</v>
      </c>
      <c r="G232" s="3">
        <v>484</v>
      </c>
      <c r="H232" s="3">
        <v>332</v>
      </c>
      <c r="I232" s="3">
        <v>2734</v>
      </c>
      <c r="J232" s="3">
        <v>43338</v>
      </c>
      <c r="K232" s="3">
        <v>213895</v>
      </c>
      <c r="L232" s="3" t="s">
        <v>29</v>
      </c>
      <c r="M232" s="4">
        <f>(Table1_30[[#This Row],[Likes]]+Table1_30[[#This Row],[Shares]]+Table1_30[[#This Row],[Comments]])/Table1_30[[#This Row],[Impressions]]</f>
        <v>6.2151990462610156E-2</v>
      </c>
    </row>
    <row r="233" spans="1:13" x14ac:dyDescent="0.3">
      <c r="A233" s="3" t="s">
        <v>306</v>
      </c>
      <c r="B233" s="3" t="s">
        <v>13</v>
      </c>
      <c r="C233" s="2">
        <v>45672</v>
      </c>
      <c r="D233" s="3" t="s">
        <v>23</v>
      </c>
      <c r="E233" s="3" t="s">
        <v>19</v>
      </c>
      <c r="F233" s="3">
        <v>11333</v>
      </c>
      <c r="G233" s="3">
        <v>920</v>
      </c>
      <c r="H233" s="3">
        <v>294</v>
      </c>
      <c r="I233" s="3">
        <v>606</v>
      </c>
      <c r="J233" s="3">
        <v>59490</v>
      </c>
      <c r="K233" s="3">
        <v>202082</v>
      </c>
      <c r="L233" s="3" t="s">
        <v>25</v>
      </c>
      <c r="M233" s="4">
        <f>(Table1_30[[#This Row],[Likes]]+Table1_30[[#This Row],[Shares]]+Table1_30[[#This Row],[Comments]])/Table1_30[[#This Row],[Impressions]]</f>
        <v>6.2088657079799291E-2</v>
      </c>
    </row>
    <row r="234" spans="1:13" x14ac:dyDescent="0.3">
      <c r="A234" s="3" t="s">
        <v>205</v>
      </c>
      <c r="B234" s="3" t="s">
        <v>13</v>
      </c>
      <c r="C234" s="2">
        <v>45629</v>
      </c>
      <c r="D234" s="3" t="s">
        <v>14</v>
      </c>
      <c r="E234" s="3" t="s">
        <v>35</v>
      </c>
      <c r="F234" s="3">
        <v>2055</v>
      </c>
      <c r="G234" s="3">
        <v>675</v>
      </c>
      <c r="H234" s="3">
        <v>257</v>
      </c>
      <c r="I234" s="3">
        <v>820</v>
      </c>
      <c r="J234" s="3">
        <v>33534</v>
      </c>
      <c r="K234" s="3">
        <v>48125</v>
      </c>
      <c r="L234" s="3" t="s">
        <v>16</v>
      </c>
      <c r="M234" s="4">
        <f>(Table1_30[[#This Row],[Likes]]+Table1_30[[#This Row],[Shares]]+Table1_30[[#This Row],[Comments]])/Table1_30[[#This Row],[Impressions]]</f>
        <v>6.2067532467532466E-2</v>
      </c>
    </row>
    <row r="235" spans="1:13" x14ac:dyDescent="0.3">
      <c r="A235" s="3" t="s">
        <v>117</v>
      </c>
      <c r="B235" s="3" t="s">
        <v>13</v>
      </c>
      <c r="C235" s="2">
        <v>45584</v>
      </c>
      <c r="D235" s="3" t="s">
        <v>34</v>
      </c>
      <c r="E235" s="3" t="s">
        <v>28</v>
      </c>
      <c r="F235" s="3">
        <v>6673</v>
      </c>
      <c r="G235" s="3">
        <v>826</v>
      </c>
      <c r="H235" s="3">
        <v>321</v>
      </c>
      <c r="I235" s="3">
        <v>577</v>
      </c>
      <c r="J235" s="3">
        <v>19262</v>
      </c>
      <c r="K235" s="3">
        <v>132324</v>
      </c>
      <c r="L235" s="3" t="s">
        <v>45</v>
      </c>
      <c r="M235" s="4">
        <f>(Table1_30[[#This Row],[Likes]]+Table1_30[[#This Row],[Shares]]+Table1_30[[#This Row],[Comments]])/Table1_30[[#This Row],[Impressions]]</f>
        <v>5.9097367068710133E-2</v>
      </c>
    </row>
    <row r="236" spans="1:13" x14ac:dyDescent="0.3">
      <c r="A236" s="3" t="s">
        <v>83</v>
      </c>
      <c r="B236" s="3" t="s">
        <v>13</v>
      </c>
      <c r="C236" s="2">
        <v>45727</v>
      </c>
      <c r="D236" s="3" t="s">
        <v>34</v>
      </c>
      <c r="E236" s="3" t="s">
        <v>15</v>
      </c>
      <c r="F236" s="3">
        <v>7997</v>
      </c>
      <c r="G236" s="3">
        <v>1238</v>
      </c>
      <c r="H236" s="3">
        <v>438</v>
      </c>
      <c r="I236" s="3">
        <v>1874</v>
      </c>
      <c r="J236" s="3">
        <v>36272</v>
      </c>
      <c r="K236" s="3">
        <v>165818</v>
      </c>
      <c r="L236" s="3" t="s">
        <v>45</v>
      </c>
      <c r="M236" s="4">
        <f>(Table1_30[[#This Row],[Likes]]+Table1_30[[#This Row],[Shares]]+Table1_30[[#This Row],[Comments]])/Table1_30[[#This Row],[Impressions]]</f>
        <v>5.8335042034037318E-2</v>
      </c>
    </row>
    <row r="237" spans="1:13" x14ac:dyDescent="0.3">
      <c r="A237" s="3" t="s">
        <v>47</v>
      </c>
      <c r="B237" s="3" t="s">
        <v>18</v>
      </c>
      <c r="C237" s="2">
        <v>45907</v>
      </c>
      <c r="D237" s="3" t="s">
        <v>23</v>
      </c>
      <c r="E237" s="3" t="s">
        <v>24</v>
      </c>
      <c r="F237" s="3">
        <v>3015</v>
      </c>
      <c r="G237" s="3">
        <v>997</v>
      </c>
      <c r="H237" s="3">
        <v>783</v>
      </c>
      <c r="I237" s="3">
        <v>617</v>
      </c>
      <c r="J237" s="3">
        <v>77167</v>
      </c>
      <c r="K237" s="3">
        <v>82229</v>
      </c>
      <c r="L237" s="3" t="s">
        <v>20</v>
      </c>
      <c r="M237" s="4">
        <f>(Table1_30[[#This Row],[Likes]]+Table1_30[[#This Row],[Shares]]+Table1_30[[#This Row],[Comments]])/Table1_30[[#This Row],[Impressions]]</f>
        <v>5.8312760704860814E-2</v>
      </c>
    </row>
    <row r="238" spans="1:13" x14ac:dyDescent="0.3">
      <c r="A238" s="3" t="s">
        <v>324</v>
      </c>
      <c r="B238" s="3" t="s">
        <v>22</v>
      </c>
      <c r="C238" s="2">
        <v>45764</v>
      </c>
      <c r="D238" s="3" t="s">
        <v>23</v>
      </c>
      <c r="E238" s="3" t="s">
        <v>37</v>
      </c>
      <c r="F238" s="3">
        <v>2009</v>
      </c>
      <c r="G238" s="3">
        <v>1037</v>
      </c>
      <c r="H238" s="3">
        <v>344</v>
      </c>
      <c r="I238" s="3">
        <v>2277</v>
      </c>
      <c r="J238" s="3">
        <v>85743</v>
      </c>
      <c r="K238" s="3">
        <v>58743</v>
      </c>
      <c r="L238" s="3" t="s">
        <v>29</v>
      </c>
      <c r="M238" s="4">
        <f>(Table1_30[[#This Row],[Likes]]+Table1_30[[#This Row],[Shares]]+Table1_30[[#This Row],[Comments]])/Table1_30[[#This Row],[Impressions]]</f>
        <v>5.7709003625963942E-2</v>
      </c>
    </row>
    <row r="239" spans="1:13" x14ac:dyDescent="0.3">
      <c r="A239" s="3" t="s">
        <v>67</v>
      </c>
      <c r="B239" s="3" t="s">
        <v>22</v>
      </c>
      <c r="C239" s="2">
        <v>45504</v>
      </c>
      <c r="D239" s="3" t="s">
        <v>14</v>
      </c>
      <c r="E239" s="3" t="s">
        <v>50</v>
      </c>
      <c r="F239" s="3">
        <v>2404</v>
      </c>
      <c r="G239" s="3">
        <v>774</v>
      </c>
      <c r="H239" s="3">
        <v>661</v>
      </c>
      <c r="I239" s="3">
        <v>662</v>
      </c>
      <c r="J239" s="3">
        <v>12676</v>
      </c>
      <c r="K239" s="3">
        <v>66916</v>
      </c>
      <c r="L239" s="3" t="s">
        <v>16</v>
      </c>
      <c r="M239" s="4">
        <f>(Table1_30[[#This Row],[Likes]]+Table1_30[[#This Row],[Shares]]+Table1_30[[#This Row],[Comments]])/Table1_30[[#This Row],[Impressions]]</f>
        <v>5.7370434574690654E-2</v>
      </c>
    </row>
    <row r="240" spans="1:13" x14ac:dyDescent="0.3">
      <c r="A240" s="3" t="s">
        <v>169</v>
      </c>
      <c r="B240" s="3" t="s">
        <v>22</v>
      </c>
      <c r="C240" s="2">
        <v>45694</v>
      </c>
      <c r="D240" s="3" t="s">
        <v>14</v>
      </c>
      <c r="E240" s="3" t="s">
        <v>15</v>
      </c>
      <c r="F240" s="3">
        <v>2666</v>
      </c>
      <c r="G240" s="3">
        <v>1136</v>
      </c>
      <c r="H240" s="3">
        <v>989</v>
      </c>
      <c r="I240" s="3">
        <v>1710</v>
      </c>
      <c r="J240" s="3">
        <v>36467</v>
      </c>
      <c r="K240" s="3">
        <v>83753</v>
      </c>
      <c r="L240" s="3" t="s">
        <v>25</v>
      </c>
      <c r="M240" s="4">
        <f>(Table1_30[[#This Row],[Likes]]+Table1_30[[#This Row],[Shares]]+Table1_30[[#This Row],[Comments]])/Table1_30[[#This Row],[Impressions]]</f>
        <v>5.7203921053574198E-2</v>
      </c>
    </row>
    <row r="241" spans="1:13" x14ac:dyDescent="0.3">
      <c r="A241" s="3" t="s">
        <v>62</v>
      </c>
      <c r="B241" s="3" t="s">
        <v>40</v>
      </c>
      <c r="C241" s="2">
        <v>45720</v>
      </c>
      <c r="D241" s="3" t="s">
        <v>23</v>
      </c>
      <c r="E241" s="3" t="s">
        <v>32</v>
      </c>
      <c r="F241" s="3">
        <v>12344</v>
      </c>
      <c r="G241" s="3">
        <v>815</v>
      </c>
      <c r="H241" s="3">
        <v>298</v>
      </c>
      <c r="I241" s="3">
        <v>2439</v>
      </c>
      <c r="J241" s="3">
        <v>6259</v>
      </c>
      <c r="K241" s="3">
        <v>237133</v>
      </c>
      <c r="L241" s="3" t="s">
        <v>29</v>
      </c>
      <c r="M241" s="4">
        <f>(Table1_30[[#This Row],[Likes]]+Table1_30[[#This Row],[Shares]]+Table1_30[[#This Row],[Comments]])/Table1_30[[#This Row],[Impressions]]</f>
        <v>5.6748744375519224E-2</v>
      </c>
    </row>
    <row r="242" spans="1:13" x14ac:dyDescent="0.3">
      <c r="A242" s="3" t="s">
        <v>132</v>
      </c>
      <c r="B242" s="3" t="s">
        <v>40</v>
      </c>
      <c r="C242" s="2">
        <v>45545</v>
      </c>
      <c r="D242" s="3" t="s">
        <v>34</v>
      </c>
      <c r="E242" s="3" t="s">
        <v>37</v>
      </c>
      <c r="F242" s="3">
        <v>6637</v>
      </c>
      <c r="G242" s="3">
        <v>595</v>
      </c>
      <c r="H242" s="3">
        <v>161</v>
      </c>
      <c r="I242" s="3">
        <v>2653</v>
      </c>
      <c r="J242" s="3">
        <v>19334</v>
      </c>
      <c r="K242" s="3">
        <v>131155</v>
      </c>
      <c r="L242" s="3" t="s">
        <v>25</v>
      </c>
      <c r="M242" s="4">
        <f>(Table1_30[[#This Row],[Likes]]+Table1_30[[#This Row],[Shares]]+Table1_30[[#This Row],[Comments]])/Table1_30[[#This Row],[Impressions]]</f>
        <v>5.6368419046166747E-2</v>
      </c>
    </row>
    <row r="243" spans="1:13" x14ac:dyDescent="0.3">
      <c r="A243" s="3" t="s">
        <v>123</v>
      </c>
      <c r="B243" s="3" t="s">
        <v>40</v>
      </c>
      <c r="C243" s="2">
        <v>45449</v>
      </c>
      <c r="D243" s="3" t="s">
        <v>23</v>
      </c>
      <c r="E243" s="3" t="s">
        <v>41</v>
      </c>
      <c r="F243" s="3">
        <v>11521</v>
      </c>
      <c r="G243" s="3">
        <v>1071</v>
      </c>
      <c r="H243" s="3">
        <v>762</v>
      </c>
      <c r="I243" s="3">
        <v>2539</v>
      </c>
      <c r="J243" s="3">
        <v>12701</v>
      </c>
      <c r="K243" s="3">
        <v>238350</v>
      </c>
      <c r="L243" s="3" t="s">
        <v>25</v>
      </c>
      <c r="M243" s="4">
        <f>(Table1_30[[#This Row],[Likes]]+Table1_30[[#This Row],[Shares]]+Table1_30[[#This Row],[Comments]])/Table1_30[[#This Row],[Impressions]]</f>
        <v>5.6026851269142017E-2</v>
      </c>
    </row>
    <row r="244" spans="1:13" x14ac:dyDescent="0.3">
      <c r="A244" s="3" t="s">
        <v>84</v>
      </c>
      <c r="B244" s="3" t="s">
        <v>40</v>
      </c>
      <c r="C244" s="2">
        <v>45918</v>
      </c>
      <c r="D244" s="3" t="s">
        <v>34</v>
      </c>
      <c r="E244" s="3" t="s">
        <v>50</v>
      </c>
      <c r="F244" s="3">
        <v>4048</v>
      </c>
      <c r="G244" s="3">
        <v>677</v>
      </c>
      <c r="H244" s="3">
        <v>911</v>
      </c>
      <c r="I244" s="3">
        <v>2429</v>
      </c>
      <c r="J244" s="3">
        <v>27361</v>
      </c>
      <c r="K244" s="3">
        <v>101272</v>
      </c>
      <c r="L244" s="3" t="s">
        <v>20</v>
      </c>
      <c r="M244" s="4">
        <f>(Table1_30[[#This Row],[Likes]]+Table1_30[[#This Row],[Shares]]+Table1_30[[#This Row],[Comments]])/Table1_30[[#This Row],[Impressions]]</f>
        <v>5.5652105221581483E-2</v>
      </c>
    </row>
    <row r="245" spans="1:13" x14ac:dyDescent="0.3">
      <c r="A245" s="3" t="s">
        <v>53</v>
      </c>
      <c r="B245" s="3" t="s">
        <v>13</v>
      </c>
      <c r="C245" s="2">
        <v>45544</v>
      </c>
      <c r="D245" s="3" t="s">
        <v>27</v>
      </c>
      <c r="E245" s="3" t="s">
        <v>24</v>
      </c>
      <c r="F245" s="3">
        <v>6158</v>
      </c>
      <c r="G245" s="3">
        <v>277</v>
      </c>
      <c r="H245" s="3">
        <v>512</v>
      </c>
      <c r="I245" s="3">
        <v>2189</v>
      </c>
      <c r="J245" s="3">
        <v>76881</v>
      </c>
      <c r="K245" s="3">
        <v>124878</v>
      </c>
      <c r="L245" s="3" t="s">
        <v>29</v>
      </c>
      <c r="M245" s="4">
        <f>(Table1_30[[#This Row],[Likes]]+Table1_30[[#This Row],[Shares]]+Table1_30[[#This Row],[Comments]])/Table1_30[[#This Row],[Impressions]]</f>
        <v>5.563029516808405E-2</v>
      </c>
    </row>
    <row r="246" spans="1:13" x14ac:dyDescent="0.3">
      <c r="A246" s="3" t="s">
        <v>138</v>
      </c>
      <c r="B246" s="3" t="s">
        <v>40</v>
      </c>
      <c r="C246" s="2">
        <v>45926</v>
      </c>
      <c r="D246" s="3" t="s">
        <v>34</v>
      </c>
      <c r="E246" s="3" t="s">
        <v>32</v>
      </c>
      <c r="F246" s="3">
        <v>9043</v>
      </c>
      <c r="G246" s="3">
        <v>1192</v>
      </c>
      <c r="H246" s="3">
        <v>810</v>
      </c>
      <c r="I246" s="3">
        <v>1550</v>
      </c>
      <c r="J246" s="3">
        <v>5221</v>
      </c>
      <c r="K246" s="3">
        <v>199476</v>
      </c>
      <c r="L246" s="3" t="s">
        <v>20</v>
      </c>
      <c r="M246" s="4">
        <f>(Table1_30[[#This Row],[Likes]]+Table1_30[[#This Row],[Shares]]+Table1_30[[#This Row],[Comments]])/Table1_30[[#This Row],[Impressions]]</f>
        <v>5.5370069582305642E-2</v>
      </c>
    </row>
    <row r="247" spans="1:13" x14ac:dyDescent="0.3">
      <c r="A247" s="3" t="s">
        <v>104</v>
      </c>
      <c r="B247" s="3" t="s">
        <v>18</v>
      </c>
      <c r="C247" s="2">
        <v>45724</v>
      </c>
      <c r="D247" s="3" t="s">
        <v>23</v>
      </c>
      <c r="E247" s="3" t="s">
        <v>37</v>
      </c>
      <c r="F247" s="3">
        <v>10580</v>
      </c>
      <c r="G247" s="3">
        <v>427</v>
      </c>
      <c r="H247" s="3">
        <v>790</v>
      </c>
      <c r="I247" s="3">
        <v>2814</v>
      </c>
      <c r="J247" s="3">
        <v>24916</v>
      </c>
      <c r="K247" s="3">
        <v>213312</v>
      </c>
      <c r="L247" s="3" t="s">
        <v>45</v>
      </c>
      <c r="M247" s="4">
        <f>(Table1_30[[#This Row],[Likes]]+Table1_30[[#This Row],[Shares]]+Table1_30[[#This Row],[Comments]])/Table1_30[[#This Row],[Impressions]]</f>
        <v>5.530396789678968E-2</v>
      </c>
    </row>
    <row r="248" spans="1:13" x14ac:dyDescent="0.3">
      <c r="A248" s="3" t="s">
        <v>156</v>
      </c>
      <c r="B248" s="3" t="s">
        <v>22</v>
      </c>
      <c r="C248" s="2">
        <v>45586</v>
      </c>
      <c r="D248" s="3" t="s">
        <v>27</v>
      </c>
      <c r="E248" s="3" t="s">
        <v>28</v>
      </c>
      <c r="F248" s="3">
        <v>8254</v>
      </c>
      <c r="G248" s="3">
        <v>1405</v>
      </c>
      <c r="H248" s="3">
        <v>165</v>
      </c>
      <c r="I248" s="3">
        <v>2504</v>
      </c>
      <c r="J248" s="3">
        <v>8081</v>
      </c>
      <c r="K248" s="3">
        <v>177710</v>
      </c>
      <c r="L248" s="3" t="s">
        <v>16</v>
      </c>
      <c r="M248" s="4">
        <f>(Table1_30[[#This Row],[Likes]]+Table1_30[[#This Row],[Shares]]+Table1_30[[#This Row],[Comments]])/Table1_30[[#This Row],[Impressions]]</f>
        <v>5.5281075910190762E-2</v>
      </c>
    </row>
    <row r="249" spans="1:13" x14ac:dyDescent="0.3">
      <c r="A249" s="3" t="s">
        <v>329</v>
      </c>
      <c r="B249" s="3" t="s">
        <v>22</v>
      </c>
      <c r="C249" s="2">
        <v>45791</v>
      </c>
      <c r="D249" s="3" t="s">
        <v>14</v>
      </c>
      <c r="E249" s="3" t="s">
        <v>50</v>
      </c>
      <c r="F249" s="3">
        <v>9041</v>
      </c>
      <c r="G249" s="3">
        <v>1133</v>
      </c>
      <c r="H249" s="3">
        <v>612</v>
      </c>
      <c r="I249" s="3">
        <v>1687</v>
      </c>
      <c r="J249" s="3">
        <v>28102</v>
      </c>
      <c r="K249" s="3">
        <v>195683</v>
      </c>
      <c r="L249" s="3" t="s">
        <v>29</v>
      </c>
      <c r="M249" s="4">
        <f>(Table1_30[[#This Row],[Likes]]+Table1_30[[#This Row],[Shares]]+Table1_30[[#This Row],[Comments]])/Table1_30[[#This Row],[Impressions]]</f>
        <v>5.5119760020032396E-2</v>
      </c>
    </row>
    <row r="250" spans="1:13" x14ac:dyDescent="0.3">
      <c r="A250" s="3" t="s">
        <v>149</v>
      </c>
      <c r="B250" s="3" t="s">
        <v>18</v>
      </c>
      <c r="C250" s="2">
        <v>45929</v>
      </c>
      <c r="D250" s="3" t="s">
        <v>27</v>
      </c>
      <c r="E250" s="3" t="s">
        <v>55</v>
      </c>
      <c r="F250" s="3">
        <v>7569</v>
      </c>
      <c r="G250" s="3">
        <v>803</v>
      </c>
      <c r="H250" s="3">
        <v>804</v>
      </c>
      <c r="I250" s="3">
        <v>1753</v>
      </c>
      <c r="J250" s="3">
        <v>43582</v>
      </c>
      <c r="K250" s="3">
        <v>166945</v>
      </c>
      <c r="L250" s="3" t="s">
        <v>20</v>
      </c>
      <c r="M250" s="4">
        <f>(Table1_30[[#This Row],[Likes]]+Table1_30[[#This Row],[Shares]]+Table1_30[[#This Row],[Comments]])/Table1_30[[#This Row],[Impressions]]</f>
        <v>5.4964209769684629E-2</v>
      </c>
    </row>
    <row r="251" spans="1:13" x14ac:dyDescent="0.3">
      <c r="A251" s="3" t="s">
        <v>233</v>
      </c>
      <c r="B251" s="3" t="s">
        <v>40</v>
      </c>
      <c r="C251" s="2">
        <v>45587</v>
      </c>
      <c r="D251" s="3" t="s">
        <v>23</v>
      </c>
      <c r="E251" s="3" t="s">
        <v>24</v>
      </c>
      <c r="F251" s="3">
        <v>7750</v>
      </c>
      <c r="G251" s="3">
        <v>1146</v>
      </c>
      <c r="H251" s="3">
        <v>415</v>
      </c>
      <c r="I251" s="3">
        <v>1411</v>
      </c>
      <c r="J251" s="3">
        <v>85339</v>
      </c>
      <c r="K251" s="3">
        <v>172439</v>
      </c>
      <c r="L251" s="3" t="s">
        <v>25</v>
      </c>
      <c r="M251" s="4">
        <f>(Table1_30[[#This Row],[Likes]]+Table1_30[[#This Row],[Shares]]+Table1_30[[#This Row],[Comments]])/Table1_30[[#This Row],[Impressions]]</f>
        <v>5.3995905798572247E-2</v>
      </c>
    </row>
    <row r="252" spans="1:13" x14ac:dyDescent="0.3">
      <c r="A252" s="3" t="s">
        <v>130</v>
      </c>
      <c r="B252" s="3" t="s">
        <v>40</v>
      </c>
      <c r="C252" s="2">
        <v>45603</v>
      </c>
      <c r="D252" s="3" t="s">
        <v>34</v>
      </c>
      <c r="E252" s="3" t="s">
        <v>41</v>
      </c>
      <c r="F252" s="3">
        <v>11550</v>
      </c>
      <c r="G252" s="3">
        <v>501</v>
      </c>
      <c r="H252" s="3">
        <v>646</v>
      </c>
      <c r="I252" s="3">
        <v>773</v>
      </c>
      <c r="J252" s="3">
        <v>17841</v>
      </c>
      <c r="K252" s="3">
        <v>237576</v>
      </c>
      <c r="L252" s="3" t="s">
        <v>29</v>
      </c>
      <c r="M252" s="4">
        <f>(Table1_30[[#This Row],[Likes]]+Table1_30[[#This Row],[Shares]]+Table1_30[[#This Row],[Comments]])/Table1_30[[#This Row],[Impressions]]</f>
        <v>5.3443950567397383E-2</v>
      </c>
    </row>
    <row r="253" spans="1:13" x14ac:dyDescent="0.3">
      <c r="A253" s="3" t="s">
        <v>65</v>
      </c>
      <c r="B253" s="3" t="s">
        <v>18</v>
      </c>
      <c r="C253" s="2">
        <v>45713</v>
      </c>
      <c r="D253" s="3" t="s">
        <v>34</v>
      </c>
      <c r="E253" s="3" t="s">
        <v>55</v>
      </c>
      <c r="F253" s="3">
        <v>10702</v>
      </c>
      <c r="G253" s="3">
        <v>621</v>
      </c>
      <c r="H253" s="3">
        <v>445</v>
      </c>
      <c r="I253" s="3">
        <v>2918</v>
      </c>
      <c r="J253" s="3">
        <v>54808</v>
      </c>
      <c r="K253" s="3">
        <v>220225</v>
      </c>
      <c r="L253" s="3" t="s">
        <v>16</v>
      </c>
      <c r="M253" s="4">
        <f>(Table1_30[[#This Row],[Likes]]+Table1_30[[#This Row],[Shares]]+Table1_30[[#This Row],[Comments]])/Table1_30[[#This Row],[Impressions]]</f>
        <v>5.3436258372119426E-2</v>
      </c>
    </row>
    <row r="254" spans="1:13" x14ac:dyDescent="0.3">
      <c r="A254" s="3" t="s">
        <v>43</v>
      </c>
      <c r="B254" s="3" t="s">
        <v>13</v>
      </c>
      <c r="C254" s="2">
        <v>45494</v>
      </c>
      <c r="D254" s="3" t="s">
        <v>23</v>
      </c>
      <c r="E254" s="3" t="s">
        <v>19</v>
      </c>
      <c r="F254" s="3">
        <v>2009</v>
      </c>
      <c r="G254" s="3">
        <v>1072</v>
      </c>
      <c r="H254" s="3">
        <v>550</v>
      </c>
      <c r="I254" s="3">
        <v>1437</v>
      </c>
      <c r="J254" s="3">
        <v>22982</v>
      </c>
      <c r="K254" s="3">
        <v>69426</v>
      </c>
      <c r="L254" s="3" t="s">
        <v>29</v>
      </c>
      <c r="M254" s="4">
        <f>(Table1_30[[#This Row],[Likes]]+Table1_30[[#This Row],[Shares]]+Table1_30[[#This Row],[Comments]])/Table1_30[[#This Row],[Impressions]]</f>
        <v>5.2300290957278256E-2</v>
      </c>
    </row>
    <row r="255" spans="1:13" x14ac:dyDescent="0.3">
      <c r="A255" s="3" t="s">
        <v>305</v>
      </c>
      <c r="B255" s="3" t="s">
        <v>13</v>
      </c>
      <c r="C255" s="2">
        <v>45601</v>
      </c>
      <c r="D255" s="3" t="s">
        <v>23</v>
      </c>
      <c r="E255" s="3" t="s">
        <v>64</v>
      </c>
      <c r="F255" s="3">
        <v>8469</v>
      </c>
      <c r="G255" s="3">
        <v>935</v>
      </c>
      <c r="H255" s="3">
        <v>211</v>
      </c>
      <c r="I255" s="3">
        <v>2635</v>
      </c>
      <c r="J255" s="3">
        <v>21890</v>
      </c>
      <c r="K255" s="3">
        <v>184539</v>
      </c>
      <c r="L255" s="3" t="s">
        <v>45</v>
      </c>
      <c r="M255" s="4">
        <f>(Table1_30[[#This Row],[Likes]]+Table1_30[[#This Row],[Shares]]+Table1_30[[#This Row],[Comments]])/Table1_30[[#This Row],[Impressions]]</f>
        <v>5.2102807536618279E-2</v>
      </c>
    </row>
    <row r="256" spans="1:13" x14ac:dyDescent="0.3">
      <c r="A256" s="3" t="s">
        <v>38</v>
      </c>
      <c r="B256" s="3" t="s">
        <v>13</v>
      </c>
      <c r="C256" s="2">
        <v>45534</v>
      </c>
      <c r="D256" s="3" t="s">
        <v>34</v>
      </c>
      <c r="E256" s="3" t="s">
        <v>19</v>
      </c>
      <c r="F256" s="3">
        <v>6804</v>
      </c>
      <c r="G256" s="3">
        <v>787</v>
      </c>
      <c r="H256" s="3">
        <v>970</v>
      </c>
      <c r="I256" s="3">
        <v>1095</v>
      </c>
      <c r="J256" s="3">
        <v>56343</v>
      </c>
      <c r="K256" s="3">
        <v>164677</v>
      </c>
      <c r="L256" s="3" t="s">
        <v>16</v>
      </c>
      <c r="M256" s="4">
        <f>(Table1_30[[#This Row],[Likes]]+Table1_30[[#This Row],[Shares]]+Table1_30[[#This Row],[Comments]])/Table1_30[[#This Row],[Impressions]]</f>
        <v>5.1986616224487935E-2</v>
      </c>
    </row>
    <row r="257" spans="1:13" x14ac:dyDescent="0.3">
      <c r="A257" s="3" t="s">
        <v>66</v>
      </c>
      <c r="B257" s="3" t="s">
        <v>22</v>
      </c>
      <c r="C257" s="2">
        <v>45642</v>
      </c>
      <c r="D257" s="3" t="s">
        <v>14</v>
      </c>
      <c r="E257" s="3" t="s">
        <v>28</v>
      </c>
      <c r="F257" s="3">
        <v>2384</v>
      </c>
      <c r="G257" s="3">
        <v>1246</v>
      </c>
      <c r="H257" s="3">
        <v>160</v>
      </c>
      <c r="I257" s="3">
        <v>2004</v>
      </c>
      <c r="J257" s="3">
        <v>2701</v>
      </c>
      <c r="K257" s="3">
        <v>73142</v>
      </c>
      <c r="L257" s="3" t="s">
        <v>16</v>
      </c>
      <c r="M257" s="4">
        <f>(Table1_30[[#This Row],[Likes]]+Table1_30[[#This Row],[Shares]]+Table1_30[[#This Row],[Comments]])/Table1_30[[#This Row],[Impressions]]</f>
        <v>5.1817013480626728E-2</v>
      </c>
    </row>
    <row r="258" spans="1:13" x14ac:dyDescent="0.3">
      <c r="A258" s="3" t="s">
        <v>56</v>
      </c>
      <c r="B258" s="3" t="s">
        <v>22</v>
      </c>
      <c r="C258" s="2">
        <v>45715</v>
      </c>
      <c r="D258" s="3" t="s">
        <v>14</v>
      </c>
      <c r="E258" s="3" t="s">
        <v>35</v>
      </c>
      <c r="F258" s="3">
        <v>8970</v>
      </c>
      <c r="G258" s="3">
        <v>331</v>
      </c>
      <c r="H258" s="3">
        <v>968</v>
      </c>
      <c r="I258" s="3">
        <v>2296</v>
      </c>
      <c r="J258" s="3">
        <v>24613</v>
      </c>
      <c r="K258" s="3">
        <v>198562</v>
      </c>
      <c r="L258" s="3" t="s">
        <v>29</v>
      </c>
      <c r="M258" s="4">
        <f>(Table1_30[[#This Row],[Likes]]+Table1_30[[#This Row],[Shares]]+Table1_30[[#This Row],[Comments]])/Table1_30[[#This Row],[Impressions]]</f>
        <v>5.1716844109144754E-2</v>
      </c>
    </row>
    <row r="259" spans="1:13" x14ac:dyDescent="0.3">
      <c r="A259" s="3" t="s">
        <v>236</v>
      </c>
      <c r="B259" s="3" t="s">
        <v>13</v>
      </c>
      <c r="C259" s="2">
        <v>45754</v>
      </c>
      <c r="D259" s="3" t="s">
        <v>34</v>
      </c>
      <c r="E259" s="3" t="s">
        <v>55</v>
      </c>
      <c r="F259" s="3">
        <v>3062</v>
      </c>
      <c r="G259" s="3">
        <v>1124</v>
      </c>
      <c r="H259" s="3">
        <v>538</v>
      </c>
      <c r="I259" s="3">
        <v>2935</v>
      </c>
      <c r="J259" s="3">
        <v>69749</v>
      </c>
      <c r="K259" s="3">
        <v>91924</v>
      </c>
      <c r="L259" s="3" t="s">
        <v>29</v>
      </c>
      <c r="M259" s="4">
        <f>(Table1_30[[#This Row],[Likes]]+Table1_30[[#This Row],[Shares]]+Table1_30[[#This Row],[Comments]])/Table1_30[[#This Row],[Impressions]]</f>
        <v>5.1390278926069365E-2</v>
      </c>
    </row>
    <row r="260" spans="1:13" x14ac:dyDescent="0.3">
      <c r="A260" s="3" t="s">
        <v>297</v>
      </c>
      <c r="B260" s="3" t="s">
        <v>22</v>
      </c>
      <c r="C260" s="2">
        <v>45592</v>
      </c>
      <c r="D260" s="3" t="s">
        <v>34</v>
      </c>
      <c r="E260" s="3" t="s">
        <v>15</v>
      </c>
      <c r="F260" s="3">
        <v>7560</v>
      </c>
      <c r="G260" s="3">
        <v>1139</v>
      </c>
      <c r="H260" s="3">
        <v>248</v>
      </c>
      <c r="I260" s="3">
        <v>1624</v>
      </c>
      <c r="J260" s="3">
        <v>72237</v>
      </c>
      <c r="K260" s="3">
        <v>177084</v>
      </c>
      <c r="L260" s="3" t="s">
        <v>25</v>
      </c>
      <c r="M260" s="4">
        <f>(Table1_30[[#This Row],[Likes]]+Table1_30[[#This Row],[Shares]]+Table1_30[[#This Row],[Comments]])/Table1_30[[#This Row],[Impressions]]</f>
        <v>5.0524045085947912E-2</v>
      </c>
    </row>
    <row r="261" spans="1:13" x14ac:dyDescent="0.3">
      <c r="A261" s="3" t="s">
        <v>255</v>
      </c>
      <c r="B261" s="3" t="s">
        <v>18</v>
      </c>
      <c r="C261" s="2">
        <v>45685</v>
      </c>
      <c r="D261" s="3" t="s">
        <v>34</v>
      </c>
      <c r="E261" s="3" t="s">
        <v>35</v>
      </c>
      <c r="F261" s="3">
        <v>9943</v>
      </c>
      <c r="G261" s="3">
        <v>1274</v>
      </c>
      <c r="H261" s="3">
        <v>336</v>
      </c>
      <c r="I261" s="3">
        <v>389</v>
      </c>
      <c r="J261" s="3">
        <v>6145</v>
      </c>
      <c r="K261" s="3">
        <v>231305</v>
      </c>
      <c r="L261" s="3" t="s">
        <v>16</v>
      </c>
      <c r="M261" s="4">
        <f>(Table1_30[[#This Row],[Likes]]+Table1_30[[#This Row],[Shares]]+Table1_30[[#This Row],[Comments]])/Table1_30[[#This Row],[Impressions]]</f>
        <v>4.9947039623008581E-2</v>
      </c>
    </row>
    <row r="262" spans="1:13" x14ac:dyDescent="0.3">
      <c r="A262" s="3" t="s">
        <v>207</v>
      </c>
      <c r="B262" s="3" t="s">
        <v>18</v>
      </c>
      <c r="C262" s="2">
        <v>45657</v>
      </c>
      <c r="D262" s="3" t="s">
        <v>14</v>
      </c>
      <c r="E262" s="3" t="s">
        <v>15</v>
      </c>
      <c r="F262" s="3">
        <v>10717</v>
      </c>
      <c r="G262" s="3">
        <v>760</v>
      </c>
      <c r="H262" s="3">
        <v>460</v>
      </c>
      <c r="I262" s="3">
        <v>1316</v>
      </c>
      <c r="J262" s="3">
        <v>18164</v>
      </c>
      <c r="K262" s="3">
        <v>240641</v>
      </c>
      <c r="L262" s="3" t="s">
        <v>45</v>
      </c>
      <c r="M262" s="4">
        <f>(Table1_30[[#This Row],[Likes]]+Table1_30[[#This Row],[Shares]]+Table1_30[[#This Row],[Comments]])/Table1_30[[#This Row],[Impressions]]</f>
        <v>4.9605013277039242E-2</v>
      </c>
    </row>
    <row r="263" spans="1:13" x14ac:dyDescent="0.3">
      <c r="A263" s="3" t="s">
        <v>100</v>
      </c>
      <c r="B263" s="3" t="s">
        <v>13</v>
      </c>
      <c r="C263" s="2">
        <v>45744</v>
      </c>
      <c r="D263" s="3" t="s">
        <v>23</v>
      </c>
      <c r="E263" s="3" t="s">
        <v>15</v>
      </c>
      <c r="F263" s="3">
        <v>6363</v>
      </c>
      <c r="G263" s="3">
        <v>1341</v>
      </c>
      <c r="H263" s="3">
        <v>222</v>
      </c>
      <c r="I263" s="3">
        <v>2712</v>
      </c>
      <c r="J263" s="3">
        <v>19987</v>
      </c>
      <c r="K263" s="3">
        <v>160585</v>
      </c>
      <c r="L263" s="3" t="s">
        <v>25</v>
      </c>
      <c r="M263" s="4">
        <f>(Table1_30[[#This Row],[Likes]]+Table1_30[[#This Row],[Shares]]+Table1_30[[#This Row],[Comments]])/Table1_30[[#This Row],[Impressions]]</f>
        <v>4.9357038328611019E-2</v>
      </c>
    </row>
    <row r="264" spans="1:13" x14ac:dyDescent="0.3">
      <c r="A264" s="3" t="s">
        <v>166</v>
      </c>
      <c r="B264" s="3" t="s">
        <v>18</v>
      </c>
      <c r="C264" s="2">
        <v>45564</v>
      </c>
      <c r="D264" s="3" t="s">
        <v>34</v>
      </c>
      <c r="E264" s="3" t="s">
        <v>19</v>
      </c>
      <c r="F264" s="3">
        <v>10472</v>
      </c>
      <c r="G264" s="3">
        <v>401</v>
      </c>
      <c r="H264" s="3">
        <v>668</v>
      </c>
      <c r="I264" s="3">
        <v>383</v>
      </c>
      <c r="J264" s="3">
        <v>37571</v>
      </c>
      <c r="K264" s="3">
        <v>249203</v>
      </c>
      <c r="L264" s="3" t="s">
        <v>25</v>
      </c>
      <c r="M264" s="4">
        <f>(Table1_30[[#This Row],[Likes]]+Table1_30[[#This Row],[Shares]]+Table1_30[[#This Row],[Comments]])/Table1_30[[#This Row],[Impressions]]</f>
        <v>4.6311641513143903E-2</v>
      </c>
    </row>
    <row r="265" spans="1:13" x14ac:dyDescent="0.3">
      <c r="A265" s="3" t="s">
        <v>48</v>
      </c>
      <c r="B265" s="3" t="s">
        <v>22</v>
      </c>
      <c r="C265" s="2">
        <v>45530</v>
      </c>
      <c r="D265" s="3" t="s">
        <v>34</v>
      </c>
      <c r="E265" s="3" t="s">
        <v>37</v>
      </c>
      <c r="F265" s="3">
        <v>4193</v>
      </c>
      <c r="G265" s="3">
        <v>924</v>
      </c>
      <c r="H265" s="3">
        <v>707</v>
      </c>
      <c r="I265" s="3">
        <v>2696</v>
      </c>
      <c r="J265" s="3">
        <v>55075</v>
      </c>
      <c r="K265" s="3">
        <v>126652</v>
      </c>
      <c r="L265" s="3" t="s">
        <v>29</v>
      </c>
      <c r="M265" s="4">
        <f>(Table1_30[[#This Row],[Likes]]+Table1_30[[#This Row],[Shares]]+Table1_30[[#This Row],[Comments]])/Table1_30[[#This Row],[Impressions]]</f>
        <v>4.5984271863057827E-2</v>
      </c>
    </row>
    <row r="266" spans="1:13" x14ac:dyDescent="0.3">
      <c r="A266" s="3" t="s">
        <v>93</v>
      </c>
      <c r="B266" s="3" t="s">
        <v>22</v>
      </c>
      <c r="C266" s="2">
        <v>45762</v>
      </c>
      <c r="D266" s="3" t="s">
        <v>34</v>
      </c>
      <c r="E266" s="3" t="s">
        <v>24</v>
      </c>
      <c r="F266" s="3">
        <v>5419</v>
      </c>
      <c r="G266" s="3">
        <v>1150</v>
      </c>
      <c r="H266" s="3">
        <v>656</v>
      </c>
      <c r="I266" s="3">
        <v>1990</v>
      </c>
      <c r="J266" s="3">
        <v>410</v>
      </c>
      <c r="K266" s="3">
        <v>158154</v>
      </c>
      <c r="L266" s="3" t="s">
        <v>25</v>
      </c>
      <c r="M266" s="4">
        <f>(Table1_30[[#This Row],[Likes]]+Table1_30[[#This Row],[Shares]]+Table1_30[[#This Row],[Comments]])/Table1_30[[#This Row],[Impressions]]</f>
        <v>4.5683321319726342E-2</v>
      </c>
    </row>
    <row r="267" spans="1:13" x14ac:dyDescent="0.3">
      <c r="A267" s="3" t="s">
        <v>181</v>
      </c>
      <c r="B267" s="3" t="s">
        <v>18</v>
      </c>
      <c r="C267" s="2">
        <v>45516</v>
      </c>
      <c r="D267" s="3" t="s">
        <v>34</v>
      </c>
      <c r="E267" s="3" t="s">
        <v>19</v>
      </c>
      <c r="F267" s="3">
        <v>8376</v>
      </c>
      <c r="G267" s="3">
        <v>1154</v>
      </c>
      <c r="H267" s="3">
        <v>422</v>
      </c>
      <c r="I267" s="3">
        <v>1907</v>
      </c>
      <c r="J267" s="3">
        <v>36874</v>
      </c>
      <c r="K267" s="3">
        <v>218486</v>
      </c>
      <c r="L267" s="3" t="s">
        <v>25</v>
      </c>
      <c r="M267" s="4">
        <f>(Table1_30[[#This Row],[Likes]]+Table1_30[[#This Row],[Shares]]+Table1_30[[#This Row],[Comments]])/Table1_30[[#This Row],[Impressions]]</f>
        <v>4.5549829279679245E-2</v>
      </c>
    </row>
    <row r="268" spans="1:13" x14ac:dyDescent="0.3">
      <c r="A268" s="3" t="s">
        <v>319</v>
      </c>
      <c r="B268" s="3" t="s">
        <v>40</v>
      </c>
      <c r="C268" s="2">
        <v>45786</v>
      </c>
      <c r="D268" s="3" t="s">
        <v>34</v>
      </c>
      <c r="E268" s="3" t="s">
        <v>37</v>
      </c>
      <c r="F268" s="3">
        <v>8988</v>
      </c>
      <c r="G268" s="3">
        <v>228</v>
      </c>
      <c r="H268" s="3">
        <v>766</v>
      </c>
      <c r="I268" s="3">
        <v>652</v>
      </c>
      <c r="J268" s="3">
        <v>63789</v>
      </c>
      <c r="K268" s="3">
        <v>219785</v>
      </c>
      <c r="L268" s="3" t="s">
        <v>25</v>
      </c>
      <c r="M268" s="4">
        <f>(Table1_30[[#This Row],[Likes]]+Table1_30[[#This Row],[Shares]]+Table1_30[[#This Row],[Comments]])/Table1_30[[#This Row],[Impressions]]</f>
        <v>4.541711217781013E-2</v>
      </c>
    </row>
    <row r="269" spans="1:13" x14ac:dyDescent="0.3">
      <c r="A269" s="3" t="s">
        <v>334</v>
      </c>
      <c r="B269" s="3" t="s">
        <v>13</v>
      </c>
      <c r="C269" s="2">
        <v>45924</v>
      </c>
      <c r="D269" s="3" t="s">
        <v>23</v>
      </c>
      <c r="E269" s="3" t="s">
        <v>41</v>
      </c>
      <c r="F269" s="3">
        <v>3342</v>
      </c>
      <c r="G269" s="3">
        <v>787</v>
      </c>
      <c r="H269" s="3">
        <v>375</v>
      </c>
      <c r="I269" s="3">
        <v>907</v>
      </c>
      <c r="J269" s="3">
        <v>85823</v>
      </c>
      <c r="K269" s="3">
        <v>99189</v>
      </c>
      <c r="L269" s="3" t="s">
        <v>20</v>
      </c>
      <c r="M269" s="4">
        <f>(Table1_30[[#This Row],[Likes]]+Table1_30[[#This Row],[Shares]]+Table1_30[[#This Row],[Comments]])/Table1_30[[#This Row],[Impressions]]</f>
        <v>4.5408260996683103E-2</v>
      </c>
    </row>
    <row r="270" spans="1:13" x14ac:dyDescent="0.3">
      <c r="A270" s="3" t="s">
        <v>126</v>
      </c>
      <c r="B270" s="3" t="s">
        <v>40</v>
      </c>
      <c r="C270" s="2">
        <v>45446</v>
      </c>
      <c r="D270" s="3" t="s">
        <v>14</v>
      </c>
      <c r="E270" s="3" t="s">
        <v>50</v>
      </c>
      <c r="F270" s="3">
        <v>8941</v>
      </c>
      <c r="G270" s="3">
        <v>911</v>
      </c>
      <c r="H270" s="3">
        <v>166</v>
      </c>
      <c r="I270" s="3">
        <v>1217</v>
      </c>
      <c r="J270" s="3">
        <v>68817</v>
      </c>
      <c r="K270" s="3">
        <v>221180</v>
      </c>
      <c r="L270" s="3" t="s">
        <v>45</v>
      </c>
      <c r="M270" s="4">
        <f>(Table1_30[[#This Row],[Likes]]+Table1_30[[#This Row],[Shares]]+Table1_30[[#This Row],[Comments]])/Table1_30[[#This Row],[Impressions]]</f>
        <v>4.5293426168731353E-2</v>
      </c>
    </row>
    <row r="271" spans="1:13" x14ac:dyDescent="0.3">
      <c r="A271" s="3" t="s">
        <v>170</v>
      </c>
      <c r="B271" s="3" t="s">
        <v>22</v>
      </c>
      <c r="C271" s="2">
        <v>45931</v>
      </c>
      <c r="D271" s="3" t="s">
        <v>34</v>
      </c>
      <c r="E271" s="3" t="s">
        <v>32</v>
      </c>
      <c r="F271" s="3">
        <v>6188</v>
      </c>
      <c r="G271" s="3">
        <v>774</v>
      </c>
      <c r="H271" s="3">
        <v>647</v>
      </c>
      <c r="I271" s="3">
        <v>1830</v>
      </c>
      <c r="J271" s="3">
        <v>55436</v>
      </c>
      <c r="K271" s="3">
        <v>175542</v>
      </c>
      <c r="L271" s="3" t="s">
        <v>20</v>
      </c>
      <c r="M271" s="4">
        <f>(Table1_30[[#This Row],[Likes]]+Table1_30[[#This Row],[Shares]]+Table1_30[[#This Row],[Comments]])/Table1_30[[#This Row],[Impressions]]</f>
        <v>4.3345752013763089E-2</v>
      </c>
    </row>
    <row r="272" spans="1:13" x14ac:dyDescent="0.3">
      <c r="A272" s="3" t="s">
        <v>73</v>
      </c>
      <c r="B272" s="3" t="s">
        <v>22</v>
      </c>
      <c r="C272" s="2">
        <v>45705</v>
      </c>
      <c r="D272" s="3" t="s">
        <v>23</v>
      </c>
      <c r="E272" s="3" t="s">
        <v>19</v>
      </c>
      <c r="F272" s="3">
        <v>7989</v>
      </c>
      <c r="G272" s="3">
        <v>1206</v>
      </c>
      <c r="H272" s="3">
        <v>376</v>
      </c>
      <c r="I272" s="3">
        <v>2769</v>
      </c>
      <c r="J272" s="3">
        <v>27550</v>
      </c>
      <c r="K272" s="3">
        <v>221749</v>
      </c>
      <c r="L272" s="3" t="s">
        <v>25</v>
      </c>
      <c r="M272" s="4">
        <f>(Table1_30[[#This Row],[Likes]]+Table1_30[[#This Row],[Shares]]+Table1_30[[#This Row],[Comments]])/Table1_30[[#This Row],[Impressions]]</f>
        <v>4.3161412227338117E-2</v>
      </c>
    </row>
    <row r="273" spans="1:13" x14ac:dyDescent="0.3">
      <c r="A273" s="3" t="s">
        <v>105</v>
      </c>
      <c r="B273" s="3" t="s">
        <v>40</v>
      </c>
      <c r="C273" s="2">
        <v>45749</v>
      </c>
      <c r="D273" s="3" t="s">
        <v>23</v>
      </c>
      <c r="E273" s="3" t="s">
        <v>41</v>
      </c>
      <c r="F273" s="3">
        <v>6858</v>
      </c>
      <c r="G273" s="3">
        <v>415</v>
      </c>
      <c r="H273" s="3">
        <v>366</v>
      </c>
      <c r="I273" s="3">
        <v>2761</v>
      </c>
      <c r="J273" s="3">
        <v>2988</v>
      </c>
      <c r="K273" s="3">
        <v>177348</v>
      </c>
      <c r="L273" s="3" t="s">
        <v>16</v>
      </c>
      <c r="M273" s="4">
        <f>(Table1_30[[#This Row],[Likes]]+Table1_30[[#This Row],[Shares]]+Table1_30[[#This Row],[Comments]])/Table1_30[[#This Row],[Impressions]]</f>
        <v>4.3073505198818141E-2</v>
      </c>
    </row>
    <row r="274" spans="1:13" x14ac:dyDescent="0.3">
      <c r="A274" s="3" t="s">
        <v>178</v>
      </c>
      <c r="B274" s="3" t="s">
        <v>22</v>
      </c>
      <c r="C274" s="2">
        <v>45741</v>
      </c>
      <c r="D274" s="3" t="s">
        <v>34</v>
      </c>
      <c r="E274" s="3" t="s">
        <v>24</v>
      </c>
      <c r="F274" s="3">
        <v>5900</v>
      </c>
      <c r="G274" s="3">
        <v>546</v>
      </c>
      <c r="H274" s="3">
        <v>592</v>
      </c>
      <c r="I274" s="3">
        <v>1594</v>
      </c>
      <c r="J274" s="3">
        <v>38627</v>
      </c>
      <c r="K274" s="3">
        <v>164398</v>
      </c>
      <c r="L274" s="3" t="s">
        <v>45</v>
      </c>
      <c r="M274" s="4">
        <f>(Table1_30[[#This Row],[Likes]]+Table1_30[[#This Row],[Shares]]+Table1_30[[#This Row],[Comments]])/Table1_30[[#This Row],[Impressions]]</f>
        <v>4.2810739790021778E-2</v>
      </c>
    </row>
    <row r="275" spans="1:13" x14ac:dyDescent="0.3">
      <c r="A275" s="3" t="s">
        <v>243</v>
      </c>
      <c r="B275" s="3" t="s">
        <v>18</v>
      </c>
      <c r="C275" s="2">
        <v>45655</v>
      </c>
      <c r="D275" s="3" t="s">
        <v>34</v>
      </c>
      <c r="E275" s="3" t="s">
        <v>64</v>
      </c>
      <c r="F275" s="3">
        <v>8288</v>
      </c>
      <c r="G275" s="3">
        <v>1401</v>
      </c>
      <c r="H275" s="3">
        <v>819</v>
      </c>
      <c r="I275" s="3">
        <v>1235</v>
      </c>
      <c r="J275" s="3">
        <v>33446</v>
      </c>
      <c r="K275" s="3">
        <v>248786</v>
      </c>
      <c r="L275" s="3" t="s">
        <v>16</v>
      </c>
      <c r="M275" s="4">
        <f>(Table1_30[[#This Row],[Likes]]+Table1_30[[#This Row],[Shares]]+Table1_30[[#This Row],[Comments]])/Table1_30[[#This Row],[Impressions]]</f>
        <v>4.2237103373984064E-2</v>
      </c>
    </row>
    <row r="276" spans="1:13" x14ac:dyDescent="0.3">
      <c r="A276" s="3" t="s">
        <v>310</v>
      </c>
      <c r="B276" s="3" t="s">
        <v>18</v>
      </c>
      <c r="C276" s="2">
        <v>45658</v>
      </c>
      <c r="D276" s="3" t="s">
        <v>27</v>
      </c>
      <c r="E276" s="3" t="s">
        <v>35</v>
      </c>
      <c r="F276" s="3">
        <v>8283</v>
      </c>
      <c r="G276" s="3">
        <v>720</v>
      </c>
      <c r="H276" s="3">
        <v>888</v>
      </c>
      <c r="I276" s="3">
        <v>611</v>
      </c>
      <c r="J276" s="3">
        <v>52791</v>
      </c>
      <c r="K276" s="3">
        <v>235229</v>
      </c>
      <c r="L276" s="3" t="s">
        <v>16</v>
      </c>
      <c r="M276" s="4">
        <f>(Table1_30[[#This Row],[Likes]]+Table1_30[[#This Row],[Shares]]+Table1_30[[#This Row],[Comments]])/Table1_30[[#This Row],[Impressions]]</f>
        <v>4.2048386891072105E-2</v>
      </c>
    </row>
    <row r="277" spans="1:13" x14ac:dyDescent="0.3">
      <c r="A277" s="3" t="s">
        <v>242</v>
      </c>
      <c r="B277" s="3" t="s">
        <v>22</v>
      </c>
      <c r="C277" s="2">
        <v>45467</v>
      </c>
      <c r="D277" s="3" t="s">
        <v>14</v>
      </c>
      <c r="E277" s="3" t="s">
        <v>50</v>
      </c>
      <c r="F277" s="3">
        <v>6632</v>
      </c>
      <c r="G277" s="3">
        <v>254</v>
      </c>
      <c r="H277" s="3">
        <v>525</v>
      </c>
      <c r="I277" s="3">
        <v>1013</v>
      </c>
      <c r="J277" s="3">
        <v>13838</v>
      </c>
      <c r="K277" s="3">
        <v>180180</v>
      </c>
      <c r="L277" s="3" t="s">
        <v>16</v>
      </c>
      <c r="M277" s="4">
        <f>(Table1_30[[#This Row],[Likes]]+Table1_30[[#This Row],[Shares]]+Table1_30[[#This Row],[Comments]])/Table1_30[[#This Row],[Impressions]]</f>
        <v>4.1131091131091133E-2</v>
      </c>
    </row>
    <row r="278" spans="1:13" x14ac:dyDescent="0.3">
      <c r="A278" s="3" t="s">
        <v>292</v>
      </c>
      <c r="B278" s="3" t="s">
        <v>13</v>
      </c>
      <c r="C278" s="2">
        <v>45917</v>
      </c>
      <c r="D278" s="3" t="s">
        <v>34</v>
      </c>
      <c r="E278" s="3" t="s">
        <v>35</v>
      </c>
      <c r="F278" s="3">
        <v>2117</v>
      </c>
      <c r="G278" s="3">
        <v>1133</v>
      </c>
      <c r="H278" s="3">
        <v>203</v>
      </c>
      <c r="I278" s="3">
        <v>1173</v>
      </c>
      <c r="J278" s="3">
        <v>40125</v>
      </c>
      <c r="K278" s="3">
        <v>85379</v>
      </c>
      <c r="L278" s="3" t="s">
        <v>20</v>
      </c>
      <c r="M278" s="4">
        <f>(Table1_30[[#This Row],[Likes]]+Table1_30[[#This Row],[Shares]]+Table1_30[[#This Row],[Comments]])/Table1_30[[#This Row],[Impressions]]</f>
        <v>4.0443200318579509E-2</v>
      </c>
    </row>
    <row r="279" spans="1:13" x14ac:dyDescent="0.3">
      <c r="A279" s="3" t="s">
        <v>218</v>
      </c>
      <c r="B279" s="3" t="s">
        <v>13</v>
      </c>
      <c r="C279" s="2">
        <v>45504</v>
      </c>
      <c r="D279" s="3" t="s">
        <v>27</v>
      </c>
      <c r="E279" s="3" t="s">
        <v>24</v>
      </c>
      <c r="F279" s="3">
        <v>7122</v>
      </c>
      <c r="G279" s="3">
        <v>628</v>
      </c>
      <c r="H279" s="3">
        <v>757</v>
      </c>
      <c r="I279" s="3">
        <v>2313</v>
      </c>
      <c r="J279" s="3">
        <v>50924</v>
      </c>
      <c r="K279" s="3">
        <v>210954</v>
      </c>
      <c r="L279" s="3" t="s">
        <v>45</v>
      </c>
      <c r="M279" s="4">
        <f>(Table1_30[[#This Row],[Likes]]+Table1_30[[#This Row],[Shares]]+Table1_30[[#This Row],[Comments]])/Table1_30[[#This Row],[Impressions]]</f>
        <v>4.0326327066564277E-2</v>
      </c>
    </row>
    <row r="280" spans="1:13" x14ac:dyDescent="0.3">
      <c r="A280" s="3" t="s">
        <v>114</v>
      </c>
      <c r="B280" s="3" t="s">
        <v>13</v>
      </c>
      <c r="C280" s="2">
        <v>45922</v>
      </c>
      <c r="D280" s="3" t="s">
        <v>27</v>
      </c>
      <c r="E280" s="3" t="s">
        <v>115</v>
      </c>
      <c r="F280" s="3">
        <v>8996</v>
      </c>
      <c r="G280" s="3">
        <v>329</v>
      </c>
      <c r="H280" s="3">
        <v>378</v>
      </c>
      <c r="I280" s="3">
        <v>2384</v>
      </c>
      <c r="J280" s="3">
        <v>39404</v>
      </c>
      <c r="K280" s="3">
        <v>242724</v>
      </c>
      <c r="L280" s="3" t="s">
        <v>20</v>
      </c>
      <c r="M280" s="4">
        <f>(Table1_30[[#This Row],[Likes]]+Table1_30[[#This Row],[Shares]]+Table1_30[[#This Row],[Comments]])/Table1_30[[#This Row],[Impressions]]</f>
        <v>3.9975445361810122E-2</v>
      </c>
    </row>
    <row r="281" spans="1:13" x14ac:dyDescent="0.3">
      <c r="A281" s="3" t="s">
        <v>46</v>
      </c>
      <c r="B281" s="3" t="s">
        <v>13</v>
      </c>
      <c r="C281" s="2">
        <v>45906</v>
      </c>
      <c r="D281" s="3" t="s">
        <v>23</v>
      </c>
      <c r="E281" s="3" t="s">
        <v>37</v>
      </c>
      <c r="F281" s="3">
        <v>7124</v>
      </c>
      <c r="G281" s="3">
        <v>469</v>
      </c>
      <c r="H281" s="3">
        <v>851</v>
      </c>
      <c r="I281" s="3">
        <v>2571</v>
      </c>
      <c r="J281" s="3">
        <v>33802</v>
      </c>
      <c r="K281" s="3">
        <v>216313</v>
      </c>
      <c r="L281" s="3" t="s">
        <v>20</v>
      </c>
      <c r="M281" s="4">
        <f>(Table1_30[[#This Row],[Likes]]+Table1_30[[#This Row],[Shares]]+Table1_30[[#This Row],[Comments]])/Table1_30[[#This Row],[Impressions]]</f>
        <v>3.9036026498638549E-2</v>
      </c>
    </row>
    <row r="282" spans="1:13" x14ac:dyDescent="0.3">
      <c r="A282" s="3" t="s">
        <v>311</v>
      </c>
      <c r="B282" s="3" t="s">
        <v>22</v>
      </c>
      <c r="C282" s="2">
        <v>45509</v>
      </c>
      <c r="D282" s="3" t="s">
        <v>23</v>
      </c>
      <c r="E282" s="3" t="s">
        <v>37</v>
      </c>
      <c r="F282" s="3">
        <v>4048</v>
      </c>
      <c r="G282" s="3">
        <v>751</v>
      </c>
      <c r="H282" s="3">
        <v>930</v>
      </c>
      <c r="I282" s="3">
        <v>1382</v>
      </c>
      <c r="J282" s="3">
        <v>16844</v>
      </c>
      <c r="K282" s="3">
        <v>148177</v>
      </c>
      <c r="L282" s="3" t="s">
        <v>29</v>
      </c>
      <c r="M282" s="4">
        <f>(Table1_30[[#This Row],[Likes]]+Table1_30[[#This Row],[Shares]]+Table1_30[[#This Row],[Comments]])/Table1_30[[#This Row],[Impressions]]</f>
        <v>3.8663220337839206E-2</v>
      </c>
    </row>
    <row r="283" spans="1:13" x14ac:dyDescent="0.3">
      <c r="A283" s="3" t="s">
        <v>177</v>
      </c>
      <c r="B283" s="3" t="s">
        <v>18</v>
      </c>
      <c r="C283" s="2">
        <v>45933</v>
      </c>
      <c r="D283" s="3" t="s">
        <v>14</v>
      </c>
      <c r="E283" s="3" t="s">
        <v>41</v>
      </c>
      <c r="F283" s="3">
        <v>6777</v>
      </c>
      <c r="G283" s="3">
        <v>617</v>
      </c>
      <c r="H283" s="3">
        <v>551</v>
      </c>
      <c r="I283" s="3">
        <v>2109</v>
      </c>
      <c r="J283" s="3">
        <v>18559</v>
      </c>
      <c r="K283" s="3">
        <v>208452</v>
      </c>
      <c r="L283" s="3" t="s">
        <v>20</v>
      </c>
      <c r="M283" s="4">
        <f>(Table1_30[[#This Row],[Likes]]+Table1_30[[#This Row],[Shares]]+Table1_30[[#This Row],[Comments]])/Table1_30[[#This Row],[Impressions]]</f>
        <v>3.8114290100358834E-2</v>
      </c>
    </row>
    <row r="284" spans="1:13" x14ac:dyDescent="0.3">
      <c r="A284" s="3" t="s">
        <v>78</v>
      </c>
      <c r="B284" s="3" t="s">
        <v>40</v>
      </c>
      <c r="C284" s="2">
        <v>45916</v>
      </c>
      <c r="D284" s="3" t="s">
        <v>23</v>
      </c>
      <c r="E284" s="3" t="s">
        <v>64</v>
      </c>
      <c r="F284" s="3">
        <v>6809</v>
      </c>
      <c r="G284" s="3">
        <v>397</v>
      </c>
      <c r="H284" s="3">
        <v>813</v>
      </c>
      <c r="I284" s="3">
        <v>1125</v>
      </c>
      <c r="J284" s="3">
        <v>12206</v>
      </c>
      <c r="K284" s="3">
        <v>218136</v>
      </c>
      <c r="L284" s="3" t="s">
        <v>20</v>
      </c>
      <c r="M284" s="4">
        <f>(Table1_30[[#This Row],[Likes]]+Table1_30[[#This Row],[Shares]]+Table1_30[[#This Row],[Comments]])/Table1_30[[#This Row],[Impressions]]</f>
        <v>3.6761469908680823E-2</v>
      </c>
    </row>
    <row r="285" spans="1:13" x14ac:dyDescent="0.3">
      <c r="A285" s="3" t="s">
        <v>317</v>
      </c>
      <c r="B285" s="3" t="s">
        <v>18</v>
      </c>
      <c r="C285" s="2">
        <v>45738</v>
      </c>
      <c r="D285" s="3" t="s">
        <v>27</v>
      </c>
      <c r="E285" s="3" t="s">
        <v>50</v>
      </c>
      <c r="F285" s="3">
        <v>3917</v>
      </c>
      <c r="G285" s="3">
        <v>865</v>
      </c>
      <c r="H285" s="3">
        <v>759</v>
      </c>
      <c r="I285" s="3">
        <v>2282</v>
      </c>
      <c r="J285" s="3">
        <v>56125</v>
      </c>
      <c r="K285" s="3">
        <v>154014</v>
      </c>
      <c r="L285" s="3" t="s">
        <v>16</v>
      </c>
      <c r="M285" s="4">
        <f>(Table1_30[[#This Row],[Likes]]+Table1_30[[#This Row],[Shares]]+Table1_30[[#This Row],[Comments]])/Table1_30[[#This Row],[Impressions]]</f>
        <v>3.5977248821535704E-2</v>
      </c>
    </row>
    <row r="286" spans="1:13" x14ac:dyDescent="0.3">
      <c r="A286" s="3" t="s">
        <v>316</v>
      </c>
      <c r="B286" s="3" t="s">
        <v>40</v>
      </c>
      <c r="C286" s="2">
        <v>45918</v>
      </c>
      <c r="D286" s="3" t="s">
        <v>27</v>
      </c>
      <c r="E286" s="3" t="s">
        <v>35</v>
      </c>
      <c r="F286" s="3">
        <v>3828</v>
      </c>
      <c r="G286" s="3">
        <v>203</v>
      </c>
      <c r="H286" s="3">
        <v>506</v>
      </c>
      <c r="I286" s="3">
        <v>2440</v>
      </c>
      <c r="J286" s="3">
        <v>63650</v>
      </c>
      <c r="K286" s="3">
        <v>126365</v>
      </c>
      <c r="L286" s="3" t="s">
        <v>20</v>
      </c>
      <c r="M286" s="4">
        <f>(Table1_30[[#This Row],[Likes]]+Table1_30[[#This Row],[Shares]]+Table1_30[[#This Row],[Comments]])/Table1_30[[#This Row],[Impressions]]</f>
        <v>3.5903929094290347E-2</v>
      </c>
    </row>
    <row r="287" spans="1:13" x14ac:dyDescent="0.3">
      <c r="A287" s="3" t="s">
        <v>214</v>
      </c>
      <c r="B287" s="3" t="s">
        <v>13</v>
      </c>
      <c r="C287" s="2">
        <v>45940</v>
      </c>
      <c r="D287" s="3" t="s">
        <v>34</v>
      </c>
      <c r="E287" s="3" t="s">
        <v>24</v>
      </c>
      <c r="F287" s="3">
        <v>6621</v>
      </c>
      <c r="G287" s="3">
        <v>922</v>
      </c>
      <c r="H287" s="3">
        <v>930</v>
      </c>
      <c r="I287" s="3">
        <v>694</v>
      </c>
      <c r="J287" s="3">
        <v>839</v>
      </c>
      <c r="K287" s="3">
        <v>243532</v>
      </c>
      <c r="L287" s="3" t="s">
        <v>20</v>
      </c>
      <c r="M287" s="4">
        <f>(Table1_30[[#This Row],[Likes]]+Table1_30[[#This Row],[Shares]]+Table1_30[[#This Row],[Comments]])/Table1_30[[#This Row],[Impressions]]</f>
        <v>3.479214230573395E-2</v>
      </c>
    </row>
    <row r="288" spans="1:13" x14ac:dyDescent="0.3">
      <c r="A288" s="3" t="s">
        <v>217</v>
      </c>
      <c r="B288" s="3" t="s">
        <v>22</v>
      </c>
      <c r="C288" s="2">
        <v>45942</v>
      </c>
      <c r="D288" s="3" t="s">
        <v>34</v>
      </c>
      <c r="E288" s="3" t="s">
        <v>37</v>
      </c>
      <c r="F288" s="3">
        <v>7126</v>
      </c>
      <c r="G288" s="3">
        <v>484</v>
      </c>
      <c r="H288" s="3">
        <v>565</v>
      </c>
      <c r="I288" s="3">
        <v>573</v>
      </c>
      <c r="J288" s="3">
        <v>7389</v>
      </c>
      <c r="K288" s="3">
        <v>237096</v>
      </c>
      <c r="L288" s="3" t="s">
        <v>20</v>
      </c>
      <c r="M288" s="4">
        <f>(Table1_30[[#This Row],[Likes]]+Table1_30[[#This Row],[Shares]]+Table1_30[[#This Row],[Comments]])/Table1_30[[#This Row],[Impressions]]</f>
        <v>3.4479704423524646E-2</v>
      </c>
    </row>
    <row r="289" spans="1:13" x14ac:dyDescent="0.3">
      <c r="A289" s="3" t="s">
        <v>146</v>
      </c>
      <c r="B289" s="3" t="s">
        <v>13</v>
      </c>
      <c r="C289" s="2">
        <v>45502</v>
      </c>
      <c r="D289" s="3" t="s">
        <v>27</v>
      </c>
      <c r="E289" s="3" t="s">
        <v>37</v>
      </c>
      <c r="F289" s="3">
        <v>6164</v>
      </c>
      <c r="G289" s="3">
        <v>326</v>
      </c>
      <c r="H289" s="3">
        <v>615</v>
      </c>
      <c r="I289" s="3">
        <v>2806</v>
      </c>
      <c r="J289" s="3">
        <v>38579</v>
      </c>
      <c r="K289" s="3">
        <v>206129</v>
      </c>
      <c r="L289" s="3" t="s">
        <v>45</v>
      </c>
      <c r="M289" s="4">
        <f>(Table1_30[[#This Row],[Likes]]+Table1_30[[#This Row],[Shares]]+Table1_30[[#This Row],[Comments]])/Table1_30[[#This Row],[Impressions]]</f>
        <v>3.4468706489625425E-2</v>
      </c>
    </row>
    <row r="290" spans="1:13" x14ac:dyDescent="0.3">
      <c r="A290" s="3" t="s">
        <v>328</v>
      </c>
      <c r="B290" s="3" t="s">
        <v>13</v>
      </c>
      <c r="C290" s="2">
        <v>45613</v>
      </c>
      <c r="D290" s="3" t="s">
        <v>34</v>
      </c>
      <c r="E290" s="3" t="s">
        <v>35</v>
      </c>
      <c r="F290" s="3">
        <v>4219</v>
      </c>
      <c r="G290" s="3">
        <v>240</v>
      </c>
      <c r="H290" s="3">
        <v>670</v>
      </c>
      <c r="I290" s="3">
        <v>815</v>
      </c>
      <c r="J290" s="3">
        <v>11978</v>
      </c>
      <c r="K290" s="3">
        <v>159735</v>
      </c>
      <c r="L290" s="3" t="s">
        <v>29</v>
      </c>
      <c r="M290" s="4">
        <f>(Table1_30[[#This Row],[Likes]]+Table1_30[[#This Row],[Shares]]+Table1_30[[#This Row],[Comments]])/Table1_30[[#This Row],[Impressions]]</f>
        <v>3.2109431245500357E-2</v>
      </c>
    </row>
    <row r="291" spans="1:13" x14ac:dyDescent="0.3">
      <c r="A291" s="3" t="s">
        <v>309</v>
      </c>
      <c r="B291" s="3" t="s">
        <v>18</v>
      </c>
      <c r="C291" s="2">
        <v>45577</v>
      </c>
      <c r="D291" s="3" t="s">
        <v>14</v>
      </c>
      <c r="E291" s="3" t="s">
        <v>115</v>
      </c>
      <c r="F291" s="3">
        <v>6208</v>
      </c>
      <c r="G291" s="3">
        <v>725</v>
      </c>
      <c r="H291" s="3">
        <v>309</v>
      </c>
      <c r="I291" s="3">
        <v>848</v>
      </c>
      <c r="J291" s="3">
        <v>39319</v>
      </c>
      <c r="K291" s="3">
        <v>225763</v>
      </c>
      <c r="L291" s="3" t="s">
        <v>16</v>
      </c>
      <c r="M291" s="4">
        <f>(Table1_30[[#This Row],[Likes]]+Table1_30[[#This Row],[Shares]]+Table1_30[[#This Row],[Comments]])/Table1_30[[#This Row],[Impressions]]</f>
        <v>3.207788698768177E-2</v>
      </c>
    </row>
    <row r="292" spans="1:13" x14ac:dyDescent="0.3">
      <c r="A292" s="3" t="s">
        <v>283</v>
      </c>
      <c r="B292" s="3" t="s">
        <v>22</v>
      </c>
      <c r="C292" s="2">
        <v>45531</v>
      </c>
      <c r="D292" s="3" t="s">
        <v>14</v>
      </c>
      <c r="E292" s="3" t="s">
        <v>64</v>
      </c>
      <c r="F292" s="3">
        <v>6324</v>
      </c>
      <c r="G292" s="3">
        <v>908</v>
      </c>
      <c r="H292" s="3">
        <v>375</v>
      </c>
      <c r="I292" s="3">
        <v>758</v>
      </c>
      <c r="J292" s="3">
        <v>34850</v>
      </c>
      <c r="K292" s="3">
        <v>241039</v>
      </c>
      <c r="L292" s="3" t="s">
        <v>16</v>
      </c>
      <c r="M292" s="4">
        <f>(Table1_30[[#This Row],[Likes]]+Table1_30[[#This Row],[Shares]]+Table1_30[[#This Row],[Comments]])/Table1_30[[#This Row],[Impressions]]</f>
        <v>3.1559208260903839E-2</v>
      </c>
    </row>
    <row r="293" spans="1:13" x14ac:dyDescent="0.3">
      <c r="A293" s="3" t="s">
        <v>209</v>
      </c>
      <c r="B293" s="3" t="s">
        <v>13</v>
      </c>
      <c r="C293" s="2">
        <v>45631</v>
      </c>
      <c r="D293" s="3" t="s">
        <v>23</v>
      </c>
      <c r="E293" s="3" t="s">
        <v>50</v>
      </c>
      <c r="F293" s="3">
        <v>4125</v>
      </c>
      <c r="G293" s="3">
        <v>1364</v>
      </c>
      <c r="H293" s="3">
        <v>319</v>
      </c>
      <c r="I293" s="3">
        <v>2848</v>
      </c>
      <c r="J293" s="3">
        <v>15379</v>
      </c>
      <c r="K293" s="3">
        <v>188159</v>
      </c>
      <c r="L293" s="3" t="s">
        <v>45</v>
      </c>
      <c r="M293" s="4">
        <f>(Table1_30[[#This Row],[Likes]]+Table1_30[[#This Row],[Shares]]+Table1_30[[#This Row],[Comments]])/Table1_30[[#This Row],[Impressions]]</f>
        <v>3.0867510988047343E-2</v>
      </c>
    </row>
    <row r="294" spans="1:13" x14ac:dyDescent="0.3">
      <c r="A294" s="3" t="s">
        <v>229</v>
      </c>
      <c r="B294" s="3" t="s">
        <v>22</v>
      </c>
      <c r="C294" s="2">
        <v>45546</v>
      </c>
      <c r="D294" s="3" t="s">
        <v>14</v>
      </c>
      <c r="E294" s="3" t="s">
        <v>37</v>
      </c>
      <c r="F294" s="3">
        <v>3906</v>
      </c>
      <c r="G294" s="3">
        <v>1187</v>
      </c>
      <c r="H294" s="3">
        <v>589</v>
      </c>
      <c r="I294" s="3">
        <v>401</v>
      </c>
      <c r="J294" s="3">
        <v>52687</v>
      </c>
      <c r="K294" s="3">
        <v>196498</v>
      </c>
      <c r="L294" s="3" t="s">
        <v>16</v>
      </c>
      <c r="M294" s="4">
        <f>(Table1_30[[#This Row],[Likes]]+Table1_30[[#This Row],[Shares]]+Table1_30[[#This Row],[Comments]])/Table1_30[[#This Row],[Impressions]]</f>
        <v>2.8916324848090057E-2</v>
      </c>
    </row>
    <row r="295" spans="1:13" x14ac:dyDescent="0.3">
      <c r="A295" s="3" t="s">
        <v>281</v>
      </c>
      <c r="B295" s="3" t="s">
        <v>13</v>
      </c>
      <c r="C295" s="2">
        <v>45669</v>
      </c>
      <c r="D295" s="3" t="s">
        <v>14</v>
      </c>
      <c r="E295" s="3" t="s">
        <v>28</v>
      </c>
      <c r="F295" s="3">
        <v>4590</v>
      </c>
      <c r="G295" s="3">
        <v>713</v>
      </c>
      <c r="H295" s="3">
        <v>479</v>
      </c>
      <c r="I295" s="3">
        <v>2730</v>
      </c>
      <c r="J295" s="3">
        <v>41050</v>
      </c>
      <c r="K295" s="3">
        <v>204246</v>
      </c>
      <c r="L295" s="3" t="s">
        <v>25</v>
      </c>
      <c r="M295" s="4">
        <f>(Table1_30[[#This Row],[Likes]]+Table1_30[[#This Row],[Shares]]+Table1_30[[#This Row],[Comments]])/Table1_30[[#This Row],[Impressions]]</f>
        <v>2.8308999931455206E-2</v>
      </c>
    </row>
    <row r="296" spans="1:13" x14ac:dyDescent="0.3">
      <c r="A296" s="3" t="s">
        <v>272</v>
      </c>
      <c r="B296" s="3" t="s">
        <v>18</v>
      </c>
      <c r="C296" s="2">
        <v>45523</v>
      </c>
      <c r="D296" s="3" t="s">
        <v>27</v>
      </c>
      <c r="E296" s="3" t="s">
        <v>55</v>
      </c>
      <c r="F296" s="3">
        <v>3605</v>
      </c>
      <c r="G296" s="3">
        <v>206</v>
      </c>
      <c r="H296" s="3">
        <v>921</v>
      </c>
      <c r="I296" s="3">
        <v>852</v>
      </c>
      <c r="J296" s="3">
        <v>11660</v>
      </c>
      <c r="K296" s="3">
        <v>182635</v>
      </c>
      <c r="L296" s="3" t="s">
        <v>29</v>
      </c>
      <c r="M296" s="4">
        <f>(Table1_30[[#This Row],[Likes]]+Table1_30[[#This Row],[Shares]]+Table1_30[[#This Row],[Comments]])/Table1_30[[#This Row],[Impressions]]</f>
        <v>2.590960111698196E-2</v>
      </c>
    </row>
    <row r="297" spans="1:13" x14ac:dyDescent="0.3">
      <c r="A297" s="3" t="s">
        <v>76</v>
      </c>
      <c r="B297" s="3" t="s">
        <v>13</v>
      </c>
      <c r="C297" s="2">
        <v>45915</v>
      </c>
      <c r="D297" s="3" t="s">
        <v>23</v>
      </c>
      <c r="E297" s="3" t="s">
        <v>19</v>
      </c>
      <c r="F297" s="3">
        <v>5636</v>
      </c>
      <c r="G297" s="3">
        <v>303</v>
      </c>
      <c r="H297" s="3">
        <v>204</v>
      </c>
      <c r="I297" s="3">
        <v>2480</v>
      </c>
      <c r="J297" s="3">
        <v>7377</v>
      </c>
      <c r="K297" s="3">
        <v>241207</v>
      </c>
      <c r="L297" s="3" t="s">
        <v>20</v>
      </c>
      <c r="M297" s="4">
        <f>(Table1_30[[#This Row],[Likes]]+Table1_30[[#This Row],[Shares]]+Table1_30[[#This Row],[Comments]])/Table1_30[[#This Row],[Impressions]]</f>
        <v>2.5467751765081443E-2</v>
      </c>
    </row>
    <row r="298" spans="1:13" x14ac:dyDescent="0.3">
      <c r="A298" s="3" t="s">
        <v>113</v>
      </c>
      <c r="B298" s="3" t="s">
        <v>18</v>
      </c>
      <c r="C298" s="2">
        <v>45460</v>
      </c>
      <c r="D298" s="3" t="s">
        <v>14</v>
      </c>
      <c r="E298" s="3" t="s">
        <v>35</v>
      </c>
      <c r="F298" s="3">
        <v>3252</v>
      </c>
      <c r="G298" s="3">
        <v>1043</v>
      </c>
      <c r="H298" s="3">
        <v>647</v>
      </c>
      <c r="I298" s="3">
        <v>1545</v>
      </c>
      <c r="J298" s="3">
        <v>18859</v>
      </c>
      <c r="K298" s="3">
        <v>222958</v>
      </c>
      <c r="L298" s="3" t="s">
        <v>16</v>
      </c>
      <c r="M298" s="4">
        <f>(Table1_30[[#This Row],[Likes]]+Table1_30[[#This Row],[Shares]]+Table1_30[[#This Row],[Comments]])/Table1_30[[#This Row],[Impressions]]</f>
        <v>2.2165609666394567E-2</v>
      </c>
    </row>
    <row r="299" spans="1:13" x14ac:dyDescent="0.3">
      <c r="A299" s="3" t="s">
        <v>224</v>
      </c>
      <c r="B299" s="3" t="s">
        <v>13</v>
      </c>
      <c r="C299" s="2">
        <v>45449</v>
      </c>
      <c r="D299" s="3" t="s">
        <v>34</v>
      </c>
      <c r="E299" s="3" t="s">
        <v>115</v>
      </c>
      <c r="F299" s="3">
        <v>3531</v>
      </c>
      <c r="G299" s="3">
        <v>789</v>
      </c>
      <c r="H299" s="3">
        <v>467</v>
      </c>
      <c r="I299" s="3">
        <v>1867</v>
      </c>
      <c r="J299" s="3">
        <v>40816</v>
      </c>
      <c r="K299" s="3">
        <v>236037</v>
      </c>
      <c r="L299" s="3" t="s">
        <v>25</v>
      </c>
      <c r="M299" s="4">
        <f>(Table1_30[[#This Row],[Likes]]+Table1_30[[#This Row],[Shares]]+Table1_30[[#This Row],[Comments]])/Table1_30[[#This Row],[Impressions]]</f>
        <v>2.0280718700881641E-2</v>
      </c>
    </row>
    <row r="300" spans="1:13" x14ac:dyDescent="0.3">
      <c r="A300" s="3" t="s">
        <v>26</v>
      </c>
      <c r="B300" s="3" t="s">
        <v>13</v>
      </c>
      <c r="C300" s="2">
        <v>45516</v>
      </c>
      <c r="D300" s="3" t="s">
        <v>27</v>
      </c>
      <c r="E300" s="3" t="s">
        <v>28</v>
      </c>
      <c r="F300" s="3">
        <v>3581</v>
      </c>
      <c r="G300" s="3">
        <v>517</v>
      </c>
      <c r="H300" s="3">
        <v>880</v>
      </c>
      <c r="I300" s="3">
        <v>1925</v>
      </c>
      <c r="J300" s="3">
        <v>18636</v>
      </c>
      <c r="K300" s="3">
        <v>248611</v>
      </c>
      <c r="L300" s="3" t="s">
        <v>29</v>
      </c>
      <c r="M300" s="4">
        <f>(Table1_30[[#This Row],[Likes]]+Table1_30[[#This Row],[Shares]]+Table1_30[[#This Row],[Comments]])/Table1_30[[#This Row],[Impressions]]</f>
        <v>2.0023249172401864E-2</v>
      </c>
    </row>
    <row r="301" spans="1:13" x14ac:dyDescent="0.3">
      <c r="A301" s="3" t="s">
        <v>203</v>
      </c>
      <c r="B301" s="3" t="s">
        <v>18</v>
      </c>
      <c r="C301" s="2">
        <v>45624</v>
      </c>
      <c r="D301" s="3" t="s">
        <v>34</v>
      </c>
      <c r="E301" s="3" t="s">
        <v>50</v>
      </c>
      <c r="F301" s="3">
        <v>2302</v>
      </c>
      <c r="G301" s="3">
        <v>347</v>
      </c>
      <c r="H301" s="3">
        <v>642</v>
      </c>
      <c r="I301" s="3">
        <v>2175</v>
      </c>
      <c r="J301" s="3">
        <v>56378</v>
      </c>
      <c r="K301" s="3">
        <v>198056</v>
      </c>
      <c r="L301" s="3" t="s">
        <v>45</v>
      </c>
      <c r="M301" s="4">
        <f>(Table1_30[[#This Row],[Likes]]+Table1_30[[#This Row],[Shares]]+Table1_30[[#This Row],[Comments]])/Table1_30[[#This Row],[Impressions]]</f>
        <v>1.6616512501514722E-2</v>
      </c>
    </row>
    <row r="302" spans="1:13" x14ac:dyDescent="0.3">
      <c r="A302" s="9"/>
      <c r="B302" s="9"/>
      <c r="C302" s="8"/>
      <c r="D302" s="9"/>
      <c r="E302" s="9"/>
      <c r="F302" s="9"/>
      <c r="G302" s="9"/>
      <c r="H302" s="9"/>
      <c r="I302" s="9"/>
      <c r="J302" s="9"/>
      <c r="K302" s="9"/>
      <c r="L302" s="9"/>
      <c r="M302" s="9"/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3CD24-6436-4C67-A628-CD8B244923C6}">
  <dimension ref="A1:H24"/>
  <sheetViews>
    <sheetView tabSelected="1" zoomScale="74" workbookViewId="0">
      <selection activeCell="A4" sqref="A4"/>
    </sheetView>
  </sheetViews>
  <sheetFormatPr defaultRowHeight="14.4" x14ac:dyDescent="0.3"/>
  <cols>
    <col min="1" max="1" width="10.5546875" bestFit="1" customWidth="1"/>
    <col min="2" max="2" width="11.109375" bestFit="1" customWidth="1"/>
    <col min="3" max="3" width="12.44140625" bestFit="1" customWidth="1"/>
    <col min="4" max="4" width="31.109375" bestFit="1" customWidth="1"/>
    <col min="7" max="7" width="9.88671875" customWidth="1"/>
  </cols>
  <sheetData>
    <row r="1" spans="1:8" ht="28.8" x14ac:dyDescent="0.3">
      <c r="D1" s="32" t="s">
        <v>389</v>
      </c>
      <c r="G1" s="31"/>
    </row>
    <row r="2" spans="1:8" x14ac:dyDescent="0.3">
      <c r="F2" s="40"/>
      <c r="G2" s="41" t="s">
        <v>391</v>
      </c>
      <c r="H2" s="40"/>
    </row>
    <row r="3" spans="1:8" x14ac:dyDescent="0.3">
      <c r="A3" s="33"/>
      <c r="B3" s="33" t="s">
        <v>385</v>
      </c>
      <c r="C3" s="33" t="s">
        <v>386</v>
      </c>
      <c r="D3" s="33" t="s">
        <v>387</v>
      </c>
    </row>
    <row r="4" spans="1:8" x14ac:dyDescent="0.3">
      <c r="A4" s="33" t="s">
        <v>34</v>
      </c>
      <c r="B4" s="3">
        <v>2251442</v>
      </c>
      <c r="C4" s="3">
        <v>155628</v>
      </c>
      <c r="D4" s="3">
        <v>101098</v>
      </c>
      <c r="F4" s="42">
        <v>1</v>
      </c>
      <c r="G4" t="s">
        <v>392</v>
      </c>
    </row>
    <row r="5" spans="1:8" x14ac:dyDescent="0.3">
      <c r="A5" s="3" t="s">
        <v>22</v>
      </c>
      <c r="B5" s="3">
        <v>494652</v>
      </c>
      <c r="C5" s="3">
        <v>30544</v>
      </c>
      <c r="D5" s="3">
        <v>24544</v>
      </c>
      <c r="F5" s="42">
        <v>2</v>
      </c>
      <c r="G5" t="s">
        <v>393</v>
      </c>
    </row>
    <row r="6" spans="1:8" x14ac:dyDescent="0.3">
      <c r="A6" s="3" t="s">
        <v>18</v>
      </c>
      <c r="B6" s="3">
        <v>450340</v>
      </c>
      <c r="C6" s="3">
        <v>34985</v>
      </c>
      <c r="D6" s="3">
        <v>22476</v>
      </c>
      <c r="F6" s="42">
        <v>3</v>
      </c>
      <c r="G6" t="s">
        <v>394</v>
      </c>
    </row>
    <row r="7" spans="1:8" x14ac:dyDescent="0.3">
      <c r="A7" s="3" t="s">
        <v>40</v>
      </c>
      <c r="B7" s="3">
        <v>763475</v>
      </c>
      <c r="C7" s="3">
        <v>41158</v>
      </c>
      <c r="D7" s="3">
        <v>27000</v>
      </c>
    </row>
    <row r="8" spans="1:8" x14ac:dyDescent="0.3">
      <c r="A8" s="3" t="s">
        <v>13</v>
      </c>
      <c r="B8" s="3">
        <v>542975</v>
      </c>
      <c r="C8" s="3">
        <v>48941</v>
      </c>
      <c r="D8" s="3">
        <v>27078</v>
      </c>
    </row>
    <row r="9" spans="1:8" x14ac:dyDescent="0.3">
      <c r="A9" s="33" t="s">
        <v>14</v>
      </c>
      <c r="B9" s="3">
        <v>1653566</v>
      </c>
      <c r="C9" s="3">
        <v>105415</v>
      </c>
      <c r="D9" s="3">
        <v>73110</v>
      </c>
    </row>
    <row r="10" spans="1:8" x14ac:dyDescent="0.3">
      <c r="A10" s="3" t="s">
        <v>22</v>
      </c>
      <c r="B10" s="3">
        <v>394233</v>
      </c>
      <c r="C10" s="3">
        <v>33741</v>
      </c>
      <c r="D10" s="3">
        <v>19677</v>
      </c>
    </row>
    <row r="11" spans="1:8" x14ac:dyDescent="0.3">
      <c r="A11" s="3" t="s">
        <v>18</v>
      </c>
      <c r="B11" s="3">
        <v>604302</v>
      </c>
      <c r="C11" s="3">
        <v>38355</v>
      </c>
      <c r="D11" s="3">
        <v>26447</v>
      </c>
    </row>
    <row r="12" spans="1:8" x14ac:dyDescent="0.3">
      <c r="A12" s="3" t="s">
        <v>40</v>
      </c>
      <c r="B12" s="3">
        <v>286840</v>
      </c>
      <c r="C12" s="3">
        <v>14467</v>
      </c>
      <c r="D12" s="3">
        <v>11640</v>
      </c>
    </row>
    <row r="13" spans="1:8" x14ac:dyDescent="0.3">
      <c r="A13" s="3" t="s">
        <v>13</v>
      </c>
      <c r="B13" s="3">
        <v>368191</v>
      </c>
      <c r="C13" s="3">
        <v>18852</v>
      </c>
      <c r="D13" s="3">
        <v>15346</v>
      </c>
    </row>
    <row r="14" spans="1:8" x14ac:dyDescent="0.3">
      <c r="A14" s="33" t="s">
        <v>23</v>
      </c>
      <c r="B14" s="3">
        <v>1764491</v>
      </c>
      <c r="C14" s="3">
        <v>119160</v>
      </c>
      <c r="D14" s="3">
        <v>70897</v>
      </c>
    </row>
    <row r="15" spans="1:8" x14ac:dyDescent="0.3">
      <c r="A15" s="3" t="s">
        <v>22</v>
      </c>
      <c r="B15" s="3">
        <v>409260</v>
      </c>
      <c r="C15" s="3">
        <v>28708</v>
      </c>
      <c r="D15" s="3">
        <v>17688</v>
      </c>
    </row>
    <row r="16" spans="1:8" x14ac:dyDescent="0.3">
      <c r="A16" s="3" t="s">
        <v>18</v>
      </c>
      <c r="B16" s="3">
        <v>549235</v>
      </c>
      <c r="C16" s="3">
        <v>34597</v>
      </c>
      <c r="D16" s="3">
        <v>21790</v>
      </c>
    </row>
    <row r="17" spans="1:4" x14ac:dyDescent="0.3">
      <c r="A17" s="3" t="s">
        <v>40</v>
      </c>
      <c r="B17" s="3">
        <v>469305</v>
      </c>
      <c r="C17" s="3">
        <v>29067</v>
      </c>
      <c r="D17" s="3">
        <v>16683</v>
      </c>
    </row>
    <row r="18" spans="1:4" x14ac:dyDescent="0.3">
      <c r="A18" s="3" t="s">
        <v>13</v>
      </c>
      <c r="B18" s="3">
        <v>336691</v>
      </c>
      <c r="C18" s="3">
        <v>26788</v>
      </c>
      <c r="D18" s="3">
        <v>14736</v>
      </c>
    </row>
    <row r="19" spans="1:4" x14ac:dyDescent="0.3">
      <c r="A19" s="33" t="s">
        <v>27</v>
      </c>
      <c r="B19" s="3">
        <v>2018131</v>
      </c>
      <c r="C19" s="3">
        <v>115620</v>
      </c>
      <c r="D19" s="3">
        <v>79830</v>
      </c>
    </row>
    <row r="20" spans="1:4" x14ac:dyDescent="0.3">
      <c r="A20" s="3" t="s">
        <v>22</v>
      </c>
      <c r="B20" s="3">
        <v>430981</v>
      </c>
      <c r="C20" s="3">
        <v>22943</v>
      </c>
      <c r="D20" s="3">
        <v>13335</v>
      </c>
    </row>
    <row r="21" spans="1:4" x14ac:dyDescent="0.3">
      <c r="A21" s="3" t="s">
        <v>18</v>
      </c>
      <c r="B21" s="3">
        <v>557518</v>
      </c>
      <c r="C21" s="3">
        <v>28472</v>
      </c>
      <c r="D21" s="3">
        <v>23540</v>
      </c>
    </row>
    <row r="22" spans="1:4" x14ac:dyDescent="0.3">
      <c r="A22" s="3" t="s">
        <v>40</v>
      </c>
      <c r="B22" s="3">
        <v>475278</v>
      </c>
      <c r="C22" s="3">
        <v>28325</v>
      </c>
      <c r="D22" s="3">
        <v>18843</v>
      </c>
    </row>
    <row r="23" spans="1:4" x14ac:dyDescent="0.3">
      <c r="A23" s="3" t="s">
        <v>13</v>
      </c>
      <c r="B23" s="3">
        <v>554354</v>
      </c>
      <c r="C23" s="3">
        <v>35880</v>
      </c>
      <c r="D23" s="3">
        <v>24112</v>
      </c>
    </row>
    <row r="24" spans="1:4" x14ac:dyDescent="0.3">
      <c r="A24" s="33" t="s">
        <v>384</v>
      </c>
      <c r="B24" s="33">
        <v>7687630</v>
      </c>
      <c r="C24" s="33">
        <v>495823</v>
      </c>
      <c r="D24" s="33">
        <v>324935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57F10-BBC1-422E-BFF2-DD968F9F5134}">
  <dimension ref="A1:E23"/>
  <sheetViews>
    <sheetView workbookViewId="0">
      <selection activeCell="D13" sqref="D13"/>
    </sheetView>
  </sheetViews>
  <sheetFormatPr defaultRowHeight="14.4" x14ac:dyDescent="0.3"/>
  <cols>
    <col min="1" max="1" width="18.109375" bestFit="1" customWidth="1"/>
    <col min="2" max="2" width="15.33203125" bestFit="1" customWidth="1"/>
    <col min="3" max="3" width="14.33203125" bestFit="1" customWidth="1"/>
    <col min="4" max="4" width="25.5546875" customWidth="1"/>
  </cols>
  <sheetData>
    <row r="1" spans="1:5" x14ac:dyDescent="0.3">
      <c r="C1" s="34"/>
      <c r="D1" s="30" t="s">
        <v>390</v>
      </c>
      <c r="E1" s="34"/>
    </row>
    <row r="3" spans="1:5" x14ac:dyDescent="0.3">
      <c r="A3" s="35" t="s">
        <v>383</v>
      </c>
      <c r="B3" s="25" t="s">
        <v>388</v>
      </c>
    </row>
    <row r="4" spans="1:5" x14ac:dyDescent="0.3">
      <c r="A4" s="36" t="s">
        <v>365</v>
      </c>
      <c r="B4" s="43">
        <v>1811.3103448275863</v>
      </c>
      <c r="D4" s="40" t="s">
        <v>395</v>
      </c>
    </row>
    <row r="5" spans="1:5" x14ac:dyDescent="0.3">
      <c r="A5" s="36" t="s">
        <v>364</v>
      </c>
      <c r="B5" s="43">
        <v>1711.5135135135135</v>
      </c>
    </row>
    <row r="6" spans="1:5" x14ac:dyDescent="0.3">
      <c r="A6" s="36" t="s">
        <v>363</v>
      </c>
      <c r="B6" s="43">
        <v>1711.5135135135135</v>
      </c>
      <c r="D6" t="s">
        <v>396</v>
      </c>
    </row>
    <row r="7" spans="1:5" x14ac:dyDescent="0.3">
      <c r="A7" s="36" t="s">
        <v>367</v>
      </c>
      <c r="B7" s="43">
        <v>1706.76</v>
      </c>
    </row>
    <row r="8" spans="1:5" x14ac:dyDescent="0.3">
      <c r="A8" s="36" t="s">
        <v>355</v>
      </c>
      <c r="B8" s="43">
        <v>1680.3571428571429</v>
      </c>
    </row>
    <row r="9" spans="1:5" x14ac:dyDescent="0.3">
      <c r="A9" s="36" t="s">
        <v>356</v>
      </c>
      <c r="B9" s="43">
        <v>1680.3571428571429</v>
      </c>
    </row>
    <row r="10" spans="1:5" x14ac:dyDescent="0.3">
      <c r="A10" s="36" t="s">
        <v>353</v>
      </c>
      <c r="B10" s="43">
        <v>1674.96</v>
      </c>
    </row>
    <row r="11" spans="1:5" x14ac:dyDescent="0.3">
      <c r="A11" s="36" t="s">
        <v>354</v>
      </c>
      <c r="B11" s="43">
        <v>1674.96</v>
      </c>
    </row>
    <row r="12" spans="1:5" x14ac:dyDescent="0.3">
      <c r="A12" s="36" t="s">
        <v>32</v>
      </c>
      <c r="B12" s="43">
        <v>1662.3414634146341</v>
      </c>
    </row>
    <row r="13" spans="1:5" x14ac:dyDescent="0.3">
      <c r="A13" s="36" t="s">
        <v>359</v>
      </c>
      <c r="B13" s="43">
        <v>1639.2249999999999</v>
      </c>
    </row>
    <row r="14" spans="1:5" x14ac:dyDescent="0.3">
      <c r="A14" s="36" t="s">
        <v>357</v>
      </c>
      <c r="B14" s="43">
        <v>1592.72</v>
      </c>
    </row>
    <row r="15" spans="1:5" x14ac:dyDescent="0.3">
      <c r="A15" s="36" t="s">
        <v>358</v>
      </c>
      <c r="B15" s="43">
        <v>1592.72</v>
      </c>
    </row>
    <row r="16" spans="1:5" x14ac:dyDescent="0.3">
      <c r="A16" s="36" t="s">
        <v>366</v>
      </c>
      <c r="B16" s="43">
        <v>1579.4375</v>
      </c>
    </row>
    <row r="17" spans="1:2" x14ac:dyDescent="0.3">
      <c r="A17" s="36" t="s">
        <v>360</v>
      </c>
      <c r="B17" s="43">
        <v>1477.2631578947369</v>
      </c>
    </row>
    <row r="18" spans="1:2" x14ac:dyDescent="0.3">
      <c r="A18" s="36" t="s">
        <v>362</v>
      </c>
      <c r="B18" s="43">
        <v>1463.2941176470588</v>
      </c>
    </row>
    <row r="19" spans="1:2" x14ac:dyDescent="0.3">
      <c r="A19" s="36" t="s">
        <v>361</v>
      </c>
      <c r="B19" s="43">
        <v>1463.2941176470588</v>
      </c>
    </row>
    <row r="20" spans="1:2" x14ac:dyDescent="0.3">
      <c r="A20" s="36" t="s">
        <v>368</v>
      </c>
      <c r="B20" s="43">
        <v>1459.3076923076924</v>
      </c>
    </row>
    <row r="21" spans="1:2" x14ac:dyDescent="0.3">
      <c r="A21" s="36" t="s">
        <v>369</v>
      </c>
      <c r="B21" s="43">
        <v>1459.3076923076924</v>
      </c>
    </row>
    <row r="22" spans="1:2" x14ac:dyDescent="0.3">
      <c r="A22" s="36" t="s">
        <v>64</v>
      </c>
      <c r="B22" s="43">
        <v>1289.4117647058824</v>
      </c>
    </row>
    <row r="23" spans="1:2" x14ac:dyDescent="0.3">
      <c r="A23" s="36" t="s">
        <v>384</v>
      </c>
      <c r="B23" s="43">
        <v>1616.5837742504409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FEF5F-D552-4AE1-B3A3-D6991E09089F}">
  <dimension ref="A1:Q568"/>
  <sheetViews>
    <sheetView topLeftCell="J1" workbookViewId="0">
      <selection activeCell="O19" sqref="O19"/>
    </sheetView>
  </sheetViews>
  <sheetFormatPr defaultRowHeight="14.4" x14ac:dyDescent="0.3"/>
  <cols>
    <col min="1" max="1" width="10.44140625" style="16" bestFit="1" customWidth="1"/>
    <col min="2" max="2" width="12.5546875" style="16" bestFit="1" customWidth="1"/>
    <col min="3" max="3" width="10.33203125" style="16" bestFit="1" customWidth="1"/>
    <col min="4" max="4" width="17.33203125" style="16" bestFit="1" customWidth="1"/>
    <col min="5" max="5" width="18.109375" style="16" bestFit="1" customWidth="1"/>
    <col min="6" max="6" width="9.109375" style="16" bestFit="1" customWidth="1"/>
    <col min="7" max="7" width="10.77734375" style="16" bestFit="1" customWidth="1"/>
    <col min="8" max="8" width="14.88671875" style="16" bestFit="1" customWidth="1"/>
    <col min="9" max="9" width="10" style="16" bestFit="1" customWidth="1"/>
    <col min="10" max="10" width="10.109375" style="16" bestFit="1" customWidth="1"/>
    <col min="11" max="11" width="16.6640625" style="16" bestFit="1" customWidth="1"/>
    <col min="12" max="12" width="26" style="16" bestFit="1" customWidth="1"/>
    <col min="13" max="13" width="22.88671875" style="16" bestFit="1" customWidth="1"/>
    <col min="14" max="15" width="8.88671875" style="16"/>
    <col min="16" max="16" width="36.21875" style="16" customWidth="1"/>
    <col min="17" max="17" width="15.33203125" style="16" bestFit="1" customWidth="1"/>
    <col min="18" max="16384" width="8.88671875" style="16"/>
  </cols>
  <sheetData>
    <row r="1" spans="1:17" ht="17.399999999999999" x14ac:dyDescent="0.45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375</v>
      </c>
    </row>
    <row r="2" spans="1:17" x14ac:dyDescent="0.3">
      <c r="A2" s="3" t="s">
        <v>118</v>
      </c>
      <c r="B2" s="3" t="s">
        <v>18</v>
      </c>
      <c r="C2" s="2">
        <v>45497</v>
      </c>
      <c r="D2" s="3" t="s">
        <v>27</v>
      </c>
      <c r="E2" s="3" t="s">
        <v>361</v>
      </c>
      <c r="F2" s="3">
        <v>22914</v>
      </c>
      <c r="G2" s="3">
        <v>954</v>
      </c>
      <c r="H2" s="3">
        <v>584</v>
      </c>
      <c r="I2" s="3">
        <v>1519</v>
      </c>
      <c r="J2" s="3">
        <v>13637</v>
      </c>
      <c r="K2" s="3">
        <v>49847</v>
      </c>
      <c r="L2" s="3" t="s">
        <v>16</v>
      </c>
      <c r="M2" s="4">
        <v>0.49054105563022848</v>
      </c>
    </row>
    <row r="3" spans="1:17" x14ac:dyDescent="0.3">
      <c r="A3" s="3" t="s">
        <v>118</v>
      </c>
      <c r="B3" s="3" t="s">
        <v>18</v>
      </c>
      <c r="C3" s="2">
        <v>45497</v>
      </c>
      <c r="D3" s="3" t="s">
        <v>27</v>
      </c>
      <c r="E3" s="3" t="s">
        <v>362</v>
      </c>
      <c r="F3" s="3">
        <v>22914</v>
      </c>
      <c r="G3" s="3">
        <v>954</v>
      </c>
      <c r="H3" s="3">
        <v>584</v>
      </c>
      <c r="I3" s="3">
        <v>1519</v>
      </c>
      <c r="J3" s="3">
        <v>13637</v>
      </c>
      <c r="K3" s="3">
        <v>49847</v>
      </c>
      <c r="L3" s="3" t="s">
        <v>16</v>
      </c>
      <c r="M3" s="4">
        <v>0.49054105563022848</v>
      </c>
    </row>
    <row r="4" spans="1:17" x14ac:dyDescent="0.3">
      <c r="A4" s="3" t="s">
        <v>237</v>
      </c>
      <c r="B4" s="3" t="s">
        <v>13</v>
      </c>
      <c r="C4" s="2">
        <v>45672</v>
      </c>
      <c r="D4" s="3" t="s">
        <v>23</v>
      </c>
      <c r="E4" s="3" t="s">
        <v>32</v>
      </c>
      <c r="F4" s="3">
        <v>20360</v>
      </c>
      <c r="G4" s="3">
        <v>254</v>
      </c>
      <c r="H4" s="3">
        <v>726</v>
      </c>
      <c r="I4" s="3">
        <v>1995</v>
      </c>
      <c r="J4" s="3">
        <v>14280</v>
      </c>
      <c r="K4" s="3">
        <v>43726</v>
      </c>
      <c r="L4" s="3" t="s">
        <v>29</v>
      </c>
      <c r="M4" s="4">
        <v>0.48803915290673738</v>
      </c>
    </row>
    <row r="5" spans="1:17" x14ac:dyDescent="0.3">
      <c r="A5" s="3" t="s">
        <v>157</v>
      </c>
      <c r="B5" s="3" t="s">
        <v>18</v>
      </c>
      <c r="C5" s="2">
        <v>45502</v>
      </c>
      <c r="D5" s="3" t="s">
        <v>27</v>
      </c>
      <c r="E5" s="3" t="s">
        <v>353</v>
      </c>
      <c r="F5" s="3">
        <v>19144</v>
      </c>
      <c r="G5" s="3">
        <v>1182</v>
      </c>
      <c r="H5" s="3">
        <v>860</v>
      </c>
      <c r="I5" s="3">
        <v>1398</v>
      </c>
      <c r="J5" s="3">
        <v>4185</v>
      </c>
      <c r="K5" s="3">
        <v>46570</v>
      </c>
      <c r="L5" s="3" t="s">
        <v>16</v>
      </c>
      <c r="M5" s="4">
        <v>0.454928065278076</v>
      </c>
    </row>
    <row r="6" spans="1:17" x14ac:dyDescent="0.3">
      <c r="A6" s="3" t="s">
        <v>157</v>
      </c>
      <c r="B6" s="3" t="s">
        <v>18</v>
      </c>
      <c r="C6" s="2">
        <v>45502</v>
      </c>
      <c r="D6" s="3" t="s">
        <v>27</v>
      </c>
      <c r="E6" s="3" t="s">
        <v>354</v>
      </c>
      <c r="F6" s="3">
        <v>19144</v>
      </c>
      <c r="G6" s="3">
        <v>1182</v>
      </c>
      <c r="H6" s="3">
        <v>860</v>
      </c>
      <c r="I6" s="3">
        <v>1398</v>
      </c>
      <c r="J6" s="3">
        <v>4185</v>
      </c>
      <c r="K6" s="3">
        <v>46570</v>
      </c>
      <c r="L6" s="3" t="s">
        <v>16</v>
      </c>
      <c r="M6" s="4">
        <v>0.454928065278076</v>
      </c>
      <c r="P6" s="45" t="s">
        <v>4</v>
      </c>
      <c r="Q6" s="45" t="s">
        <v>388</v>
      </c>
    </row>
    <row r="7" spans="1:17" x14ac:dyDescent="0.3">
      <c r="A7" s="3" t="s">
        <v>163</v>
      </c>
      <c r="B7" s="3" t="s">
        <v>40</v>
      </c>
      <c r="C7" s="2">
        <v>45684</v>
      </c>
      <c r="D7" s="3" t="s">
        <v>14</v>
      </c>
      <c r="E7" s="3" t="s">
        <v>359</v>
      </c>
      <c r="F7" s="3">
        <v>24415</v>
      </c>
      <c r="G7" s="3">
        <v>860</v>
      </c>
      <c r="H7" s="3">
        <v>931</v>
      </c>
      <c r="I7" s="3">
        <v>320</v>
      </c>
      <c r="J7" s="3">
        <v>65049</v>
      </c>
      <c r="K7" s="3">
        <v>62911</v>
      </c>
      <c r="L7" s="3" t="s">
        <v>16</v>
      </c>
      <c r="M7" s="4">
        <v>0.41655672298962027</v>
      </c>
      <c r="P7" s="36" t="s">
        <v>365</v>
      </c>
      <c r="Q7" s="43">
        <v>1811.3103448275863</v>
      </c>
    </row>
    <row r="8" spans="1:17" x14ac:dyDescent="0.3">
      <c r="A8" s="3" t="s">
        <v>163</v>
      </c>
      <c r="B8" s="3" t="s">
        <v>40</v>
      </c>
      <c r="C8" s="2">
        <v>45684</v>
      </c>
      <c r="D8" s="3" t="s">
        <v>14</v>
      </c>
      <c r="E8" s="3" t="s">
        <v>366</v>
      </c>
      <c r="F8" s="3">
        <v>24415</v>
      </c>
      <c r="G8" s="3">
        <v>860</v>
      </c>
      <c r="H8" s="3">
        <v>931</v>
      </c>
      <c r="I8" s="3">
        <v>320</v>
      </c>
      <c r="J8" s="3">
        <v>65049</v>
      </c>
      <c r="K8" s="3">
        <v>62911</v>
      </c>
      <c r="L8" s="3" t="s">
        <v>16</v>
      </c>
      <c r="M8" s="4">
        <v>0.41655672298962027</v>
      </c>
      <c r="P8" s="36" t="s">
        <v>364</v>
      </c>
      <c r="Q8" s="43">
        <v>1711.5135135135135</v>
      </c>
    </row>
    <row r="9" spans="1:17" x14ac:dyDescent="0.3">
      <c r="A9" s="3" t="s">
        <v>44</v>
      </c>
      <c r="B9" s="3" t="s">
        <v>13</v>
      </c>
      <c r="C9" s="2">
        <v>45614</v>
      </c>
      <c r="D9" s="3" t="s">
        <v>34</v>
      </c>
      <c r="E9" s="3" t="s">
        <v>361</v>
      </c>
      <c r="F9" s="3">
        <v>21255</v>
      </c>
      <c r="G9" s="3">
        <v>1452</v>
      </c>
      <c r="H9" s="3">
        <v>625</v>
      </c>
      <c r="I9" s="3">
        <v>1624</v>
      </c>
      <c r="J9" s="3">
        <v>21282</v>
      </c>
      <c r="K9" s="3">
        <v>57778</v>
      </c>
      <c r="L9" s="3" t="s">
        <v>45</v>
      </c>
      <c r="M9" s="4">
        <v>0.40382152376337016</v>
      </c>
      <c r="P9" s="36" t="s">
        <v>363</v>
      </c>
      <c r="Q9" s="43">
        <v>1711.5135135135135</v>
      </c>
    </row>
    <row r="10" spans="1:17" x14ac:dyDescent="0.3">
      <c r="A10" s="3" t="s">
        <v>44</v>
      </c>
      <c r="B10" s="3" t="s">
        <v>13</v>
      </c>
      <c r="C10" s="2">
        <v>45614</v>
      </c>
      <c r="D10" s="3" t="s">
        <v>34</v>
      </c>
      <c r="E10" s="3" t="s">
        <v>362</v>
      </c>
      <c r="F10" s="3">
        <v>21255</v>
      </c>
      <c r="G10" s="3">
        <v>1452</v>
      </c>
      <c r="H10" s="3">
        <v>625</v>
      </c>
      <c r="I10" s="3">
        <v>1624</v>
      </c>
      <c r="J10" s="3">
        <v>21282</v>
      </c>
      <c r="K10" s="3">
        <v>57778</v>
      </c>
      <c r="L10" s="3" t="s">
        <v>45</v>
      </c>
      <c r="M10" s="4">
        <v>0.40382152376337016</v>
      </c>
      <c r="P10" s="36" t="s">
        <v>367</v>
      </c>
      <c r="Q10" s="43">
        <v>1706.76</v>
      </c>
    </row>
    <row r="11" spans="1:17" x14ac:dyDescent="0.3">
      <c r="A11" s="3" t="s">
        <v>159</v>
      </c>
      <c r="B11" s="3" t="s">
        <v>40</v>
      </c>
      <c r="C11" s="2">
        <v>45457</v>
      </c>
      <c r="D11" s="3" t="s">
        <v>27</v>
      </c>
      <c r="E11" s="3" t="s">
        <v>359</v>
      </c>
      <c r="F11" s="3">
        <v>17183</v>
      </c>
      <c r="G11" s="3">
        <v>1224</v>
      </c>
      <c r="H11" s="3">
        <v>943</v>
      </c>
      <c r="I11" s="3">
        <v>2010</v>
      </c>
      <c r="J11" s="3">
        <v>21481</v>
      </c>
      <c r="K11" s="3">
        <v>49110</v>
      </c>
      <c r="L11" s="3" t="s">
        <v>25</v>
      </c>
      <c r="M11" s="4">
        <v>0.39401343921808185</v>
      </c>
      <c r="P11" s="36" t="s">
        <v>355</v>
      </c>
      <c r="Q11" s="43">
        <v>1680.3571428571429</v>
      </c>
    </row>
    <row r="12" spans="1:17" x14ac:dyDescent="0.3">
      <c r="A12" s="3" t="s">
        <v>159</v>
      </c>
      <c r="B12" s="3" t="s">
        <v>40</v>
      </c>
      <c r="C12" s="2">
        <v>45457</v>
      </c>
      <c r="D12" s="3" t="s">
        <v>27</v>
      </c>
      <c r="E12" s="3" t="s">
        <v>366</v>
      </c>
      <c r="F12" s="3">
        <v>17183</v>
      </c>
      <c r="G12" s="3">
        <v>1224</v>
      </c>
      <c r="H12" s="3">
        <v>943</v>
      </c>
      <c r="I12" s="3">
        <v>2010</v>
      </c>
      <c r="J12" s="3">
        <v>21481</v>
      </c>
      <c r="K12" s="3">
        <v>49110</v>
      </c>
      <c r="L12" s="3" t="s">
        <v>25</v>
      </c>
      <c r="M12" s="4">
        <v>0.39401343921808185</v>
      </c>
    </row>
    <row r="13" spans="1:17" x14ac:dyDescent="0.3">
      <c r="A13" s="3" t="s">
        <v>323</v>
      </c>
      <c r="B13" s="3" t="s">
        <v>22</v>
      </c>
      <c r="C13" s="2">
        <v>45519</v>
      </c>
      <c r="D13" s="3" t="s">
        <v>27</v>
      </c>
      <c r="E13" s="3" t="s">
        <v>359</v>
      </c>
      <c r="F13" s="3">
        <v>14977</v>
      </c>
      <c r="G13" s="3">
        <v>274</v>
      </c>
      <c r="H13" s="3">
        <v>798</v>
      </c>
      <c r="I13" s="3">
        <v>458</v>
      </c>
      <c r="J13" s="3">
        <v>6636</v>
      </c>
      <c r="K13" s="3">
        <v>43654</v>
      </c>
      <c r="L13" s="3" t="s">
        <v>16</v>
      </c>
      <c r="M13" s="4">
        <v>0.36764099509781462</v>
      </c>
    </row>
    <row r="14" spans="1:17" x14ac:dyDescent="0.3">
      <c r="A14" s="3" t="s">
        <v>323</v>
      </c>
      <c r="B14" s="3" t="s">
        <v>22</v>
      </c>
      <c r="C14" s="2">
        <v>45519</v>
      </c>
      <c r="D14" s="3" t="s">
        <v>27</v>
      </c>
      <c r="E14" s="3" t="s">
        <v>360</v>
      </c>
      <c r="F14" s="3">
        <v>14977</v>
      </c>
      <c r="G14" s="3">
        <v>274</v>
      </c>
      <c r="H14" s="3">
        <v>798</v>
      </c>
      <c r="I14" s="3">
        <v>458</v>
      </c>
      <c r="J14" s="3">
        <v>6636</v>
      </c>
      <c r="K14" s="3">
        <v>43654</v>
      </c>
      <c r="L14" s="3" t="s">
        <v>16</v>
      </c>
      <c r="M14" s="4">
        <v>0.36764099509781462</v>
      </c>
      <c r="P14" s="72" t="s">
        <v>455</v>
      </c>
    </row>
    <row r="15" spans="1:17" x14ac:dyDescent="0.3">
      <c r="A15" s="3" t="s">
        <v>262</v>
      </c>
      <c r="B15" s="3" t="s">
        <v>40</v>
      </c>
      <c r="C15" s="2">
        <v>45908</v>
      </c>
      <c r="D15" s="3" t="s">
        <v>23</v>
      </c>
      <c r="E15" s="3" t="s">
        <v>363</v>
      </c>
      <c r="F15" s="3">
        <v>23785</v>
      </c>
      <c r="G15" s="3">
        <v>1013</v>
      </c>
      <c r="H15" s="3">
        <v>468</v>
      </c>
      <c r="I15" s="3">
        <v>1628</v>
      </c>
      <c r="J15" s="3">
        <v>8272</v>
      </c>
      <c r="K15" s="3">
        <v>71348</v>
      </c>
      <c r="L15" s="3" t="s">
        <v>20</v>
      </c>
      <c r="M15" s="4">
        <v>0.35412345125301342</v>
      </c>
    </row>
    <row r="16" spans="1:17" x14ac:dyDescent="0.3">
      <c r="A16" s="3" t="s">
        <v>262</v>
      </c>
      <c r="B16" s="3" t="s">
        <v>40</v>
      </c>
      <c r="C16" s="2">
        <v>45908</v>
      </c>
      <c r="D16" s="3" t="s">
        <v>23</v>
      </c>
      <c r="E16" s="3" t="s">
        <v>364</v>
      </c>
      <c r="F16" s="3">
        <v>23785</v>
      </c>
      <c r="G16" s="3">
        <v>1013</v>
      </c>
      <c r="H16" s="3">
        <v>468</v>
      </c>
      <c r="I16" s="3">
        <v>1628</v>
      </c>
      <c r="J16" s="3">
        <v>8272</v>
      </c>
      <c r="K16" s="3">
        <v>71348</v>
      </c>
      <c r="L16" s="3" t="s">
        <v>20</v>
      </c>
      <c r="M16" s="4">
        <v>0.35412345125301342</v>
      </c>
    </row>
    <row r="17" spans="1:16" x14ac:dyDescent="0.3">
      <c r="A17" s="3" t="s">
        <v>267</v>
      </c>
      <c r="B17" s="3" t="s">
        <v>40</v>
      </c>
      <c r="C17" s="2">
        <v>45909</v>
      </c>
      <c r="D17" s="3" t="s">
        <v>14</v>
      </c>
      <c r="E17" s="3" t="s">
        <v>361</v>
      </c>
      <c r="F17" s="3">
        <v>19260</v>
      </c>
      <c r="G17" s="3">
        <v>668</v>
      </c>
      <c r="H17" s="3">
        <v>994</v>
      </c>
      <c r="I17" s="3">
        <v>934</v>
      </c>
      <c r="J17" s="3">
        <v>20509</v>
      </c>
      <c r="K17" s="3">
        <v>61636</v>
      </c>
      <c r="L17" s="3" t="s">
        <v>20</v>
      </c>
      <c r="M17" s="4">
        <v>0.33944448049841003</v>
      </c>
      <c r="O17" s="16">
        <v>1</v>
      </c>
      <c r="P17" s="27" t="s">
        <v>456</v>
      </c>
    </row>
    <row r="18" spans="1:16" x14ac:dyDescent="0.3">
      <c r="A18" s="3" t="s">
        <v>267</v>
      </c>
      <c r="B18" s="3" t="s">
        <v>40</v>
      </c>
      <c r="C18" s="2">
        <v>45909</v>
      </c>
      <c r="D18" s="3" t="s">
        <v>14</v>
      </c>
      <c r="E18" s="3" t="s">
        <v>362</v>
      </c>
      <c r="F18" s="3">
        <v>19260</v>
      </c>
      <c r="G18" s="3">
        <v>668</v>
      </c>
      <c r="H18" s="3">
        <v>994</v>
      </c>
      <c r="I18" s="3">
        <v>934</v>
      </c>
      <c r="J18" s="3">
        <v>20509</v>
      </c>
      <c r="K18" s="3">
        <v>61636</v>
      </c>
      <c r="L18" s="3" t="s">
        <v>20</v>
      </c>
      <c r="M18" s="4">
        <v>0.33944448049841003</v>
      </c>
      <c r="O18" s="16">
        <v>2</v>
      </c>
      <c r="P18" s="27" t="s">
        <v>457</v>
      </c>
    </row>
    <row r="19" spans="1:16" x14ac:dyDescent="0.3">
      <c r="A19" s="3" t="s">
        <v>221</v>
      </c>
      <c r="B19" s="3" t="s">
        <v>22</v>
      </c>
      <c r="C19" s="2">
        <v>45668</v>
      </c>
      <c r="D19" s="3" t="s">
        <v>14</v>
      </c>
      <c r="E19" s="3" t="s">
        <v>355</v>
      </c>
      <c r="F19" s="3">
        <v>21181</v>
      </c>
      <c r="G19" s="3">
        <v>1242</v>
      </c>
      <c r="H19" s="3">
        <v>963</v>
      </c>
      <c r="I19" s="3">
        <v>1689</v>
      </c>
      <c r="J19" s="3">
        <v>49329</v>
      </c>
      <c r="K19" s="3">
        <v>69165</v>
      </c>
      <c r="L19" s="3" t="s">
        <v>16</v>
      </c>
      <c r="M19" s="4">
        <v>0.33811899081905589</v>
      </c>
    </row>
    <row r="20" spans="1:16" x14ac:dyDescent="0.3">
      <c r="A20" s="3" t="s">
        <v>221</v>
      </c>
      <c r="B20" s="3" t="s">
        <v>22</v>
      </c>
      <c r="C20" s="2">
        <v>45668</v>
      </c>
      <c r="D20" s="3" t="s">
        <v>14</v>
      </c>
      <c r="E20" s="3" t="s">
        <v>356</v>
      </c>
      <c r="F20" s="3">
        <v>21181</v>
      </c>
      <c r="G20" s="3">
        <v>1242</v>
      </c>
      <c r="H20" s="3">
        <v>963</v>
      </c>
      <c r="I20" s="3">
        <v>1689</v>
      </c>
      <c r="J20" s="3">
        <v>49329</v>
      </c>
      <c r="K20" s="3">
        <v>69165</v>
      </c>
      <c r="L20" s="3" t="s">
        <v>16</v>
      </c>
      <c r="M20" s="4">
        <v>0.33811899081905589</v>
      </c>
    </row>
    <row r="21" spans="1:16" x14ac:dyDescent="0.3">
      <c r="A21" s="3" t="s">
        <v>142</v>
      </c>
      <c r="B21" s="3" t="s">
        <v>40</v>
      </c>
      <c r="C21" s="2">
        <v>45692</v>
      </c>
      <c r="D21" s="3" t="s">
        <v>34</v>
      </c>
      <c r="E21" s="3" t="s">
        <v>363</v>
      </c>
      <c r="F21" s="3">
        <v>23833</v>
      </c>
      <c r="G21" s="3">
        <v>555</v>
      </c>
      <c r="H21" s="3">
        <v>523</v>
      </c>
      <c r="I21" s="3">
        <v>1330</v>
      </c>
      <c r="J21" s="3">
        <v>69141</v>
      </c>
      <c r="K21" s="3">
        <v>73997</v>
      </c>
      <c r="L21" s="3" t="s">
        <v>29</v>
      </c>
      <c r="M21" s="4">
        <v>0.33664878305877266</v>
      </c>
    </row>
    <row r="22" spans="1:16" x14ac:dyDescent="0.3">
      <c r="A22" s="3" t="s">
        <v>142</v>
      </c>
      <c r="B22" s="3" t="s">
        <v>40</v>
      </c>
      <c r="C22" s="2">
        <v>45692</v>
      </c>
      <c r="D22" s="3" t="s">
        <v>34</v>
      </c>
      <c r="E22" s="3" t="s">
        <v>364</v>
      </c>
      <c r="F22" s="3">
        <v>23833</v>
      </c>
      <c r="G22" s="3">
        <v>555</v>
      </c>
      <c r="H22" s="3">
        <v>523</v>
      </c>
      <c r="I22" s="3">
        <v>1330</v>
      </c>
      <c r="J22" s="3">
        <v>69141</v>
      </c>
      <c r="K22" s="3">
        <v>73997</v>
      </c>
      <c r="L22" s="3" t="s">
        <v>29</v>
      </c>
      <c r="M22" s="4">
        <v>0.33664878305877266</v>
      </c>
    </row>
    <row r="23" spans="1:16" x14ac:dyDescent="0.3">
      <c r="A23" s="3" t="s">
        <v>210</v>
      </c>
      <c r="B23" s="3" t="s">
        <v>18</v>
      </c>
      <c r="C23" s="2">
        <v>45465</v>
      </c>
      <c r="D23" s="3" t="s">
        <v>34</v>
      </c>
      <c r="E23" s="3" t="s">
        <v>353</v>
      </c>
      <c r="F23" s="3">
        <v>13479</v>
      </c>
      <c r="G23" s="3">
        <v>1189</v>
      </c>
      <c r="H23" s="3">
        <v>695</v>
      </c>
      <c r="I23" s="3">
        <v>416</v>
      </c>
      <c r="J23" s="3">
        <v>30229</v>
      </c>
      <c r="K23" s="3">
        <v>45704</v>
      </c>
      <c r="L23" s="3" t="s">
        <v>16</v>
      </c>
      <c r="M23" s="4">
        <v>0.33614125678277612</v>
      </c>
    </row>
    <row r="24" spans="1:16" x14ac:dyDescent="0.3">
      <c r="A24" s="3" t="s">
        <v>210</v>
      </c>
      <c r="B24" s="3" t="s">
        <v>18</v>
      </c>
      <c r="C24" s="2">
        <v>45465</v>
      </c>
      <c r="D24" s="3" t="s">
        <v>34</v>
      </c>
      <c r="E24" s="3" t="s">
        <v>354</v>
      </c>
      <c r="F24" s="3">
        <v>13479</v>
      </c>
      <c r="G24" s="3">
        <v>1189</v>
      </c>
      <c r="H24" s="3">
        <v>695</v>
      </c>
      <c r="I24" s="3">
        <v>416</v>
      </c>
      <c r="J24" s="3">
        <v>30229</v>
      </c>
      <c r="K24" s="3">
        <v>45704</v>
      </c>
      <c r="L24" s="3" t="s">
        <v>16</v>
      </c>
      <c r="M24" s="4">
        <v>0.33614125678277612</v>
      </c>
    </row>
    <row r="25" spans="1:16" x14ac:dyDescent="0.3">
      <c r="A25" s="3" t="s">
        <v>290</v>
      </c>
      <c r="B25" s="3" t="s">
        <v>22</v>
      </c>
      <c r="C25" s="2">
        <v>45671</v>
      </c>
      <c r="D25" s="3" t="s">
        <v>34</v>
      </c>
      <c r="E25" s="3" t="s">
        <v>359</v>
      </c>
      <c r="F25" s="3">
        <v>24350</v>
      </c>
      <c r="G25" s="3">
        <v>460</v>
      </c>
      <c r="H25" s="3">
        <v>666</v>
      </c>
      <c r="I25" s="3">
        <v>814</v>
      </c>
      <c r="J25" s="3">
        <v>21120</v>
      </c>
      <c r="K25" s="3">
        <v>76914</v>
      </c>
      <c r="L25" s="3" t="s">
        <v>16</v>
      </c>
      <c r="M25" s="4">
        <v>0.33122708479600593</v>
      </c>
    </row>
    <row r="26" spans="1:16" x14ac:dyDescent="0.3">
      <c r="A26" s="3" t="s">
        <v>290</v>
      </c>
      <c r="B26" s="3" t="s">
        <v>22</v>
      </c>
      <c r="C26" s="2">
        <v>45671</v>
      </c>
      <c r="D26" s="3" t="s">
        <v>34</v>
      </c>
      <c r="E26" s="3" t="s">
        <v>366</v>
      </c>
      <c r="F26" s="3">
        <v>24350</v>
      </c>
      <c r="G26" s="3">
        <v>460</v>
      </c>
      <c r="H26" s="3">
        <v>666</v>
      </c>
      <c r="I26" s="3">
        <v>814</v>
      </c>
      <c r="J26" s="3">
        <v>21120</v>
      </c>
      <c r="K26" s="3">
        <v>76914</v>
      </c>
      <c r="L26" s="3" t="s">
        <v>16</v>
      </c>
      <c r="M26" s="4">
        <v>0.33122708479600593</v>
      </c>
    </row>
    <row r="27" spans="1:16" x14ac:dyDescent="0.3">
      <c r="A27" s="3" t="s">
        <v>259</v>
      </c>
      <c r="B27" s="3" t="s">
        <v>40</v>
      </c>
      <c r="C27" s="2">
        <v>45608</v>
      </c>
      <c r="D27" s="3" t="s">
        <v>27</v>
      </c>
      <c r="E27" s="3" t="s">
        <v>357</v>
      </c>
      <c r="F27" s="3">
        <v>17913</v>
      </c>
      <c r="G27" s="3">
        <v>1311</v>
      </c>
      <c r="H27" s="3">
        <v>859</v>
      </c>
      <c r="I27" s="3">
        <v>405</v>
      </c>
      <c r="J27" s="3">
        <v>59842</v>
      </c>
      <c r="K27" s="3">
        <v>62612</v>
      </c>
      <c r="L27" s="3" t="s">
        <v>25</v>
      </c>
      <c r="M27" s="4">
        <v>0.32075321024723696</v>
      </c>
    </row>
    <row r="28" spans="1:16" x14ac:dyDescent="0.3">
      <c r="A28" s="3" t="s">
        <v>259</v>
      </c>
      <c r="B28" s="3" t="s">
        <v>40</v>
      </c>
      <c r="C28" s="2">
        <v>45608</v>
      </c>
      <c r="D28" s="3" t="s">
        <v>27</v>
      </c>
      <c r="E28" s="3" t="s">
        <v>358</v>
      </c>
      <c r="F28" s="3">
        <v>17913</v>
      </c>
      <c r="G28" s="3">
        <v>1311</v>
      </c>
      <c r="H28" s="3">
        <v>859</v>
      </c>
      <c r="I28" s="3">
        <v>405</v>
      </c>
      <c r="J28" s="3">
        <v>59842</v>
      </c>
      <c r="K28" s="3">
        <v>62612</v>
      </c>
      <c r="L28" s="3" t="s">
        <v>25</v>
      </c>
      <c r="M28" s="4">
        <v>0.32075321024723696</v>
      </c>
    </row>
    <row r="29" spans="1:16" x14ac:dyDescent="0.3">
      <c r="A29" s="3" t="s">
        <v>200</v>
      </c>
      <c r="B29" s="3" t="s">
        <v>18</v>
      </c>
      <c r="C29" s="2">
        <v>45715</v>
      </c>
      <c r="D29" s="3" t="s">
        <v>14</v>
      </c>
      <c r="E29" s="3" t="s">
        <v>355</v>
      </c>
      <c r="F29" s="3">
        <v>16178</v>
      </c>
      <c r="G29" s="3">
        <v>1048</v>
      </c>
      <c r="H29" s="3">
        <v>871</v>
      </c>
      <c r="I29" s="3">
        <v>2553</v>
      </c>
      <c r="J29" s="3">
        <v>39025</v>
      </c>
      <c r="K29" s="3">
        <v>59508</v>
      </c>
      <c r="L29" s="3" t="s">
        <v>16</v>
      </c>
      <c r="M29" s="4">
        <v>0.30411037171472743</v>
      </c>
    </row>
    <row r="30" spans="1:16" x14ac:dyDescent="0.3">
      <c r="A30" s="3" t="s">
        <v>200</v>
      </c>
      <c r="B30" s="3" t="s">
        <v>18</v>
      </c>
      <c r="C30" s="2">
        <v>45715</v>
      </c>
      <c r="D30" s="3" t="s">
        <v>14</v>
      </c>
      <c r="E30" s="3" t="s">
        <v>356</v>
      </c>
      <c r="F30" s="3">
        <v>16178</v>
      </c>
      <c r="G30" s="3">
        <v>1048</v>
      </c>
      <c r="H30" s="3">
        <v>871</v>
      </c>
      <c r="I30" s="3">
        <v>2553</v>
      </c>
      <c r="J30" s="3">
        <v>39025</v>
      </c>
      <c r="K30" s="3">
        <v>59508</v>
      </c>
      <c r="L30" s="3" t="s">
        <v>16</v>
      </c>
      <c r="M30" s="4">
        <v>0.30411037171472743</v>
      </c>
    </row>
    <row r="31" spans="1:16" x14ac:dyDescent="0.3">
      <c r="A31" s="3" t="s">
        <v>187</v>
      </c>
      <c r="B31" s="3" t="s">
        <v>13</v>
      </c>
      <c r="C31" s="2">
        <v>45499</v>
      </c>
      <c r="D31" s="3" t="s">
        <v>27</v>
      </c>
      <c r="E31" s="3" t="s">
        <v>64</v>
      </c>
      <c r="F31" s="3">
        <v>18282</v>
      </c>
      <c r="G31" s="3">
        <v>224</v>
      </c>
      <c r="H31" s="3">
        <v>962</v>
      </c>
      <c r="I31" s="3">
        <v>890</v>
      </c>
      <c r="J31" s="3">
        <v>35105</v>
      </c>
      <c r="K31" s="3">
        <v>64089</v>
      </c>
      <c r="L31" s="3" t="s">
        <v>29</v>
      </c>
      <c r="M31" s="4">
        <v>0.30376507669022768</v>
      </c>
    </row>
    <row r="32" spans="1:16" x14ac:dyDescent="0.3">
      <c r="A32" s="3" t="s">
        <v>176</v>
      </c>
      <c r="B32" s="3" t="s">
        <v>22</v>
      </c>
      <c r="C32" s="2">
        <v>45488</v>
      </c>
      <c r="D32" s="3" t="s">
        <v>23</v>
      </c>
      <c r="E32" s="3" t="s">
        <v>361</v>
      </c>
      <c r="F32" s="3">
        <v>14891</v>
      </c>
      <c r="G32" s="3">
        <v>674</v>
      </c>
      <c r="H32" s="3">
        <v>521</v>
      </c>
      <c r="I32" s="3">
        <v>1091</v>
      </c>
      <c r="J32" s="3">
        <v>18101</v>
      </c>
      <c r="K32" s="3">
        <v>53669</v>
      </c>
      <c r="L32" s="3" t="s">
        <v>16</v>
      </c>
      <c r="M32" s="4">
        <v>0.29972609886526674</v>
      </c>
    </row>
    <row r="33" spans="1:13" x14ac:dyDescent="0.3">
      <c r="A33" s="3" t="s">
        <v>176</v>
      </c>
      <c r="B33" s="3" t="s">
        <v>22</v>
      </c>
      <c r="C33" s="2">
        <v>45488</v>
      </c>
      <c r="D33" s="3" t="s">
        <v>23</v>
      </c>
      <c r="E33" s="3" t="s">
        <v>362</v>
      </c>
      <c r="F33" s="3">
        <v>14891</v>
      </c>
      <c r="G33" s="3">
        <v>674</v>
      </c>
      <c r="H33" s="3">
        <v>521</v>
      </c>
      <c r="I33" s="3">
        <v>1091</v>
      </c>
      <c r="J33" s="3">
        <v>18101</v>
      </c>
      <c r="K33" s="3">
        <v>53669</v>
      </c>
      <c r="L33" s="3" t="s">
        <v>16</v>
      </c>
      <c r="M33" s="4">
        <v>0.29972609886526674</v>
      </c>
    </row>
    <row r="34" spans="1:13" x14ac:dyDescent="0.3">
      <c r="A34" s="3" t="s">
        <v>119</v>
      </c>
      <c r="B34" s="3" t="s">
        <v>22</v>
      </c>
      <c r="C34" s="2">
        <v>45580</v>
      </c>
      <c r="D34" s="3" t="s">
        <v>34</v>
      </c>
      <c r="E34" s="3" t="s">
        <v>32</v>
      </c>
      <c r="F34" s="3">
        <v>17781</v>
      </c>
      <c r="G34" s="3">
        <v>993</v>
      </c>
      <c r="H34" s="3">
        <v>627</v>
      </c>
      <c r="I34" s="3">
        <v>2187</v>
      </c>
      <c r="J34" s="3">
        <v>9609</v>
      </c>
      <c r="K34" s="3">
        <v>66155</v>
      </c>
      <c r="L34" s="3" t="s">
        <v>29</v>
      </c>
      <c r="M34" s="4">
        <v>0.29326581513113142</v>
      </c>
    </row>
    <row r="35" spans="1:13" x14ac:dyDescent="0.3">
      <c r="A35" s="3" t="s">
        <v>232</v>
      </c>
      <c r="B35" s="3" t="s">
        <v>40</v>
      </c>
      <c r="C35" s="2">
        <v>45918</v>
      </c>
      <c r="D35" s="3" t="s">
        <v>23</v>
      </c>
      <c r="E35" s="3" t="s">
        <v>64</v>
      </c>
      <c r="F35" s="3">
        <v>10152</v>
      </c>
      <c r="G35" s="3">
        <v>1445</v>
      </c>
      <c r="H35" s="3">
        <v>526</v>
      </c>
      <c r="I35" s="3">
        <v>513</v>
      </c>
      <c r="J35" s="3">
        <v>18959</v>
      </c>
      <c r="K35" s="3">
        <v>43712</v>
      </c>
      <c r="L35" s="3" t="s">
        <v>20</v>
      </c>
      <c r="M35" s="4">
        <v>0.27733803074670571</v>
      </c>
    </row>
    <row r="36" spans="1:13" x14ac:dyDescent="0.3">
      <c r="A36" s="3" t="s">
        <v>172</v>
      </c>
      <c r="B36" s="3" t="s">
        <v>22</v>
      </c>
      <c r="C36" s="2">
        <v>45932</v>
      </c>
      <c r="D36" s="3" t="s">
        <v>34</v>
      </c>
      <c r="E36" s="3" t="s">
        <v>357</v>
      </c>
      <c r="F36" s="3">
        <v>12161</v>
      </c>
      <c r="G36" s="3">
        <v>736</v>
      </c>
      <c r="H36" s="3">
        <v>876</v>
      </c>
      <c r="I36" s="3">
        <v>1233</v>
      </c>
      <c r="J36" s="3">
        <v>21337</v>
      </c>
      <c r="K36" s="3">
        <v>50225</v>
      </c>
      <c r="L36" s="3" t="s">
        <v>20</v>
      </c>
      <c r="M36" s="4">
        <v>0.27422598307615731</v>
      </c>
    </row>
    <row r="37" spans="1:13" x14ac:dyDescent="0.3">
      <c r="A37" s="3" t="s">
        <v>172</v>
      </c>
      <c r="B37" s="3" t="s">
        <v>22</v>
      </c>
      <c r="C37" s="2">
        <v>45932</v>
      </c>
      <c r="D37" s="3" t="s">
        <v>34</v>
      </c>
      <c r="E37" s="3" t="s">
        <v>358</v>
      </c>
      <c r="F37" s="3">
        <v>12161</v>
      </c>
      <c r="G37" s="3">
        <v>736</v>
      </c>
      <c r="H37" s="3">
        <v>876</v>
      </c>
      <c r="I37" s="3">
        <v>1233</v>
      </c>
      <c r="J37" s="3">
        <v>21337</v>
      </c>
      <c r="K37" s="3">
        <v>50225</v>
      </c>
      <c r="L37" s="3" t="s">
        <v>20</v>
      </c>
      <c r="M37" s="4">
        <v>0.27422598307615731</v>
      </c>
    </row>
    <row r="38" spans="1:13" x14ac:dyDescent="0.3">
      <c r="A38" s="3" t="s">
        <v>30</v>
      </c>
      <c r="B38" s="3" t="s">
        <v>13</v>
      </c>
      <c r="C38" s="2">
        <v>45904</v>
      </c>
      <c r="D38" s="3" t="s">
        <v>27</v>
      </c>
      <c r="E38" s="3" t="s">
        <v>353</v>
      </c>
      <c r="F38" s="3">
        <v>21708</v>
      </c>
      <c r="G38" s="3">
        <v>435</v>
      </c>
      <c r="H38" s="3">
        <v>317</v>
      </c>
      <c r="I38" s="3">
        <v>1213</v>
      </c>
      <c r="J38" s="3">
        <v>70701</v>
      </c>
      <c r="K38" s="3">
        <v>83585</v>
      </c>
      <c r="L38" s="3" t="s">
        <v>20</v>
      </c>
      <c r="M38" s="4">
        <v>0.26870850032900639</v>
      </c>
    </row>
    <row r="39" spans="1:13" x14ac:dyDescent="0.3">
      <c r="A39" s="3" t="s">
        <v>30</v>
      </c>
      <c r="B39" s="3" t="s">
        <v>13</v>
      </c>
      <c r="C39" s="2">
        <v>45904</v>
      </c>
      <c r="D39" s="3" t="s">
        <v>27</v>
      </c>
      <c r="E39" s="3" t="s">
        <v>354</v>
      </c>
      <c r="F39" s="3">
        <v>21708</v>
      </c>
      <c r="G39" s="3">
        <v>435</v>
      </c>
      <c r="H39" s="3">
        <v>317</v>
      </c>
      <c r="I39" s="3">
        <v>1213</v>
      </c>
      <c r="J39" s="3">
        <v>70701</v>
      </c>
      <c r="K39" s="3">
        <v>83585</v>
      </c>
      <c r="L39" s="3" t="s">
        <v>20</v>
      </c>
      <c r="M39" s="4">
        <v>0.26870850032900639</v>
      </c>
    </row>
    <row r="40" spans="1:13" x14ac:dyDescent="0.3">
      <c r="A40" s="3" t="s">
        <v>116</v>
      </c>
      <c r="B40" s="3" t="s">
        <v>18</v>
      </c>
      <c r="C40" s="2">
        <v>45456</v>
      </c>
      <c r="D40" s="3" t="s">
        <v>14</v>
      </c>
      <c r="E40" s="3" t="s">
        <v>353</v>
      </c>
      <c r="F40" s="3">
        <v>14173</v>
      </c>
      <c r="G40" s="3">
        <v>294</v>
      </c>
      <c r="H40" s="3">
        <v>257</v>
      </c>
      <c r="I40" s="3">
        <v>1288</v>
      </c>
      <c r="J40" s="3">
        <v>39466</v>
      </c>
      <c r="K40" s="3">
        <v>55563</v>
      </c>
      <c r="L40" s="3" t="s">
        <v>45</v>
      </c>
      <c r="M40" s="4">
        <v>0.26499649047027696</v>
      </c>
    </row>
    <row r="41" spans="1:13" x14ac:dyDescent="0.3">
      <c r="A41" s="3" t="s">
        <v>116</v>
      </c>
      <c r="B41" s="3" t="s">
        <v>18</v>
      </c>
      <c r="C41" s="2">
        <v>45456</v>
      </c>
      <c r="D41" s="3" t="s">
        <v>14</v>
      </c>
      <c r="E41" s="3" t="s">
        <v>354</v>
      </c>
      <c r="F41" s="3">
        <v>14173</v>
      </c>
      <c r="G41" s="3">
        <v>294</v>
      </c>
      <c r="H41" s="3">
        <v>257</v>
      </c>
      <c r="I41" s="3">
        <v>1288</v>
      </c>
      <c r="J41" s="3">
        <v>39466</v>
      </c>
      <c r="K41" s="3">
        <v>55563</v>
      </c>
      <c r="L41" s="3" t="s">
        <v>45</v>
      </c>
      <c r="M41" s="4">
        <v>0.26499649047027696</v>
      </c>
    </row>
    <row r="42" spans="1:13" x14ac:dyDescent="0.3">
      <c r="A42" s="3" t="s">
        <v>186</v>
      </c>
      <c r="B42" s="3" t="s">
        <v>18</v>
      </c>
      <c r="C42" s="2">
        <v>45526</v>
      </c>
      <c r="D42" s="3" t="s">
        <v>27</v>
      </c>
      <c r="E42" s="3" t="s">
        <v>367</v>
      </c>
      <c r="F42" s="3">
        <v>16124</v>
      </c>
      <c r="G42" s="3">
        <v>863</v>
      </c>
      <c r="H42" s="3">
        <v>337</v>
      </c>
      <c r="I42" s="3">
        <v>819</v>
      </c>
      <c r="J42" s="3">
        <v>85788</v>
      </c>
      <c r="K42" s="3">
        <v>68625</v>
      </c>
      <c r="L42" s="3" t="s">
        <v>29</v>
      </c>
      <c r="M42" s="4">
        <v>0.25244444444444447</v>
      </c>
    </row>
    <row r="43" spans="1:13" x14ac:dyDescent="0.3">
      <c r="A43" s="3" t="s">
        <v>186</v>
      </c>
      <c r="B43" s="3" t="s">
        <v>18</v>
      </c>
      <c r="C43" s="2">
        <v>45526</v>
      </c>
      <c r="D43" s="3" t="s">
        <v>27</v>
      </c>
      <c r="E43" s="3" t="s">
        <v>32</v>
      </c>
      <c r="F43" s="3">
        <v>16124</v>
      </c>
      <c r="G43" s="3">
        <v>863</v>
      </c>
      <c r="H43" s="3">
        <v>337</v>
      </c>
      <c r="I43" s="3">
        <v>819</v>
      </c>
      <c r="J43" s="3">
        <v>85788</v>
      </c>
      <c r="K43" s="3">
        <v>68625</v>
      </c>
      <c r="L43" s="3" t="s">
        <v>29</v>
      </c>
      <c r="M43" s="4">
        <v>0.25244444444444447</v>
      </c>
    </row>
    <row r="44" spans="1:13" x14ac:dyDescent="0.3">
      <c r="A44" s="3" t="s">
        <v>256</v>
      </c>
      <c r="B44" s="3" t="s">
        <v>13</v>
      </c>
      <c r="C44" s="2">
        <v>45445</v>
      </c>
      <c r="D44" s="3" t="s">
        <v>27</v>
      </c>
      <c r="E44" s="3" t="s">
        <v>355</v>
      </c>
      <c r="F44" s="3">
        <v>14199</v>
      </c>
      <c r="G44" s="3">
        <v>1206</v>
      </c>
      <c r="H44" s="3">
        <v>954</v>
      </c>
      <c r="I44" s="3">
        <v>2009</v>
      </c>
      <c r="J44" s="3">
        <v>8</v>
      </c>
      <c r="K44" s="3">
        <v>65537</v>
      </c>
      <c r="L44" s="3" t="s">
        <v>25</v>
      </c>
      <c r="M44" s="4">
        <v>0.24961472145505592</v>
      </c>
    </row>
    <row r="45" spans="1:13" x14ac:dyDescent="0.3">
      <c r="A45" s="3" t="s">
        <v>256</v>
      </c>
      <c r="B45" s="3" t="s">
        <v>13</v>
      </c>
      <c r="C45" s="2">
        <v>45445</v>
      </c>
      <c r="D45" s="3" t="s">
        <v>27</v>
      </c>
      <c r="E45" s="3" t="s">
        <v>356</v>
      </c>
      <c r="F45" s="3">
        <v>14199</v>
      </c>
      <c r="G45" s="3">
        <v>1206</v>
      </c>
      <c r="H45" s="3">
        <v>954</v>
      </c>
      <c r="I45" s="3">
        <v>2009</v>
      </c>
      <c r="J45" s="3">
        <v>8</v>
      </c>
      <c r="K45" s="3">
        <v>65537</v>
      </c>
      <c r="L45" s="3" t="s">
        <v>25</v>
      </c>
      <c r="M45" s="4">
        <v>0.24961472145505592</v>
      </c>
    </row>
    <row r="46" spans="1:13" x14ac:dyDescent="0.3">
      <c r="A46" s="3" t="s">
        <v>54</v>
      </c>
      <c r="B46" s="3" t="s">
        <v>40</v>
      </c>
      <c r="C46" s="2">
        <v>45908</v>
      </c>
      <c r="D46" s="3" t="s">
        <v>34</v>
      </c>
      <c r="E46" s="3" t="s">
        <v>367</v>
      </c>
      <c r="F46" s="3">
        <v>22309</v>
      </c>
      <c r="G46" s="3">
        <v>773</v>
      </c>
      <c r="H46" s="3">
        <v>854</v>
      </c>
      <c r="I46" s="3">
        <v>2387</v>
      </c>
      <c r="J46" s="3">
        <v>72396</v>
      </c>
      <c r="K46" s="3">
        <v>97056</v>
      </c>
      <c r="L46" s="3" t="s">
        <v>20</v>
      </c>
      <c r="M46" s="4">
        <v>0.24662050774810418</v>
      </c>
    </row>
    <row r="47" spans="1:13" x14ac:dyDescent="0.3">
      <c r="A47" s="3" t="s">
        <v>54</v>
      </c>
      <c r="B47" s="3" t="s">
        <v>40</v>
      </c>
      <c r="C47" s="2">
        <v>45908</v>
      </c>
      <c r="D47" s="3" t="s">
        <v>34</v>
      </c>
      <c r="E47" s="3" t="s">
        <v>32</v>
      </c>
      <c r="F47" s="3">
        <v>22309</v>
      </c>
      <c r="G47" s="3">
        <v>773</v>
      </c>
      <c r="H47" s="3">
        <v>854</v>
      </c>
      <c r="I47" s="3">
        <v>2387</v>
      </c>
      <c r="J47" s="3">
        <v>72396</v>
      </c>
      <c r="K47" s="3">
        <v>97056</v>
      </c>
      <c r="L47" s="3" t="s">
        <v>20</v>
      </c>
      <c r="M47" s="4">
        <v>0.24662050774810418</v>
      </c>
    </row>
    <row r="48" spans="1:13" x14ac:dyDescent="0.3">
      <c r="A48" s="3" t="s">
        <v>280</v>
      </c>
      <c r="B48" s="3" t="s">
        <v>22</v>
      </c>
      <c r="C48" s="2">
        <v>45913</v>
      </c>
      <c r="D48" s="3" t="s">
        <v>27</v>
      </c>
      <c r="E48" s="3" t="s">
        <v>367</v>
      </c>
      <c r="F48" s="3">
        <v>15046</v>
      </c>
      <c r="G48" s="3">
        <v>281</v>
      </c>
      <c r="H48" s="3">
        <v>515</v>
      </c>
      <c r="I48" s="3">
        <v>550</v>
      </c>
      <c r="J48" s="3">
        <v>22583</v>
      </c>
      <c r="K48" s="3">
        <v>64596</v>
      </c>
      <c r="L48" s="3" t="s">
        <v>20</v>
      </c>
      <c r="M48" s="4">
        <v>0.24524738373893121</v>
      </c>
    </row>
    <row r="49" spans="1:13" x14ac:dyDescent="0.3">
      <c r="A49" s="3" t="s">
        <v>280</v>
      </c>
      <c r="B49" s="3" t="s">
        <v>22</v>
      </c>
      <c r="C49" s="2">
        <v>45913</v>
      </c>
      <c r="D49" s="3" t="s">
        <v>27</v>
      </c>
      <c r="E49" s="3" t="s">
        <v>32</v>
      </c>
      <c r="F49" s="3">
        <v>15046</v>
      </c>
      <c r="G49" s="3">
        <v>281</v>
      </c>
      <c r="H49" s="3">
        <v>515</v>
      </c>
      <c r="I49" s="3">
        <v>550</v>
      </c>
      <c r="J49" s="3">
        <v>22583</v>
      </c>
      <c r="K49" s="3">
        <v>64596</v>
      </c>
      <c r="L49" s="3" t="s">
        <v>20</v>
      </c>
      <c r="M49" s="4">
        <v>0.24524738373893121</v>
      </c>
    </row>
    <row r="50" spans="1:13" x14ac:dyDescent="0.3">
      <c r="A50" s="3" t="s">
        <v>111</v>
      </c>
      <c r="B50" s="3" t="s">
        <v>40</v>
      </c>
      <c r="C50" s="2">
        <v>45603</v>
      </c>
      <c r="D50" s="3" t="s">
        <v>34</v>
      </c>
      <c r="E50" s="3" t="s">
        <v>32</v>
      </c>
      <c r="F50" s="3">
        <v>17254</v>
      </c>
      <c r="G50" s="3">
        <v>246</v>
      </c>
      <c r="H50" s="3">
        <v>952</v>
      </c>
      <c r="I50" s="3">
        <v>871</v>
      </c>
      <c r="J50" s="3">
        <v>14957</v>
      </c>
      <c r="K50" s="3">
        <v>75946</v>
      </c>
      <c r="L50" s="3" t="s">
        <v>45</v>
      </c>
      <c r="M50" s="4">
        <v>0.24296210465330631</v>
      </c>
    </row>
    <row r="51" spans="1:13" x14ac:dyDescent="0.3">
      <c r="A51" s="3" t="s">
        <v>252</v>
      </c>
      <c r="B51" s="3" t="s">
        <v>22</v>
      </c>
      <c r="C51" s="2">
        <v>45502</v>
      </c>
      <c r="D51" s="3" t="s">
        <v>23</v>
      </c>
      <c r="E51" s="3" t="s">
        <v>353</v>
      </c>
      <c r="F51" s="3">
        <v>22590</v>
      </c>
      <c r="G51" s="3">
        <v>1462</v>
      </c>
      <c r="H51" s="3">
        <v>966</v>
      </c>
      <c r="I51" s="3">
        <v>2463</v>
      </c>
      <c r="J51" s="3">
        <v>29689</v>
      </c>
      <c r="K51" s="3">
        <v>103449</v>
      </c>
      <c r="L51" s="3" t="s">
        <v>25</v>
      </c>
      <c r="M51" s="4">
        <v>0.24183897379385011</v>
      </c>
    </row>
    <row r="52" spans="1:13" x14ac:dyDescent="0.3">
      <c r="A52" s="3" t="s">
        <v>252</v>
      </c>
      <c r="B52" s="3" t="s">
        <v>22</v>
      </c>
      <c r="C52" s="2">
        <v>45502</v>
      </c>
      <c r="D52" s="3" t="s">
        <v>23</v>
      </c>
      <c r="E52" s="3" t="s">
        <v>354</v>
      </c>
      <c r="F52" s="3">
        <v>22590</v>
      </c>
      <c r="G52" s="3">
        <v>1462</v>
      </c>
      <c r="H52" s="3">
        <v>966</v>
      </c>
      <c r="I52" s="3">
        <v>2463</v>
      </c>
      <c r="J52" s="3">
        <v>29689</v>
      </c>
      <c r="K52" s="3">
        <v>103449</v>
      </c>
      <c r="L52" s="3" t="s">
        <v>25</v>
      </c>
      <c r="M52" s="4">
        <v>0.24183897379385011</v>
      </c>
    </row>
    <row r="53" spans="1:13" x14ac:dyDescent="0.3">
      <c r="A53" s="3" t="s">
        <v>86</v>
      </c>
      <c r="B53" s="3" t="s">
        <v>13</v>
      </c>
      <c r="C53" s="2">
        <v>45456</v>
      </c>
      <c r="D53" s="3" t="s">
        <v>34</v>
      </c>
      <c r="E53" s="3" t="s">
        <v>363</v>
      </c>
      <c r="F53" s="3">
        <v>23164</v>
      </c>
      <c r="G53" s="3">
        <v>1122</v>
      </c>
      <c r="H53" s="3">
        <v>900</v>
      </c>
      <c r="I53" s="3">
        <v>888</v>
      </c>
      <c r="J53" s="3">
        <v>36938</v>
      </c>
      <c r="K53" s="3">
        <v>104674</v>
      </c>
      <c r="L53" s="3" t="s">
        <v>16</v>
      </c>
      <c r="M53" s="4">
        <v>0.24061371496264594</v>
      </c>
    </row>
    <row r="54" spans="1:13" x14ac:dyDescent="0.3">
      <c r="A54" s="3" t="s">
        <v>86</v>
      </c>
      <c r="B54" s="3" t="s">
        <v>13</v>
      </c>
      <c r="C54" s="2">
        <v>45456</v>
      </c>
      <c r="D54" s="3" t="s">
        <v>34</v>
      </c>
      <c r="E54" s="3" t="s">
        <v>364</v>
      </c>
      <c r="F54" s="3">
        <v>23164</v>
      </c>
      <c r="G54" s="3">
        <v>1122</v>
      </c>
      <c r="H54" s="3">
        <v>900</v>
      </c>
      <c r="I54" s="3">
        <v>888</v>
      </c>
      <c r="J54" s="3">
        <v>36938</v>
      </c>
      <c r="K54" s="3">
        <v>104674</v>
      </c>
      <c r="L54" s="3" t="s">
        <v>16</v>
      </c>
      <c r="M54" s="4">
        <v>0.24061371496264594</v>
      </c>
    </row>
    <row r="55" spans="1:13" x14ac:dyDescent="0.3">
      <c r="A55" s="3" t="s">
        <v>31</v>
      </c>
      <c r="B55" s="3" t="s">
        <v>18</v>
      </c>
      <c r="C55" s="2">
        <v>45905</v>
      </c>
      <c r="D55" s="3" t="s">
        <v>14</v>
      </c>
      <c r="E55" s="3" t="s">
        <v>32</v>
      </c>
      <c r="F55" s="3">
        <v>14677</v>
      </c>
      <c r="G55" s="3">
        <v>533</v>
      </c>
      <c r="H55" s="3">
        <v>759</v>
      </c>
      <c r="I55" s="3">
        <v>753</v>
      </c>
      <c r="J55" s="3">
        <v>23275</v>
      </c>
      <c r="K55" s="3">
        <v>66958</v>
      </c>
      <c r="L55" s="3" t="s">
        <v>20</v>
      </c>
      <c r="M55" s="4">
        <v>0.23849278652289496</v>
      </c>
    </row>
    <row r="56" spans="1:13" x14ac:dyDescent="0.3">
      <c r="A56" s="3" t="s">
        <v>325</v>
      </c>
      <c r="B56" s="3" t="s">
        <v>22</v>
      </c>
      <c r="C56" s="2">
        <v>45624</v>
      </c>
      <c r="D56" s="3" t="s">
        <v>34</v>
      </c>
      <c r="E56" s="3" t="s">
        <v>361</v>
      </c>
      <c r="F56" s="3">
        <v>18644</v>
      </c>
      <c r="G56" s="3">
        <v>1369</v>
      </c>
      <c r="H56" s="3">
        <v>887</v>
      </c>
      <c r="I56" s="3">
        <v>1256</v>
      </c>
      <c r="J56" s="3">
        <v>43415</v>
      </c>
      <c r="K56" s="3">
        <v>88368</v>
      </c>
      <c r="L56" s="3" t="s">
        <v>25</v>
      </c>
      <c r="M56" s="4">
        <v>0.23651095419156257</v>
      </c>
    </row>
    <row r="57" spans="1:13" x14ac:dyDescent="0.3">
      <c r="A57" s="3" t="s">
        <v>325</v>
      </c>
      <c r="B57" s="3" t="s">
        <v>22</v>
      </c>
      <c r="C57" s="2">
        <v>45624</v>
      </c>
      <c r="D57" s="3" t="s">
        <v>34</v>
      </c>
      <c r="E57" s="3" t="s">
        <v>362</v>
      </c>
      <c r="F57" s="3">
        <v>18644</v>
      </c>
      <c r="G57" s="3">
        <v>1369</v>
      </c>
      <c r="H57" s="3">
        <v>887</v>
      </c>
      <c r="I57" s="3">
        <v>1256</v>
      </c>
      <c r="J57" s="3">
        <v>43415</v>
      </c>
      <c r="K57" s="3">
        <v>88368</v>
      </c>
      <c r="L57" s="3" t="s">
        <v>25</v>
      </c>
      <c r="M57" s="4">
        <v>0.23651095419156257</v>
      </c>
    </row>
    <row r="58" spans="1:13" x14ac:dyDescent="0.3">
      <c r="A58" s="3" t="s">
        <v>222</v>
      </c>
      <c r="B58" s="3" t="s">
        <v>22</v>
      </c>
      <c r="C58" s="2">
        <v>45528</v>
      </c>
      <c r="D58" s="3" t="s">
        <v>27</v>
      </c>
      <c r="E58" s="3" t="s">
        <v>357</v>
      </c>
      <c r="F58" s="3">
        <v>24890</v>
      </c>
      <c r="G58" s="3">
        <v>217</v>
      </c>
      <c r="H58" s="3">
        <v>178</v>
      </c>
      <c r="I58" s="3">
        <v>906</v>
      </c>
      <c r="J58" s="3">
        <v>54826</v>
      </c>
      <c r="K58" s="3">
        <v>107203</v>
      </c>
      <c r="L58" s="3" t="s">
        <v>25</v>
      </c>
      <c r="M58" s="4">
        <v>0.23586093672751696</v>
      </c>
    </row>
    <row r="59" spans="1:13" x14ac:dyDescent="0.3">
      <c r="A59" s="3" t="s">
        <v>222</v>
      </c>
      <c r="B59" s="3" t="s">
        <v>22</v>
      </c>
      <c r="C59" s="2">
        <v>45528</v>
      </c>
      <c r="D59" s="3" t="s">
        <v>27</v>
      </c>
      <c r="E59" s="3" t="s">
        <v>358</v>
      </c>
      <c r="F59" s="3">
        <v>24890</v>
      </c>
      <c r="G59" s="3">
        <v>217</v>
      </c>
      <c r="H59" s="3">
        <v>178</v>
      </c>
      <c r="I59" s="3">
        <v>906</v>
      </c>
      <c r="J59" s="3">
        <v>54826</v>
      </c>
      <c r="K59" s="3">
        <v>107203</v>
      </c>
      <c r="L59" s="3" t="s">
        <v>25</v>
      </c>
      <c r="M59" s="4">
        <v>0.23586093672751696</v>
      </c>
    </row>
    <row r="60" spans="1:13" x14ac:dyDescent="0.3">
      <c r="A60" s="3" t="s">
        <v>96</v>
      </c>
      <c r="B60" s="3" t="s">
        <v>13</v>
      </c>
      <c r="C60" s="2">
        <v>45540</v>
      </c>
      <c r="D60" s="3" t="s">
        <v>34</v>
      </c>
      <c r="E60" s="3" t="s">
        <v>64</v>
      </c>
      <c r="F60" s="3">
        <v>16489</v>
      </c>
      <c r="G60" s="3">
        <v>395</v>
      </c>
      <c r="H60" s="3">
        <v>350</v>
      </c>
      <c r="I60" s="3">
        <v>2364</v>
      </c>
      <c r="J60" s="3">
        <v>43239</v>
      </c>
      <c r="K60" s="3">
        <v>73397</v>
      </c>
      <c r="L60" s="3" t="s">
        <v>45</v>
      </c>
      <c r="M60" s="4">
        <v>0.23480523727127811</v>
      </c>
    </row>
    <row r="61" spans="1:13" x14ac:dyDescent="0.3">
      <c r="A61" s="3" t="s">
        <v>322</v>
      </c>
      <c r="B61" s="3" t="s">
        <v>13</v>
      </c>
      <c r="C61" s="2">
        <v>45919</v>
      </c>
      <c r="D61" s="3" t="s">
        <v>23</v>
      </c>
      <c r="E61" s="3" t="s">
        <v>363</v>
      </c>
      <c r="F61" s="3">
        <v>22128</v>
      </c>
      <c r="G61" s="3">
        <v>1004</v>
      </c>
      <c r="H61" s="3">
        <v>690</v>
      </c>
      <c r="I61" s="3">
        <v>2048</v>
      </c>
      <c r="J61" s="3">
        <v>19443</v>
      </c>
      <c r="K61" s="3">
        <v>103646</v>
      </c>
      <c r="L61" s="3" t="s">
        <v>20</v>
      </c>
      <c r="M61" s="4">
        <v>0.22984003241803833</v>
      </c>
    </row>
    <row r="62" spans="1:13" x14ac:dyDescent="0.3">
      <c r="A62" s="3" t="s">
        <v>322</v>
      </c>
      <c r="B62" s="3" t="s">
        <v>13</v>
      </c>
      <c r="C62" s="2">
        <v>45919</v>
      </c>
      <c r="D62" s="3" t="s">
        <v>23</v>
      </c>
      <c r="E62" s="3" t="s">
        <v>364</v>
      </c>
      <c r="F62" s="3">
        <v>22128</v>
      </c>
      <c r="G62" s="3">
        <v>1004</v>
      </c>
      <c r="H62" s="3">
        <v>690</v>
      </c>
      <c r="I62" s="3">
        <v>2048</v>
      </c>
      <c r="J62" s="3">
        <v>19443</v>
      </c>
      <c r="K62" s="3">
        <v>103646</v>
      </c>
      <c r="L62" s="3" t="s">
        <v>20</v>
      </c>
      <c r="M62" s="4">
        <v>0.22984003241803833</v>
      </c>
    </row>
    <row r="63" spans="1:13" x14ac:dyDescent="0.3">
      <c r="A63" s="3" t="s">
        <v>141</v>
      </c>
      <c r="B63" s="3" t="s">
        <v>40</v>
      </c>
      <c r="C63" s="2">
        <v>45457</v>
      </c>
      <c r="D63" s="3" t="s">
        <v>34</v>
      </c>
      <c r="E63" s="3" t="s">
        <v>365</v>
      </c>
      <c r="F63" s="3">
        <v>21856</v>
      </c>
      <c r="G63" s="3">
        <v>1203</v>
      </c>
      <c r="H63" s="3">
        <v>634</v>
      </c>
      <c r="I63" s="3">
        <v>2807</v>
      </c>
      <c r="J63" s="3">
        <v>3647</v>
      </c>
      <c r="K63" s="3">
        <v>104178</v>
      </c>
      <c r="L63" s="3" t="s">
        <v>29</v>
      </c>
      <c r="M63" s="4">
        <v>0.22742805582752595</v>
      </c>
    </row>
    <row r="64" spans="1:13" x14ac:dyDescent="0.3">
      <c r="A64" s="3" t="s">
        <v>141</v>
      </c>
      <c r="B64" s="3" t="s">
        <v>40</v>
      </c>
      <c r="C64" s="2">
        <v>45457</v>
      </c>
      <c r="D64" s="3" t="s">
        <v>34</v>
      </c>
      <c r="E64" s="3" t="s">
        <v>359</v>
      </c>
      <c r="F64" s="3">
        <v>21856</v>
      </c>
      <c r="G64" s="3">
        <v>1203</v>
      </c>
      <c r="H64" s="3">
        <v>634</v>
      </c>
      <c r="I64" s="3">
        <v>2807</v>
      </c>
      <c r="J64" s="3">
        <v>3647</v>
      </c>
      <c r="K64" s="3">
        <v>104178</v>
      </c>
      <c r="L64" s="3" t="s">
        <v>29</v>
      </c>
      <c r="M64" s="4">
        <v>0.22742805582752595</v>
      </c>
    </row>
    <row r="65" spans="1:13" x14ac:dyDescent="0.3">
      <c r="A65" s="3" t="s">
        <v>155</v>
      </c>
      <c r="B65" s="3" t="s">
        <v>18</v>
      </c>
      <c r="C65" s="2">
        <v>45695</v>
      </c>
      <c r="D65" s="3" t="s">
        <v>34</v>
      </c>
      <c r="E65" s="3" t="s">
        <v>368</v>
      </c>
      <c r="F65" s="3">
        <v>20290</v>
      </c>
      <c r="G65" s="3">
        <v>619</v>
      </c>
      <c r="H65" s="3">
        <v>927</v>
      </c>
      <c r="I65" s="3">
        <v>1186</v>
      </c>
      <c r="J65" s="3">
        <v>8924</v>
      </c>
      <c r="K65" s="3">
        <v>96503</v>
      </c>
      <c r="L65" s="3" t="s">
        <v>45</v>
      </c>
      <c r="M65" s="4">
        <v>0.22627275835984373</v>
      </c>
    </row>
    <row r="66" spans="1:13" x14ac:dyDescent="0.3">
      <c r="A66" s="3" t="s">
        <v>155</v>
      </c>
      <c r="B66" s="3" t="s">
        <v>18</v>
      </c>
      <c r="C66" s="2">
        <v>45695</v>
      </c>
      <c r="D66" s="3" t="s">
        <v>34</v>
      </c>
      <c r="E66" s="3" t="s">
        <v>369</v>
      </c>
      <c r="F66" s="3">
        <v>20290</v>
      </c>
      <c r="G66" s="3">
        <v>619</v>
      </c>
      <c r="H66" s="3">
        <v>927</v>
      </c>
      <c r="I66" s="3">
        <v>1186</v>
      </c>
      <c r="J66" s="3">
        <v>8924</v>
      </c>
      <c r="K66" s="3">
        <v>96503</v>
      </c>
      <c r="L66" s="3" t="s">
        <v>45</v>
      </c>
      <c r="M66" s="4">
        <v>0.22627275835984373</v>
      </c>
    </row>
    <row r="67" spans="1:13" x14ac:dyDescent="0.3">
      <c r="A67" s="3" t="s">
        <v>206</v>
      </c>
      <c r="B67" s="3" t="s">
        <v>40</v>
      </c>
      <c r="C67" s="2">
        <v>45775</v>
      </c>
      <c r="D67" s="3" t="s">
        <v>34</v>
      </c>
      <c r="E67" s="3" t="s">
        <v>367</v>
      </c>
      <c r="F67" s="3">
        <v>15013</v>
      </c>
      <c r="G67" s="3">
        <v>1286</v>
      </c>
      <c r="H67" s="3">
        <v>599</v>
      </c>
      <c r="I67" s="3">
        <v>2001</v>
      </c>
      <c r="J67" s="3">
        <v>67839</v>
      </c>
      <c r="K67" s="3">
        <v>76059</v>
      </c>
      <c r="L67" s="3" t="s">
        <v>16</v>
      </c>
      <c r="M67" s="4">
        <v>0.22216963147030594</v>
      </c>
    </row>
    <row r="68" spans="1:13" x14ac:dyDescent="0.3">
      <c r="A68" s="3" t="s">
        <v>206</v>
      </c>
      <c r="B68" s="3" t="s">
        <v>40</v>
      </c>
      <c r="C68" s="2">
        <v>45775</v>
      </c>
      <c r="D68" s="3" t="s">
        <v>34</v>
      </c>
      <c r="E68" s="3" t="s">
        <v>32</v>
      </c>
      <c r="F68" s="3">
        <v>15013</v>
      </c>
      <c r="G68" s="3">
        <v>1286</v>
      </c>
      <c r="H68" s="3">
        <v>599</v>
      </c>
      <c r="I68" s="3">
        <v>2001</v>
      </c>
      <c r="J68" s="3">
        <v>67839</v>
      </c>
      <c r="K68" s="3">
        <v>76059</v>
      </c>
      <c r="L68" s="3" t="s">
        <v>16</v>
      </c>
      <c r="M68" s="4">
        <v>0.22216963147030594</v>
      </c>
    </row>
    <row r="69" spans="1:13" x14ac:dyDescent="0.3">
      <c r="A69" s="3" t="s">
        <v>81</v>
      </c>
      <c r="B69" s="3" t="s">
        <v>18</v>
      </c>
      <c r="C69" s="2">
        <v>45779</v>
      </c>
      <c r="D69" s="3" t="s">
        <v>23</v>
      </c>
      <c r="E69" s="3" t="s">
        <v>359</v>
      </c>
      <c r="F69" s="3">
        <v>17444</v>
      </c>
      <c r="G69" s="3">
        <v>1402</v>
      </c>
      <c r="H69" s="3">
        <v>218</v>
      </c>
      <c r="I69" s="3">
        <v>725</v>
      </c>
      <c r="J69" s="3">
        <v>8710</v>
      </c>
      <c r="K69" s="3">
        <v>85893</v>
      </c>
      <c r="L69" s="3" t="s">
        <v>45</v>
      </c>
      <c r="M69" s="4">
        <v>0.22195056640238436</v>
      </c>
    </row>
    <row r="70" spans="1:13" x14ac:dyDescent="0.3">
      <c r="A70" s="3" t="s">
        <v>81</v>
      </c>
      <c r="B70" s="3" t="s">
        <v>18</v>
      </c>
      <c r="C70" s="2">
        <v>45779</v>
      </c>
      <c r="D70" s="3" t="s">
        <v>23</v>
      </c>
      <c r="E70" s="3" t="s">
        <v>366</v>
      </c>
      <c r="F70" s="3">
        <v>17444</v>
      </c>
      <c r="G70" s="3">
        <v>1402</v>
      </c>
      <c r="H70" s="3">
        <v>218</v>
      </c>
      <c r="I70" s="3">
        <v>725</v>
      </c>
      <c r="J70" s="3">
        <v>8710</v>
      </c>
      <c r="K70" s="3">
        <v>85893</v>
      </c>
      <c r="L70" s="3" t="s">
        <v>45</v>
      </c>
      <c r="M70" s="4">
        <v>0.22195056640238436</v>
      </c>
    </row>
    <row r="71" spans="1:13" x14ac:dyDescent="0.3">
      <c r="A71" s="3" t="s">
        <v>223</v>
      </c>
      <c r="B71" s="3" t="s">
        <v>40</v>
      </c>
      <c r="C71" s="2">
        <v>45648</v>
      </c>
      <c r="D71" s="3" t="s">
        <v>23</v>
      </c>
      <c r="E71" s="3" t="s">
        <v>368</v>
      </c>
      <c r="F71" s="3">
        <v>7870</v>
      </c>
      <c r="G71" s="3">
        <v>968</v>
      </c>
      <c r="H71" s="3">
        <v>626</v>
      </c>
      <c r="I71" s="3">
        <v>465</v>
      </c>
      <c r="J71" s="3">
        <v>27184</v>
      </c>
      <c r="K71" s="3">
        <v>44114</v>
      </c>
      <c r="L71" s="3" t="s">
        <v>45</v>
      </c>
      <c r="M71" s="4">
        <v>0.2145350682323072</v>
      </c>
    </row>
    <row r="72" spans="1:13" x14ac:dyDescent="0.3">
      <c r="A72" s="3" t="s">
        <v>223</v>
      </c>
      <c r="B72" s="3" t="s">
        <v>40</v>
      </c>
      <c r="C72" s="2">
        <v>45648</v>
      </c>
      <c r="D72" s="3" t="s">
        <v>23</v>
      </c>
      <c r="E72" s="3" t="s">
        <v>369</v>
      </c>
      <c r="F72" s="3">
        <v>7870</v>
      </c>
      <c r="G72" s="3">
        <v>968</v>
      </c>
      <c r="H72" s="3">
        <v>626</v>
      </c>
      <c r="I72" s="3">
        <v>465</v>
      </c>
      <c r="J72" s="3">
        <v>27184</v>
      </c>
      <c r="K72" s="3">
        <v>44114</v>
      </c>
      <c r="L72" s="3" t="s">
        <v>45</v>
      </c>
      <c r="M72" s="4">
        <v>0.2145350682323072</v>
      </c>
    </row>
    <row r="73" spans="1:13" x14ac:dyDescent="0.3">
      <c r="A73" s="3" t="s">
        <v>226</v>
      </c>
      <c r="B73" s="3" t="s">
        <v>40</v>
      </c>
      <c r="C73" s="2">
        <v>45569</v>
      </c>
      <c r="D73" s="3" t="s">
        <v>14</v>
      </c>
      <c r="E73" s="3" t="s">
        <v>361</v>
      </c>
      <c r="F73" s="3">
        <v>21729</v>
      </c>
      <c r="G73" s="3">
        <v>1209</v>
      </c>
      <c r="H73" s="3">
        <v>897</v>
      </c>
      <c r="I73" s="3">
        <v>1624</v>
      </c>
      <c r="J73" s="3">
        <v>38771</v>
      </c>
      <c r="K73" s="3">
        <v>113297</v>
      </c>
      <c r="L73" s="3" t="s">
        <v>29</v>
      </c>
      <c r="M73" s="4">
        <v>0.21037626768581694</v>
      </c>
    </row>
    <row r="74" spans="1:13" x14ac:dyDescent="0.3">
      <c r="A74" s="3" t="s">
        <v>226</v>
      </c>
      <c r="B74" s="3" t="s">
        <v>40</v>
      </c>
      <c r="C74" s="2">
        <v>45569</v>
      </c>
      <c r="D74" s="3" t="s">
        <v>14</v>
      </c>
      <c r="E74" s="3" t="s">
        <v>362</v>
      </c>
      <c r="F74" s="3">
        <v>21729</v>
      </c>
      <c r="G74" s="3">
        <v>1209</v>
      </c>
      <c r="H74" s="3">
        <v>897</v>
      </c>
      <c r="I74" s="3">
        <v>1624</v>
      </c>
      <c r="J74" s="3">
        <v>38771</v>
      </c>
      <c r="K74" s="3">
        <v>113297</v>
      </c>
      <c r="L74" s="3" t="s">
        <v>29</v>
      </c>
      <c r="M74" s="4">
        <v>0.21037626768581694</v>
      </c>
    </row>
    <row r="75" spans="1:13" x14ac:dyDescent="0.3">
      <c r="A75" s="3" t="s">
        <v>287</v>
      </c>
      <c r="B75" s="3" t="s">
        <v>40</v>
      </c>
      <c r="C75" s="2">
        <v>45915</v>
      </c>
      <c r="D75" s="3" t="s">
        <v>14</v>
      </c>
      <c r="E75" s="3" t="s">
        <v>361</v>
      </c>
      <c r="F75" s="3">
        <v>18389</v>
      </c>
      <c r="G75" s="3">
        <v>670</v>
      </c>
      <c r="H75" s="3">
        <v>655</v>
      </c>
      <c r="I75" s="3">
        <v>321</v>
      </c>
      <c r="J75" s="3">
        <v>21869</v>
      </c>
      <c r="K75" s="3">
        <v>96088</v>
      </c>
      <c r="L75" s="3" t="s">
        <v>20</v>
      </c>
      <c r="M75" s="4">
        <v>0.2051660977437349</v>
      </c>
    </row>
    <row r="76" spans="1:13" x14ac:dyDescent="0.3">
      <c r="A76" s="3" t="s">
        <v>287</v>
      </c>
      <c r="B76" s="3" t="s">
        <v>40</v>
      </c>
      <c r="C76" s="2">
        <v>45915</v>
      </c>
      <c r="D76" s="3" t="s">
        <v>14</v>
      </c>
      <c r="E76" s="3" t="s">
        <v>362</v>
      </c>
      <c r="F76" s="3">
        <v>18389</v>
      </c>
      <c r="G76" s="3">
        <v>670</v>
      </c>
      <c r="H76" s="3">
        <v>655</v>
      </c>
      <c r="I76" s="3">
        <v>321</v>
      </c>
      <c r="J76" s="3">
        <v>21869</v>
      </c>
      <c r="K76" s="3">
        <v>96088</v>
      </c>
      <c r="L76" s="3" t="s">
        <v>20</v>
      </c>
      <c r="M76" s="4">
        <v>0.2051660977437349</v>
      </c>
    </row>
    <row r="77" spans="1:13" x14ac:dyDescent="0.3">
      <c r="A77" s="3" t="s">
        <v>109</v>
      </c>
      <c r="B77" s="3" t="s">
        <v>40</v>
      </c>
      <c r="C77" s="2">
        <v>45593</v>
      </c>
      <c r="D77" s="3" t="s">
        <v>34</v>
      </c>
      <c r="E77" s="3" t="s">
        <v>359</v>
      </c>
      <c r="F77" s="3">
        <v>21198</v>
      </c>
      <c r="G77" s="3">
        <v>1484</v>
      </c>
      <c r="H77" s="3">
        <v>174</v>
      </c>
      <c r="I77" s="3">
        <v>1293</v>
      </c>
      <c r="J77" s="3">
        <v>16330</v>
      </c>
      <c r="K77" s="3">
        <v>111635</v>
      </c>
      <c r="L77" s="3" t="s">
        <v>29</v>
      </c>
      <c r="M77" s="4">
        <v>0.20473865723115511</v>
      </c>
    </row>
    <row r="78" spans="1:13" x14ac:dyDescent="0.3">
      <c r="A78" s="3" t="s">
        <v>109</v>
      </c>
      <c r="B78" s="3" t="s">
        <v>40</v>
      </c>
      <c r="C78" s="2">
        <v>45593</v>
      </c>
      <c r="D78" s="3" t="s">
        <v>34</v>
      </c>
      <c r="E78" s="3" t="s">
        <v>360</v>
      </c>
      <c r="F78" s="3">
        <v>21198</v>
      </c>
      <c r="G78" s="3">
        <v>1484</v>
      </c>
      <c r="H78" s="3">
        <v>174</v>
      </c>
      <c r="I78" s="3">
        <v>1293</v>
      </c>
      <c r="J78" s="3">
        <v>16330</v>
      </c>
      <c r="K78" s="3">
        <v>111635</v>
      </c>
      <c r="L78" s="3" t="s">
        <v>29</v>
      </c>
      <c r="M78" s="4">
        <v>0.20473865723115511</v>
      </c>
    </row>
    <row r="79" spans="1:13" x14ac:dyDescent="0.3">
      <c r="A79" s="3" t="s">
        <v>77</v>
      </c>
      <c r="B79" s="3" t="s">
        <v>13</v>
      </c>
      <c r="C79" s="2">
        <v>45721</v>
      </c>
      <c r="D79" s="3" t="s">
        <v>34</v>
      </c>
      <c r="E79" s="3" t="s">
        <v>359</v>
      </c>
      <c r="F79" s="3">
        <v>12916</v>
      </c>
      <c r="G79" s="3">
        <v>1262</v>
      </c>
      <c r="H79" s="3">
        <v>772</v>
      </c>
      <c r="I79" s="3">
        <v>856</v>
      </c>
      <c r="J79" s="3">
        <v>11496</v>
      </c>
      <c r="K79" s="3">
        <v>75046</v>
      </c>
      <c r="L79" s="3" t="s">
        <v>25</v>
      </c>
      <c r="M79" s="4">
        <v>0.19921115049436347</v>
      </c>
    </row>
    <row r="80" spans="1:13" x14ac:dyDescent="0.3">
      <c r="A80" s="3" t="s">
        <v>77</v>
      </c>
      <c r="B80" s="3" t="s">
        <v>13</v>
      </c>
      <c r="C80" s="2">
        <v>45721</v>
      </c>
      <c r="D80" s="3" t="s">
        <v>34</v>
      </c>
      <c r="E80" s="3" t="s">
        <v>366</v>
      </c>
      <c r="F80" s="3">
        <v>12916</v>
      </c>
      <c r="G80" s="3">
        <v>1262</v>
      </c>
      <c r="H80" s="3">
        <v>772</v>
      </c>
      <c r="I80" s="3">
        <v>856</v>
      </c>
      <c r="J80" s="3">
        <v>11496</v>
      </c>
      <c r="K80" s="3">
        <v>75046</v>
      </c>
      <c r="L80" s="3" t="s">
        <v>25</v>
      </c>
      <c r="M80" s="4">
        <v>0.19921115049436347</v>
      </c>
    </row>
    <row r="81" spans="1:13" x14ac:dyDescent="0.3">
      <c r="A81" s="3" t="s">
        <v>282</v>
      </c>
      <c r="B81" s="3" t="s">
        <v>40</v>
      </c>
      <c r="C81" s="2">
        <v>45576</v>
      </c>
      <c r="D81" s="3" t="s">
        <v>34</v>
      </c>
      <c r="E81" s="3" t="s">
        <v>365</v>
      </c>
      <c r="F81" s="3">
        <v>19447</v>
      </c>
      <c r="G81" s="3">
        <v>1014</v>
      </c>
      <c r="H81" s="3">
        <v>256</v>
      </c>
      <c r="I81" s="3">
        <v>2354</v>
      </c>
      <c r="J81" s="3">
        <v>5472</v>
      </c>
      <c r="K81" s="3">
        <v>104106</v>
      </c>
      <c r="L81" s="3" t="s">
        <v>16</v>
      </c>
      <c r="M81" s="4">
        <v>0.19899909707413599</v>
      </c>
    </row>
    <row r="82" spans="1:13" x14ac:dyDescent="0.3">
      <c r="A82" s="3" t="s">
        <v>282</v>
      </c>
      <c r="B82" s="3" t="s">
        <v>40</v>
      </c>
      <c r="C82" s="2">
        <v>45576</v>
      </c>
      <c r="D82" s="3" t="s">
        <v>34</v>
      </c>
      <c r="E82" s="3" t="s">
        <v>359</v>
      </c>
      <c r="F82" s="3">
        <v>19447</v>
      </c>
      <c r="G82" s="3">
        <v>1014</v>
      </c>
      <c r="H82" s="3">
        <v>256</v>
      </c>
      <c r="I82" s="3">
        <v>2354</v>
      </c>
      <c r="J82" s="3">
        <v>5472</v>
      </c>
      <c r="K82" s="3">
        <v>104106</v>
      </c>
      <c r="L82" s="3" t="s">
        <v>16</v>
      </c>
      <c r="M82" s="4">
        <v>0.19899909707413599</v>
      </c>
    </row>
    <row r="83" spans="1:13" x14ac:dyDescent="0.3">
      <c r="A83" s="3" t="s">
        <v>296</v>
      </c>
      <c r="B83" s="3" t="s">
        <v>13</v>
      </c>
      <c r="C83" s="2">
        <v>45700</v>
      </c>
      <c r="D83" s="3" t="s">
        <v>27</v>
      </c>
      <c r="E83" s="3" t="s">
        <v>355</v>
      </c>
      <c r="F83" s="3">
        <v>15234</v>
      </c>
      <c r="G83" s="3">
        <v>1276</v>
      </c>
      <c r="H83" s="3">
        <v>670</v>
      </c>
      <c r="I83" s="3">
        <v>1860</v>
      </c>
      <c r="J83" s="3">
        <v>60397</v>
      </c>
      <c r="K83" s="3">
        <v>86413</v>
      </c>
      <c r="L83" s="3" t="s">
        <v>45</v>
      </c>
      <c r="M83" s="4">
        <v>0.19881267864788862</v>
      </c>
    </row>
    <row r="84" spans="1:13" x14ac:dyDescent="0.3">
      <c r="A84" s="3" t="s">
        <v>296</v>
      </c>
      <c r="B84" s="3" t="s">
        <v>13</v>
      </c>
      <c r="C84" s="2">
        <v>45700</v>
      </c>
      <c r="D84" s="3" t="s">
        <v>27</v>
      </c>
      <c r="E84" s="3" t="s">
        <v>356</v>
      </c>
      <c r="F84" s="3">
        <v>15234</v>
      </c>
      <c r="G84" s="3">
        <v>1276</v>
      </c>
      <c r="H84" s="3">
        <v>670</v>
      </c>
      <c r="I84" s="3">
        <v>1860</v>
      </c>
      <c r="J84" s="3">
        <v>60397</v>
      </c>
      <c r="K84" s="3">
        <v>86413</v>
      </c>
      <c r="L84" s="3" t="s">
        <v>45</v>
      </c>
      <c r="M84" s="4">
        <v>0.19881267864788862</v>
      </c>
    </row>
    <row r="85" spans="1:13" x14ac:dyDescent="0.3">
      <c r="A85" s="3" t="s">
        <v>129</v>
      </c>
      <c r="B85" s="3" t="s">
        <v>40</v>
      </c>
      <c r="C85" s="2">
        <v>45637</v>
      </c>
      <c r="D85" s="3" t="s">
        <v>34</v>
      </c>
      <c r="E85" s="3" t="s">
        <v>365</v>
      </c>
      <c r="F85" s="3">
        <v>22645</v>
      </c>
      <c r="G85" s="3">
        <v>545</v>
      </c>
      <c r="H85" s="3">
        <v>972</v>
      </c>
      <c r="I85" s="3">
        <v>321</v>
      </c>
      <c r="J85" s="3">
        <v>8396</v>
      </c>
      <c r="K85" s="3">
        <v>121537</v>
      </c>
      <c r="L85" s="3" t="s">
        <v>45</v>
      </c>
      <c r="M85" s="4">
        <v>0.19880365649966678</v>
      </c>
    </row>
    <row r="86" spans="1:13" x14ac:dyDescent="0.3">
      <c r="A86" s="3" t="s">
        <v>129</v>
      </c>
      <c r="B86" s="3" t="s">
        <v>40</v>
      </c>
      <c r="C86" s="2">
        <v>45637</v>
      </c>
      <c r="D86" s="3" t="s">
        <v>34</v>
      </c>
      <c r="E86" s="3" t="s">
        <v>359</v>
      </c>
      <c r="F86" s="3">
        <v>22645</v>
      </c>
      <c r="G86" s="3">
        <v>545</v>
      </c>
      <c r="H86" s="3">
        <v>972</v>
      </c>
      <c r="I86" s="3">
        <v>321</v>
      </c>
      <c r="J86" s="3">
        <v>8396</v>
      </c>
      <c r="K86" s="3">
        <v>121537</v>
      </c>
      <c r="L86" s="3" t="s">
        <v>45</v>
      </c>
      <c r="M86" s="4">
        <v>0.19880365649966678</v>
      </c>
    </row>
    <row r="87" spans="1:13" x14ac:dyDescent="0.3">
      <c r="A87" s="3" t="s">
        <v>199</v>
      </c>
      <c r="B87" s="3" t="s">
        <v>18</v>
      </c>
      <c r="C87" s="2">
        <v>45755</v>
      </c>
      <c r="D87" s="3" t="s">
        <v>27</v>
      </c>
      <c r="E87" s="3" t="s">
        <v>353</v>
      </c>
      <c r="F87" s="3">
        <v>15568</v>
      </c>
      <c r="G87" s="3">
        <v>1166</v>
      </c>
      <c r="H87" s="3">
        <v>546</v>
      </c>
      <c r="I87" s="3">
        <v>826</v>
      </c>
      <c r="J87" s="3">
        <v>21836</v>
      </c>
      <c r="K87" s="3">
        <v>87055</v>
      </c>
      <c r="L87" s="3" t="s">
        <v>16</v>
      </c>
      <c r="M87" s="4">
        <v>0.19849520418126471</v>
      </c>
    </row>
    <row r="88" spans="1:13" x14ac:dyDescent="0.3">
      <c r="A88" s="3" t="s">
        <v>199</v>
      </c>
      <c r="B88" s="3" t="s">
        <v>18</v>
      </c>
      <c r="C88" s="2">
        <v>45755</v>
      </c>
      <c r="D88" s="3" t="s">
        <v>27</v>
      </c>
      <c r="E88" s="3" t="s">
        <v>354</v>
      </c>
      <c r="F88" s="3">
        <v>15568</v>
      </c>
      <c r="G88" s="3">
        <v>1166</v>
      </c>
      <c r="H88" s="3">
        <v>546</v>
      </c>
      <c r="I88" s="3">
        <v>826</v>
      </c>
      <c r="J88" s="3">
        <v>21836</v>
      </c>
      <c r="K88" s="3">
        <v>87055</v>
      </c>
      <c r="L88" s="3" t="s">
        <v>16</v>
      </c>
      <c r="M88" s="4">
        <v>0.19849520418126471</v>
      </c>
    </row>
    <row r="89" spans="1:13" x14ac:dyDescent="0.3">
      <c r="A89" s="3" t="s">
        <v>336</v>
      </c>
      <c r="B89" s="3" t="s">
        <v>18</v>
      </c>
      <c r="C89" s="2">
        <v>45926</v>
      </c>
      <c r="D89" s="3" t="s">
        <v>27</v>
      </c>
      <c r="E89" s="3" t="s">
        <v>365</v>
      </c>
      <c r="F89" s="3">
        <v>21216</v>
      </c>
      <c r="G89" s="3">
        <v>226</v>
      </c>
      <c r="H89" s="3">
        <v>187</v>
      </c>
      <c r="I89" s="3">
        <v>1573</v>
      </c>
      <c r="J89" s="3">
        <v>62688</v>
      </c>
      <c r="K89" s="3">
        <v>111031</v>
      </c>
      <c r="L89" s="3" t="s">
        <v>20</v>
      </c>
      <c r="M89" s="4">
        <v>0.19480145184678152</v>
      </c>
    </row>
    <row r="90" spans="1:13" x14ac:dyDescent="0.3">
      <c r="A90" s="3" t="s">
        <v>336</v>
      </c>
      <c r="B90" s="3" t="s">
        <v>18</v>
      </c>
      <c r="C90" s="2">
        <v>45926</v>
      </c>
      <c r="D90" s="3" t="s">
        <v>27</v>
      </c>
      <c r="E90" s="3" t="s">
        <v>359</v>
      </c>
      <c r="F90" s="3">
        <v>21216</v>
      </c>
      <c r="G90" s="3">
        <v>226</v>
      </c>
      <c r="H90" s="3">
        <v>187</v>
      </c>
      <c r="I90" s="3">
        <v>1573</v>
      </c>
      <c r="J90" s="3">
        <v>62688</v>
      </c>
      <c r="K90" s="3">
        <v>111031</v>
      </c>
      <c r="L90" s="3" t="s">
        <v>20</v>
      </c>
      <c r="M90" s="4">
        <v>0.19480145184678152</v>
      </c>
    </row>
    <row r="91" spans="1:13" x14ac:dyDescent="0.3">
      <c r="A91" s="3" t="s">
        <v>103</v>
      </c>
      <c r="B91" s="3" t="s">
        <v>22</v>
      </c>
      <c r="C91" s="2">
        <v>45634</v>
      </c>
      <c r="D91" s="3" t="s">
        <v>27</v>
      </c>
      <c r="E91" s="3" t="s">
        <v>355</v>
      </c>
      <c r="F91" s="3">
        <v>10427</v>
      </c>
      <c r="G91" s="3">
        <v>1014</v>
      </c>
      <c r="H91" s="3">
        <v>166</v>
      </c>
      <c r="I91" s="3">
        <v>1649</v>
      </c>
      <c r="J91" s="3">
        <v>15145</v>
      </c>
      <c r="K91" s="3">
        <v>59816</v>
      </c>
      <c r="L91" s="3" t="s">
        <v>25</v>
      </c>
      <c r="M91" s="4">
        <v>0.19404507155276179</v>
      </c>
    </row>
    <row r="92" spans="1:13" x14ac:dyDescent="0.3">
      <c r="A92" s="3" t="s">
        <v>103</v>
      </c>
      <c r="B92" s="3" t="s">
        <v>22</v>
      </c>
      <c r="C92" s="2">
        <v>45634</v>
      </c>
      <c r="D92" s="3" t="s">
        <v>27</v>
      </c>
      <c r="E92" s="3" t="s">
        <v>356</v>
      </c>
      <c r="F92" s="3">
        <v>10427</v>
      </c>
      <c r="G92" s="3">
        <v>1014</v>
      </c>
      <c r="H92" s="3">
        <v>166</v>
      </c>
      <c r="I92" s="3">
        <v>1649</v>
      </c>
      <c r="J92" s="3">
        <v>15145</v>
      </c>
      <c r="K92" s="3">
        <v>59816</v>
      </c>
      <c r="L92" s="3" t="s">
        <v>25</v>
      </c>
      <c r="M92" s="4">
        <v>0.19404507155276179</v>
      </c>
    </row>
    <row r="93" spans="1:13" x14ac:dyDescent="0.3">
      <c r="A93" s="3" t="s">
        <v>162</v>
      </c>
      <c r="B93" s="3" t="s">
        <v>18</v>
      </c>
      <c r="C93" s="2">
        <v>45744</v>
      </c>
      <c r="D93" s="3" t="s">
        <v>14</v>
      </c>
      <c r="E93" s="3" t="s">
        <v>363</v>
      </c>
      <c r="F93" s="3">
        <v>13637</v>
      </c>
      <c r="G93" s="3">
        <v>1135</v>
      </c>
      <c r="H93" s="3">
        <v>540</v>
      </c>
      <c r="I93" s="3">
        <v>1288</v>
      </c>
      <c r="J93" s="3">
        <v>45183</v>
      </c>
      <c r="K93" s="3">
        <v>79062</v>
      </c>
      <c r="L93" s="3" t="s">
        <v>45</v>
      </c>
      <c r="M93" s="4">
        <v>0.19367079001290127</v>
      </c>
    </row>
    <row r="94" spans="1:13" x14ac:dyDescent="0.3">
      <c r="A94" s="3" t="s">
        <v>162</v>
      </c>
      <c r="B94" s="3" t="s">
        <v>18</v>
      </c>
      <c r="C94" s="2">
        <v>45744</v>
      </c>
      <c r="D94" s="3" t="s">
        <v>14</v>
      </c>
      <c r="E94" s="3" t="s">
        <v>364</v>
      </c>
      <c r="F94" s="3">
        <v>13637</v>
      </c>
      <c r="G94" s="3">
        <v>1135</v>
      </c>
      <c r="H94" s="3">
        <v>540</v>
      </c>
      <c r="I94" s="3">
        <v>1288</v>
      </c>
      <c r="J94" s="3">
        <v>45183</v>
      </c>
      <c r="K94" s="3">
        <v>79062</v>
      </c>
      <c r="L94" s="3" t="s">
        <v>45</v>
      </c>
      <c r="M94" s="4">
        <v>0.19367079001290127</v>
      </c>
    </row>
    <row r="95" spans="1:13" x14ac:dyDescent="0.3">
      <c r="A95" s="3" t="s">
        <v>165</v>
      </c>
      <c r="B95" s="3" t="s">
        <v>18</v>
      </c>
      <c r="C95" s="2">
        <v>45494</v>
      </c>
      <c r="D95" s="3" t="s">
        <v>14</v>
      </c>
      <c r="E95" s="3" t="s">
        <v>359</v>
      </c>
      <c r="F95" s="3">
        <v>11911</v>
      </c>
      <c r="G95" s="3">
        <v>1360</v>
      </c>
      <c r="H95" s="3">
        <v>778</v>
      </c>
      <c r="I95" s="3">
        <v>1168</v>
      </c>
      <c r="J95" s="3">
        <v>16483</v>
      </c>
      <c r="K95" s="3">
        <v>72556</v>
      </c>
      <c r="L95" s="3" t="s">
        <v>25</v>
      </c>
      <c r="M95" s="4">
        <v>0.19362974805667346</v>
      </c>
    </row>
    <row r="96" spans="1:13" x14ac:dyDescent="0.3">
      <c r="A96" s="3" t="s">
        <v>165</v>
      </c>
      <c r="B96" s="3" t="s">
        <v>18</v>
      </c>
      <c r="C96" s="2">
        <v>45494</v>
      </c>
      <c r="D96" s="3" t="s">
        <v>14</v>
      </c>
      <c r="E96" s="3" t="s">
        <v>360</v>
      </c>
      <c r="F96" s="3">
        <v>11911</v>
      </c>
      <c r="G96" s="3">
        <v>1360</v>
      </c>
      <c r="H96" s="3">
        <v>778</v>
      </c>
      <c r="I96" s="3">
        <v>1168</v>
      </c>
      <c r="J96" s="3">
        <v>16483</v>
      </c>
      <c r="K96" s="3">
        <v>72556</v>
      </c>
      <c r="L96" s="3" t="s">
        <v>25</v>
      </c>
      <c r="M96" s="4">
        <v>0.19362974805667346</v>
      </c>
    </row>
    <row r="97" spans="1:13" x14ac:dyDescent="0.3">
      <c r="A97" s="3" t="s">
        <v>133</v>
      </c>
      <c r="B97" s="3" t="s">
        <v>40</v>
      </c>
      <c r="C97" s="2">
        <v>45517</v>
      </c>
      <c r="D97" s="3" t="s">
        <v>34</v>
      </c>
      <c r="E97" s="3" t="s">
        <v>368</v>
      </c>
      <c r="F97" s="3">
        <v>6854</v>
      </c>
      <c r="G97" s="3">
        <v>417</v>
      </c>
      <c r="H97" s="3">
        <v>467</v>
      </c>
      <c r="I97" s="3">
        <v>1003</v>
      </c>
      <c r="J97" s="3">
        <v>61333</v>
      </c>
      <c r="K97" s="3">
        <v>40281</v>
      </c>
      <c r="L97" s="3" t="s">
        <v>16</v>
      </c>
      <c r="M97" s="4">
        <v>0.19210049402944315</v>
      </c>
    </row>
    <row r="98" spans="1:13" x14ac:dyDescent="0.3">
      <c r="A98" s="3" t="s">
        <v>133</v>
      </c>
      <c r="B98" s="3" t="s">
        <v>40</v>
      </c>
      <c r="C98" s="2">
        <v>45517</v>
      </c>
      <c r="D98" s="3" t="s">
        <v>34</v>
      </c>
      <c r="E98" s="3" t="s">
        <v>369</v>
      </c>
      <c r="F98" s="3">
        <v>6854</v>
      </c>
      <c r="G98" s="3">
        <v>417</v>
      </c>
      <c r="H98" s="3">
        <v>467</v>
      </c>
      <c r="I98" s="3">
        <v>1003</v>
      </c>
      <c r="J98" s="3">
        <v>61333</v>
      </c>
      <c r="K98" s="3">
        <v>40281</v>
      </c>
      <c r="L98" s="3" t="s">
        <v>16</v>
      </c>
      <c r="M98" s="4">
        <v>0.19210049402944315</v>
      </c>
    </row>
    <row r="99" spans="1:13" x14ac:dyDescent="0.3">
      <c r="A99" s="3" t="s">
        <v>82</v>
      </c>
      <c r="B99" s="3" t="s">
        <v>18</v>
      </c>
      <c r="C99" s="2">
        <v>45712</v>
      </c>
      <c r="D99" s="3" t="s">
        <v>23</v>
      </c>
      <c r="E99" s="3" t="s">
        <v>365</v>
      </c>
      <c r="F99" s="3">
        <v>24984</v>
      </c>
      <c r="G99" s="3">
        <v>753</v>
      </c>
      <c r="H99" s="3">
        <v>461</v>
      </c>
      <c r="I99" s="3">
        <v>2710</v>
      </c>
      <c r="J99" s="3">
        <v>20792</v>
      </c>
      <c r="K99" s="3">
        <v>141520</v>
      </c>
      <c r="L99" s="3" t="s">
        <v>25</v>
      </c>
      <c r="M99" s="4">
        <v>0.18511871113623515</v>
      </c>
    </row>
    <row r="100" spans="1:13" x14ac:dyDescent="0.3">
      <c r="A100" s="3" t="s">
        <v>82</v>
      </c>
      <c r="B100" s="3" t="s">
        <v>18</v>
      </c>
      <c r="C100" s="2">
        <v>45712</v>
      </c>
      <c r="D100" s="3" t="s">
        <v>23</v>
      </c>
      <c r="E100" s="3" t="s">
        <v>359</v>
      </c>
      <c r="F100" s="3">
        <v>24984</v>
      </c>
      <c r="G100" s="3">
        <v>753</v>
      </c>
      <c r="H100" s="3">
        <v>461</v>
      </c>
      <c r="I100" s="3">
        <v>2710</v>
      </c>
      <c r="J100" s="3">
        <v>20792</v>
      </c>
      <c r="K100" s="3">
        <v>141520</v>
      </c>
      <c r="L100" s="3" t="s">
        <v>25</v>
      </c>
      <c r="M100" s="4">
        <v>0.18511871113623515</v>
      </c>
    </row>
    <row r="101" spans="1:13" x14ac:dyDescent="0.3">
      <c r="A101" s="3" t="s">
        <v>188</v>
      </c>
      <c r="B101" s="3" t="s">
        <v>13</v>
      </c>
      <c r="C101" s="2">
        <v>45934</v>
      </c>
      <c r="D101" s="3" t="s">
        <v>27</v>
      </c>
      <c r="E101" s="3" t="s">
        <v>368</v>
      </c>
      <c r="F101" s="3">
        <v>12488</v>
      </c>
      <c r="G101" s="3">
        <v>1403</v>
      </c>
      <c r="H101" s="3">
        <v>247</v>
      </c>
      <c r="I101" s="3">
        <v>1350</v>
      </c>
      <c r="J101" s="3">
        <v>28370</v>
      </c>
      <c r="K101" s="3">
        <v>76487</v>
      </c>
      <c r="L101" s="3" t="s">
        <v>20</v>
      </c>
      <c r="M101" s="4">
        <v>0.18484186855282597</v>
      </c>
    </row>
    <row r="102" spans="1:13" x14ac:dyDescent="0.3">
      <c r="A102" s="3" t="s">
        <v>188</v>
      </c>
      <c r="B102" s="3" t="s">
        <v>13</v>
      </c>
      <c r="C102" s="2">
        <v>45934</v>
      </c>
      <c r="D102" s="3" t="s">
        <v>27</v>
      </c>
      <c r="E102" s="3" t="s">
        <v>369</v>
      </c>
      <c r="F102" s="3">
        <v>12488</v>
      </c>
      <c r="G102" s="3">
        <v>1403</v>
      </c>
      <c r="H102" s="3">
        <v>247</v>
      </c>
      <c r="I102" s="3">
        <v>1350</v>
      </c>
      <c r="J102" s="3">
        <v>28370</v>
      </c>
      <c r="K102" s="3">
        <v>76487</v>
      </c>
      <c r="L102" s="3" t="s">
        <v>20</v>
      </c>
      <c r="M102" s="4">
        <v>0.18484186855282597</v>
      </c>
    </row>
    <row r="103" spans="1:13" x14ac:dyDescent="0.3">
      <c r="A103" s="3" t="s">
        <v>266</v>
      </c>
      <c r="B103" s="3" t="s">
        <v>22</v>
      </c>
      <c r="C103" s="2">
        <v>45488</v>
      </c>
      <c r="D103" s="3" t="s">
        <v>27</v>
      </c>
      <c r="E103" s="3" t="s">
        <v>32</v>
      </c>
      <c r="F103" s="3">
        <v>12554</v>
      </c>
      <c r="G103" s="3">
        <v>381</v>
      </c>
      <c r="H103" s="3">
        <v>211</v>
      </c>
      <c r="I103" s="3">
        <v>2286</v>
      </c>
      <c r="J103" s="3">
        <v>50567</v>
      </c>
      <c r="K103" s="3">
        <v>72779</v>
      </c>
      <c r="L103" s="3" t="s">
        <v>16</v>
      </c>
      <c r="M103" s="4">
        <v>0.18062902760411656</v>
      </c>
    </row>
    <row r="104" spans="1:13" x14ac:dyDescent="0.3">
      <c r="A104" s="3" t="s">
        <v>184</v>
      </c>
      <c r="B104" s="3" t="s">
        <v>13</v>
      </c>
      <c r="C104" s="2">
        <v>45762</v>
      </c>
      <c r="D104" s="3" t="s">
        <v>27</v>
      </c>
      <c r="E104" s="3" t="s">
        <v>365</v>
      </c>
      <c r="F104" s="3">
        <v>20977</v>
      </c>
      <c r="G104" s="3">
        <v>1402</v>
      </c>
      <c r="H104" s="3">
        <v>301</v>
      </c>
      <c r="I104" s="3">
        <v>1284</v>
      </c>
      <c r="J104" s="3">
        <v>24620</v>
      </c>
      <c r="K104" s="3">
        <v>128009</v>
      </c>
      <c r="L104" s="3" t="s">
        <v>16</v>
      </c>
      <c r="M104" s="4">
        <v>0.17717504237983267</v>
      </c>
    </row>
    <row r="105" spans="1:13" x14ac:dyDescent="0.3">
      <c r="A105" s="3" t="s">
        <v>184</v>
      </c>
      <c r="B105" s="3" t="s">
        <v>13</v>
      </c>
      <c r="C105" s="2">
        <v>45762</v>
      </c>
      <c r="D105" s="3" t="s">
        <v>27</v>
      </c>
      <c r="E105" s="3" t="s">
        <v>359</v>
      </c>
      <c r="F105" s="3">
        <v>20977</v>
      </c>
      <c r="G105" s="3">
        <v>1402</v>
      </c>
      <c r="H105" s="3">
        <v>301</v>
      </c>
      <c r="I105" s="3">
        <v>1284</v>
      </c>
      <c r="J105" s="3">
        <v>24620</v>
      </c>
      <c r="K105" s="3">
        <v>128009</v>
      </c>
      <c r="L105" s="3" t="s">
        <v>16</v>
      </c>
      <c r="M105" s="4">
        <v>0.17717504237983267</v>
      </c>
    </row>
    <row r="106" spans="1:13" x14ac:dyDescent="0.3">
      <c r="A106" s="3" t="s">
        <v>175</v>
      </c>
      <c r="B106" s="3" t="s">
        <v>13</v>
      </c>
      <c r="C106" s="2">
        <v>45594</v>
      </c>
      <c r="D106" s="3" t="s">
        <v>23</v>
      </c>
      <c r="E106" s="3" t="s">
        <v>359</v>
      </c>
      <c r="F106" s="3">
        <v>23969</v>
      </c>
      <c r="G106" s="3">
        <v>1433</v>
      </c>
      <c r="H106" s="3">
        <v>372</v>
      </c>
      <c r="I106" s="3">
        <v>1092</v>
      </c>
      <c r="J106" s="3">
        <v>32147</v>
      </c>
      <c r="K106" s="3">
        <v>145823</v>
      </c>
      <c r="L106" s="3" t="s">
        <v>25</v>
      </c>
      <c r="M106" s="4">
        <v>0.17674852389540743</v>
      </c>
    </row>
    <row r="107" spans="1:13" x14ac:dyDescent="0.3">
      <c r="A107" s="3" t="s">
        <v>175</v>
      </c>
      <c r="B107" s="3" t="s">
        <v>13</v>
      </c>
      <c r="C107" s="2">
        <v>45594</v>
      </c>
      <c r="D107" s="3" t="s">
        <v>23</v>
      </c>
      <c r="E107" s="3" t="s">
        <v>366</v>
      </c>
      <c r="F107" s="3">
        <v>23969</v>
      </c>
      <c r="G107" s="3">
        <v>1433</v>
      </c>
      <c r="H107" s="3">
        <v>372</v>
      </c>
      <c r="I107" s="3">
        <v>1092</v>
      </c>
      <c r="J107" s="3">
        <v>32147</v>
      </c>
      <c r="K107" s="3">
        <v>145823</v>
      </c>
      <c r="L107" s="3" t="s">
        <v>25</v>
      </c>
      <c r="M107" s="4">
        <v>0.17674852389540743</v>
      </c>
    </row>
    <row r="108" spans="1:13" x14ac:dyDescent="0.3">
      <c r="A108" s="3" t="s">
        <v>57</v>
      </c>
      <c r="B108" s="3" t="s">
        <v>40</v>
      </c>
      <c r="C108" s="2">
        <v>45602</v>
      </c>
      <c r="D108" s="3" t="s">
        <v>34</v>
      </c>
      <c r="E108" s="3" t="s">
        <v>359</v>
      </c>
      <c r="F108" s="3">
        <v>8938</v>
      </c>
      <c r="G108" s="3">
        <v>800</v>
      </c>
      <c r="H108" s="3">
        <v>842</v>
      </c>
      <c r="I108" s="3">
        <v>2072</v>
      </c>
      <c r="J108" s="3">
        <v>31736</v>
      </c>
      <c r="K108" s="3">
        <v>59975</v>
      </c>
      <c r="L108" s="3" t="s">
        <v>29</v>
      </c>
      <c r="M108" s="4">
        <v>0.17640683618174238</v>
      </c>
    </row>
    <row r="109" spans="1:13" x14ac:dyDescent="0.3">
      <c r="A109" s="3" t="s">
        <v>57</v>
      </c>
      <c r="B109" s="3" t="s">
        <v>40</v>
      </c>
      <c r="C109" s="2">
        <v>45602</v>
      </c>
      <c r="D109" s="3" t="s">
        <v>34</v>
      </c>
      <c r="E109" s="3" t="s">
        <v>366</v>
      </c>
      <c r="F109" s="3">
        <v>8938</v>
      </c>
      <c r="G109" s="3">
        <v>800</v>
      </c>
      <c r="H109" s="3">
        <v>842</v>
      </c>
      <c r="I109" s="3">
        <v>2072</v>
      </c>
      <c r="J109" s="3">
        <v>31736</v>
      </c>
      <c r="K109" s="3">
        <v>59975</v>
      </c>
      <c r="L109" s="3" t="s">
        <v>29</v>
      </c>
      <c r="M109" s="4">
        <v>0.17640683618174238</v>
      </c>
    </row>
    <row r="110" spans="1:13" x14ac:dyDescent="0.3">
      <c r="A110" s="3" t="s">
        <v>161</v>
      </c>
      <c r="B110" s="3" t="s">
        <v>22</v>
      </c>
      <c r="C110" s="2">
        <v>45543</v>
      </c>
      <c r="D110" s="3" t="s">
        <v>34</v>
      </c>
      <c r="E110" s="3" t="s">
        <v>353</v>
      </c>
      <c r="F110" s="3">
        <v>8090</v>
      </c>
      <c r="G110" s="3">
        <v>570</v>
      </c>
      <c r="H110" s="3">
        <v>399</v>
      </c>
      <c r="I110" s="3">
        <v>1862</v>
      </c>
      <c r="J110" s="3">
        <v>34088</v>
      </c>
      <c r="K110" s="3">
        <v>52115</v>
      </c>
      <c r="L110" s="3" t="s">
        <v>16</v>
      </c>
      <c r="M110" s="4">
        <v>0.17382711311522595</v>
      </c>
    </row>
    <row r="111" spans="1:13" x14ac:dyDescent="0.3">
      <c r="A111" s="3" t="s">
        <v>161</v>
      </c>
      <c r="B111" s="3" t="s">
        <v>22</v>
      </c>
      <c r="C111" s="2">
        <v>45543</v>
      </c>
      <c r="D111" s="3" t="s">
        <v>34</v>
      </c>
      <c r="E111" s="3" t="s">
        <v>354</v>
      </c>
      <c r="F111" s="3">
        <v>8090</v>
      </c>
      <c r="G111" s="3">
        <v>570</v>
      </c>
      <c r="H111" s="3">
        <v>399</v>
      </c>
      <c r="I111" s="3">
        <v>1862</v>
      </c>
      <c r="J111" s="3">
        <v>34088</v>
      </c>
      <c r="K111" s="3">
        <v>52115</v>
      </c>
      <c r="L111" s="3" t="s">
        <v>16</v>
      </c>
      <c r="M111" s="4">
        <v>0.17382711311522595</v>
      </c>
    </row>
    <row r="112" spans="1:13" x14ac:dyDescent="0.3">
      <c r="A112" s="3" t="s">
        <v>127</v>
      </c>
      <c r="B112" s="3" t="s">
        <v>18</v>
      </c>
      <c r="C112" s="2">
        <v>45924</v>
      </c>
      <c r="D112" s="3" t="s">
        <v>23</v>
      </c>
      <c r="E112" s="3" t="s">
        <v>361</v>
      </c>
      <c r="F112" s="3">
        <v>12209</v>
      </c>
      <c r="G112" s="3">
        <v>222</v>
      </c>
      <c r="H112" s="3">
        <v>479</v>
      </c>
      <c r="I112" s="3">
        <v>2748</v>
      </c>
      <c r="J112" s="3">
        <v>24615</v>
      </c>
      <c r="K112" s="3">
        <v>74707</v>
      </c>
      <c r="L112" s="3" t="s">
        <v>20</v>
      </c>
      <c r="M112" s="4">
        <v>0.17280843829895459</v>
      </c>
    </row>
    <row r="113" spans="1:13" x14ac:dyDescent="0.3">
      <c r="A113" s="3" t="s">
        <v>127</v>
      </c>
      <c r="B113" s="3" t="s">
        <v>18</v>
      </c>
      <c r="C113" s="2">
        <v>45924</v>
      </c>
      <c r="D113" s="3" t="s">
        <v>23</v>
      </c>
      <c r="E113" s="3" t="s">
        <v>362</v>
      </c>
      <c r="F113" s="3">
        <v>12209</v>
      </c>
      <c r="G113" s="3">
        <v>222</v>
      </c>
      <c r="H113" s="3">
        <v>479</v>
      </c>
      <c r="I113" s="3">
        <v>2748</v>
      </c>
      <c r="J113" s="3">
        <v>24615</v>
      </c>
      <c r="K113" s="3">
        <v>74707</v>
      </c>
      <c r="L113" s="3" t="s">
        <v>20</v>
      </c>
      <c r="M113" s="4">
        <v>0.17280843829895459</v>
      </c>
    </row>
    <row r="114" spans="1:13" x14ac:dyDescent="0.3">
      <c r="A114" s="3" t="s">
        <v>79</v>
      </c>
      <c r="B114" s="3" t="s">
        <v>18</v>
      </c>
      <c r="C114" s="2">
        <v>45718</v>
      </c>
      <c r="D114" s="3" t="s">
        <v>27</v>
      </c>
      <c r="E114" s="3" t="s">
        <v>367</v>
      </c>
      <c r="F114" s="3">
        <v>22562</v>
      </c>
      <c r="G114" s="3">
        <v>778</v>
      </c>
      <c r="H114" s="3">
        <v>907</v>
      </c>
      <c r="I114" s="3">
        <v>1354</v>
      </c>
      <c r="J114" s="3">
        <v>34475</v>
      </c>
      <c r="K114" s="3">
        <v>141459</v>
      </c>
      <c r="L114" s="3" t="s">
        <v>29</v>
      </c>
      <c r="M114" s="4">
        <v>0.17140655596321194</v>
      </c>
    </row>
    <row r="115" spans="1:13" x14ac:dyDescent="0.3">
      <c r="A115" s="3" t="s">
        <v>79</v>
      </c>
      <c r="B115" s="3" t="s">
        <v>18</v>
      </c>
      <c r="C115" s="2">
        <v>45718</v>
      </c>
      <c r="D115" s="3" t="s">
        <v>27</v>
      </c>
      <c r="E115" s="3" t="s">
        <v>32</v>
      </c>
      <c r="F115" s="3">
        <v>22562</v>
      </c>
      <c r="G115" s="3">
        <v>778</v>
      </c>
      <c r="H115" s="3">
        <v>907</v>
      </c>
      <c r="I115" s="3">
        <v>1354</v>
      </c>
      <c r="J115" s="3">
        <v>34475</v>
      </c>
      <c r="K115" s="3">
        <v>141459</v>
      </c>
      <c r="L115" s="3" t="s">
        <v>29</v>
      </c>
      <c r="M115" s="4">
        <v>0.17140655596321194</v>
      </c>
    </row>
    <row r="116" spans="1:13" x14ac:dyDescent="0.3">
      <c r="A116" s="3" t="s">
        <v>312</v>
      </c>
      <c r="B116" s="3" t="s">
        <v>18</v>
      </c>
      <c r="C116" s="2">
        <v>45450</v>
      </c>
      <c r="D116" s="3" t="s">
        <v>27</v>
      </c>
      <c r="E116" s="3" t="s">
        <v>359</v>
      </c>
      <c r="F116" s="3">
        <v>8233</v>
      </c>
      <c r="G116" s="3">
        <v>436</v>
      </c>
      <c r="H116" s="3">
        <v>269</v>
      </c>
      <c r="I116" s="3">
        <v>2037</v>
      </c>
      <c r="J116" s="3">
        <v>8875</v>
      </c>
      <c r="K116" s="3">
        <v>52289</v>
      </c>
      <c r="L116" s="3" t="s">
        <v>16</v>
      </c>
      <c r="M116" s="4">
        <v>0.17093461339861157</v>
      </c>
    </row>
    <row r="117" spans="1:13" x14ac:dyDescent="0.3">
      <c r="A117" s="3" t="s">
        <v>312</v>
      </c>
      <c r="B117" s="3" t="s">
        <v>18</v>
      </c>
      <c r="C117" s="2">
        <v>45450</v>
      </c>
      <c r="D117" s="3" t="s">
        <v>27</v>
      </c>
      <c r="E117" s="3" t="s">
        <v>360</v>
      </c>
      <c r="F117" s="3">
        <v>8233</v>
      </c>
      <c r="G117" s="3">
        <v>436</v>
      </c>
      <c r="H117" s="3">
        <v>269</v>
      </c>
      <c r="I117" s="3">
        <v>2037</v>
      </c>
      <c r="J117" s="3">
        <v>8875</v>
      </c>
      <c r="K117" s="3">
        <v>52289</v>
      </c>
      <c r="L117" s="3" t="s">
        <v>16</v>
      </c>
      <c r="M117" s="4">
        <v>0.17093461339861157</v>
      </c>
    </row>
    <row r="118" spans="1:13" x14ac:dyDescent="0.3">
      <c r="A118" s="3" t="s">
        <v>196</v>
      </c>
      <c r="B118" s="3" t="s">
        <v>18</v>
      </c>
      <c r="C118" s="2">
        <v>45528</v>
      </c>
      <c r="D118" s="3" t="s">
        <v>23</v>
      </c>
      <c r="E118" s="3" t="s">
        <v>367</v>
      </c>
      <c r="F118" s="3">
        <v>22527</v>
      </c>
      <c r="G118" s="3">
        <v>865</v>
      </c>
      <c r="H118" s="3">
        <v>646</v>
      </c>
      <c r="I118" s="3">
        <v>992</v>
      </c>
      <c r="J118" s="3">
        <v>18654</v>
      </c>
      <c r="K118" s="3">
        <v>141376</v>
      </c>
      <c r="L118" s="3" t="s">
        <v>45</v>
      </c>
      <c r="M118" s="4">
        <v>0.17002885921231325</v>
      </c>
    </row>
    <row r="119" spans="1:13" x14ac:dyDescent="0.3">
      <c r="A119" s="3" t="s">
        <v>196</v>
      </c>
      <c r="B119" s="3" t="s">
        <v>18</v>
      </c>
      <c r="C119" s="2">
        <v>45528</v>
      </c>
      <c r="D119" s="3" t="s">
        <v>23</v>
      </c>
      <c r="E119" s="3" t="s">
        <v>32</v>
      </c>
      <c r="F119" s="3">
        <v>22527</v>
      </c>
      <c r="G119" s="3">
        <v>865</v>
      </c>
      <c r="H119" s="3">
        <v>646</v>
      </c>
      <c r="I119" s="3">
        <v>992</v>
      </c>
      <c r="J119" s="3">
        <v>18654</v>
      </c>
      <c r="K119" s="3">
        <v>141376</v>
      </c>
      <c r="L119" s="3" t="s">
        <v>45</v>
      </c>
      <c r="M119" s="4">
        <v>0.17002885921231325</v>
      </c>
    </row>
    <row r="120" spans="1:13" x14ac:dyDescent="0.3">
      <c r="A120" s="3" t="s">
        <v>194</v>
      </c>
      <c r="B120" s="3" t="s">
        <v>40</v>
      </c>
      <c r="C120" s="2">
        <v>45515</v>
      </c>
      <c r="D120" s="3" t="s">
        <v>34</v>
      </c>
      <c r="E120" s="3" t="s">
        <v>355</v>
      </c>
      <c r="F120" s="3">
        <v>14394</v>
      </c>
      <c r="G120" s="3">
        <v>1202</v>
      </c>
      <c r="H120" s="3">
        <v>188</v>
      </c>
      <c r="I120" s="3">
        <v>1259</v>
      </c>
      <c r="J120" s="3">
        <v>21925</v>
      </c>
      <c r="K120" s="3">
        <v>94061</v>
      </c>
      <c r="L120" s="3" t="s">
        <v>29</v>
      </c>
      <c r="M120" s="4">
        <v>0.1678059982351878</v>
      </c>
    </row>
    <row r="121" spans="1:13" x14ac:dyDescent="0.3">
      <c r="A121" s="3" t="s">
        <v>194</v>
      </c>
      <c r="B121" s="3" t="s">
        <v>40</v>
      </c>
      <c r="C121" s="2">
        <v>45515</v>
      </c>
      <c r="D121" s="3" t="s">
        <v>34</v>
      </c>
      <c r="E121" s="3" t="s">
        <v>356</v>
      </c>
      <c r="F121" s="3">
        <v>14394</v>
      </c>
      <c r="G121" s="3">
        <v>1202</v>
      </c>
      <c r="H121" s="3">
        <v>188</v>
      </c>
      <c r="I121" s="3">
        <v>1259</v>
      </c>
      <c r="J121" s="3">
        <v>21925</v>
      </c>
      <c r="K121" s="3">
        <v>94061</v>
      </c>
      <c r="L121" s="3" t="s">
        <v>29</v>
      </c>
      <c r="M121" s="4">
        <v>0.1678059982351878</v>
      </c>
    </row>
    <row r="122" spans="1:13" x14ac:dyDescent="0.3">
      <c r="A122" s="3" t="s">
        <v>238</v>
      </c>
      <c r="B122" s="3" t="s">
        <v>18</v>
      </c>
      <c r="C122" s="2">
        <v>45921</v>
      </c>
      <c r="D122" s="3" t="s">
        <v>14</v>
      </c>
      <c r="E122" s="3" t="s">
        <v>368</v>
      </c>
      <c r="F122" s="3">
        <v>19680</v>
      </c>
      <c r="G122" s="3">
        <v>999</v>
      </c>
      <c r="H122" s="3">
        <v>838</v>
      </c>
      <c r="I122" s="3">
        <v>891</v>
      </c>
      <c r="J122" s="3">
        <v>29576</v>
      </c>
      <c r="K122" s="3">
        <v>129152</v>
      </c>
      <c r="L122" s="3" t="s">
        <v>20</v>
      </c>
      <c r="M122" s="4">
        <v>0.16660214321110009</v>
      </c>
    </row>
    <row r="123" spans="1:13" x14ac:dyDescent="0.3">
      <c r="A123" s="3" t="s">
        <v>238</v>
      </c>
      <c r="B123" s="3" t="s">
        <v>18</v>
      </c>
      <c r="C123" s="2">
        <v>45921</v>
      </c>
      <c r="D123" s="3" t="s">
        <v>14</v>
      </c>
      <c r="E123" s="3" t="s">
        <v>369</v>
      </c>
      <c r="F123" s="3">
        <v>19680</v>
      </c>
      <c r="G123" s="3">
        <v>999</v>
      </c>
      <c r="H123" s="3">
        <v>838</v>
      </c>
      <c r="I123" s="3">
        <v>891</v>
      </c>
      <c r="J123" s="3">
        <v>29576</v>
      </c>
      <c r="K123" s="3">
        <v>129152</v>
      </c>
      <c r="L123" s="3" t="s">
        <v>20</v>
      </c>
      <c r="M123" s="4">
        <v>0.16660214321110009</v>
      </c>
    </row>
    <row r="124" spans="1:13" x14ac:dyDescent="0.3">
      <c r="A124" s="3" t="s">
        <v>108</v>
      </c>
      <c r="B124" s="3" t="s">
        <v>22</v>
      </c>
      <c r="C124" s="2">
        <v>45921</v>
      </c>
      <c r="D124" s="3" t="s">
        <v>27</v>
      </c>
      <c r="E124" s="3" t="s">
        <v>353</v>
      </c>
      <c r="F124" s="3">
        <v>23103</v>
      </c>
      <c r="G124" s="3">
        <v>1380</v>
      </c>
      <c r="H124" s="3">
        <v>191</v>
      </c>
      <c r="I124" s="3">
        <v>1547</v>
      </c>
      <c r="J124" s="3">
        <v>77798</v>
      </c>
      <c r="K124" s="3">
        <v>148856</v>
      </c>
      <c r="L124" s="3" t="s">
        <v>20</v>
      </c>
      <c r="M124" s="4">
        <v>0.16575751061428495</v>
      </c>
    </row>
    <row r="125" spans="1:13" x14ac:dyDescent="0.3">
      <c r="A125" s="3" t="s">
        <v>108</v>
      </c>
      <c r="B125" s="3" t="s">
        <v>22</v>
      </c>
      <c r="C125" s="2">
        <v>45921</v>
      </c>
      <c r="D125" s="3" t="s">
        <v>27</v>
      </c>
      <c r="E125" s="3" t="s">
        <v>354</v>
      </c>
      <c r="F125" s="3">
        <v>23103</v>
      </c>
      <c r="G125" s="3">
        <v>1380</v>
      </c>
      <c r="H125" s="3">
        <v>191</v>
      </c>
      <c r="I125" s="3">
        <v>1547</v>
      </c>
      <c r="J125" s="3">
        <v>77798</v>
      </c>
      <c r="K125" s="3">
        <v>148856</v>
      </c>
      <c r="L125" s="3" t="s">
        <v>20</v>
      </c>
      <c r="M125" s="4">
        <v>0.16575751061428495</v>
      </c>
    </row>
    <row r="126" spans="1:13" x14ac:dyDescent="0.3">
      <c r="A126" s="3" t="s">
        <v>257</v>
      </c>
      <c r="B126" s="3" t="s">
        <v>13</v>
      </c>
      <c r="C126" s="2">
        <v>45739</v>
      </c>
      <c r="D126" s="3" t="s">
        <v>34</v>
      </c>
      <c r="E126" s="3" t="s">
        <v>361</v>
      </c>
      <c r="F126" s="3">
        <v>17728</v>
      </c>
      <c r="G126" s="3">
        <v>1487</v>
      </c>
      <c r="H126" s="3">
        <v>210</v>
      </c>
      <c r="I126" s="3">
        <v>2469</v>
      </c>
      <c r="J126" s="3">
        <v>30565</v>
      </c>
      <c r="K126" s="3">
        <v>117576</v>
      </c>
      <c r="L126" s="3" t="s">
        <v>16</v>
      </c>
      <c r="M126" s="4">
        <v>0.16521228822208614</v>
      </c>
    </row>
    <row r="127" spans="1:13" x14ac:dyDescent="0.3">
      <c r="A127" s="3" t="s">
        <v>257</v>
      </c>
      <c r="B127" s="3" t="s">
        <v>13</v>
      </c>
      <c r="C127" s="2">
        <v>45739</v>
      </c>
      <c r="D127" s="3" t="s">
        <v>34</v>
      </c>
      <c r="E127" s="3" t="s">
        <v>362</v>
      </c>
      <c r="F127" s="3">
        <v>17728</v>
      </c>
      <c r="G127" s="3">
        <v>1487</v>
      </c>
      <c r="H127" s="3">
        <v>210</v>
      </c>
      <c r="I127" s="3">
        <v>2469</v>
      </c>
      <c r="J127" s="3">
        <v>30565</v>
      </c>
      <c r="K127" s="3">
        <v>117576</v>
      </c>
      <c r="L127" s="3" t="s">
        <v>16</v>
      </c>
      <c r="M127" s="4">
        <v>0.16521228822208614</v>
      </c>
    </row>
    <row r="128" spans="1:13" x14ac:dyDescent="0.3">
      <c r="A128" s="3" t="s">
        <v>321</v>
      </c>
      <c r="B128" s="3" t="s">
        <v>40</v>
      </c>
      <c r="C128" s="2">
        <v>45491</v>
      </c>
      <c r="D128" s="3" t="s">
        <v>27</v>
      </c>
      <c r="E128" s="3" t="s">
        <v>353</v>
      </c>
      <c r="F128" s="3">
        <v>16594</v>
      </c>
      <c r="G128" s="3">
        <v>809</v>
      </c>
      <c r="H128" s="3">
        <v>784</v>
      </c>
      <c r="I128" s="3">
        <v>1655</v>
      </c>
      <c r="J128" s="3">
        <v>35505</v>
      </c>
      <c r="K128" s="3">
        <v>112588</v>
      </c>
      <c r="L128" s="3" t="s">
        <v>25</v>
      </c>
      <c r="M128" s="4">
        <v>0.16153586527871533</v>
      </c>
    </row>
    <row r="129" spans="1:13" x14ac:dyDescent="0.3">
      <c r="A129" s="3" t="s">
        <v>321</v>
      </c>
      <c r="B129" s="3" t="s">
        <v>40</v>
      </c>
      <c r="C129" s="2">
        <v>45491</v>
      </c>
      <c r="D129" s="3" t="s">
        <v>27</v>
      </c>
      <c r="E129" s="3" t="s">
        <v>354</v>
      </c>
      <c r="F129" s="3">
        <v>16594</v>
      </c>
      <c r="G129" s="3">
        <v>809</v>
      </c>
      <c r="H129" s="3">
        <v>784</v>
      </c>
      <c r="I129" s="3">
        <v>1655</v>
      </c>
      <c r="J129" s="3">
        <v>35505</v>
      </c>
      <c r="K129" s="3">
        <v>112588</v>
      </c>
      <c r="L129" s="3" t="s">
        <v>25</v>
      </c>
      <c r="M129" s="4">
        <v>0.16153586527871533</v>
      </c>
    </row>
    <row r="130" spans="1:13" x14ac:dyDescent="0.3">
      <c r="A130" s="3" t="s">
        <v>97</v>
      </c>
      <c r="B130" s="3" t="s">
        <v>13</v>
      </c>
      <c r="C130" s="2">
        <v>45920</v>
      </c>
      <c r="D130" s="3" t="s">
        <v>14</v>
      </c>
      <c r="E130" s="3" t="s">
        <v>359</v>
      </c>
      <c r="F130" s="3">
        <v>18633</v>
      </c>
      <c r="G130" s="3">
        <v>797</v>
      </c>
      <c r="H130" s="3">
        <v>303</v>
      </c>
      <c r="I130" s="3">
        <v>659</v>
      </c>
      <c r="J130" s="3">
        <v>7</v>
      </c>
      <c r="K130" s="3">
        <v>122189</v>
      </c>
      <c r="L130" s="3" t="s">
        <v>20</v>
      </c>
      <c r="M130" s="4">
        <v>0.16149571565361859</v>
      </c>
    </row>
    <row r="131" spans="1:13" x14ac:dyDescent="0.3">
      <c r="A131" s="3" t="s">
        <v>97</v>
      </c>
      <c r="B131" s="3" t="s">
        <v>13</v>
      </c>
      <c r="C131" s="2">
        <v>45920</v>
      </c>
      <c r="D131" s="3" t="s">
        <v>14</v>
      </c>
      <c r="E131" s="3" t="s">
        <v>366</v>
      </c>
      <c r="F131" s="3">
        <v>18633</v>
      </c>
      <c r="G131" s="3">
        <v>797</v>
      </c>
      <c r="H131" s="3">
        <v>303</v>
      </c>
      <c r="I131" s="3">
        <v>659</v>
      </c>
      <c r="J131" s="3">
        <v>7</v>
      </c>
      <c r="K131" s="3">
        <v>122189</v>
      </c>
      <c r="L131" s="3" t="s">
        <v>20</v>
      </c>
      <c r="M131" s="4">
        <v>0.16149571565361859</v>
      </c>
    </row>
    <row r="132" spans="1:13" x14ac:dyDescent="0.3">
      <c r="A132" s="3" t="s">
        <v>110</v>
      </c>
      <c r="B132" s="3" t="s">
        <v>22</v>
      </c>
      <c r="C132" s="2">
        <v>45505</v>
      </c>
      <c r="D132" s="3" t="s">
        <v>14</v>
      </c>
      <c r="E132" s="3" t="s">
        <v>357</v>
      </c>
      <c r="F132" s="3">
        <v>21758</v>
      </c>
      <c r="G132" s="3">
        <v>1380</v>
      </c>
      <c r="H132" s="3">
        <v>188</v>
      </c>
      <c r="I132" s="3">
        <v>1735</v>
      </c>
      <c r="J132" s="3">
        <v>20998</v>
      </c>
      <c r="K132" s="3">
        <v>147803</v>
      </c>
      <c r="L132" s="3" t="s">
        <v>45</v>
      </c>
      <c r="M132" s="4">
        <v>0.15781817689762725</v>
      </c>
    </row>
    <row r="133" spans="1:13" x14ac:dyDescent="0.3">
      <c r="A133" s="3" t="s">
        <v>110</v>
      </c>
      <c r="B133" s="3" t="s">
        <v>22</v>
      </c>
      <c r="C133" s="2">
        <v>45505</v>
      </c>
      <c r="D133" s="3" t="s">
        <v>14</v>
      </c>
      <c r="E133" s="3" t="s">
        <v>358</v>
      </c>
      <c r="F133" s="3">
        <v>21758</v>
      </c>
      <c r="G133" s="3">
        <v>1380</v>
      </c>
      <c r="H133" s="3">
        <v>188</v>
      </c>
      <c r="I133" s="3">
        <v>1735</v>
      </c>
      <c r="J133" s="3">
        <v>20998</v>
      </c>
      <c r="K133" s="3">
        <v>147803</v>
      </c>
      <c r="L133" s="3" t="s">
        <v>45</v>
      </c>
      <c r="M133" s="4">
        <v>0.15781817689762725</v>
      </c>
    </row>
    <row r="134" spans="1:13" x14ac:dyDescent="0.3">
      <c r="A134" s="3" t="s">
        <v>225</v>
      </c>
      <c r="B134" s="3" t="s">
        <v>13</v>
      </c>
      <c r="C134" s="2">
        <v>45740</v>
      </c>
      <c r="D134" s="3" t="s">
        <v>14</v>
      </c>
      <c r="E134" s="3" t="s">
        <v>32</v>
      </c>
      <c r="F134" s="3">
        <v>10172</v>
      </c>
      <c r="G134" s="3">
        <v>1398</v>
      </c>
      <c r="H134" s="3">
        <v>394</v>
      </c>
      <c r="I134" s="3">
        <v>2358</v>
      </c>
      <c r="J134" s="3">
        <v>59610</v>
      </c>
      <c r="K134" s="3">
        <v>76321</v>
      </c>
      <c r="L134" s="3" t="s">
        <v>29</v>
      </c>
      <c r="M134" s="4">
        <v>0.15675895231980713</v>
      </c>
    </row>
    <row r="135" spans="1:13" x14ac:dyDescent="0.3">
      <c r="A135" s="3" t="s">
        <v>85</v>
      </c>
      <c r="B135" s="3" t="s">
        <v>40</v>
      </c>
      <c r="C135" s="2">
        <v>45476</v>
      </c>
      <c r="D135" s="3" t="s">
        <v>23</v>
      </c>
      <c r="E135" s="3" t="s">
        <v>361</v>
      </c>
      <c r="F135" s="3">
        <v>14338</v>
      </c>
      <c r="G135" s="3">
        <v>1454</v>
      </c>
      <c r="H135" s="3">
        <v>697</v>
      </c>
      <c r="I135" s="3">
        <v>2703</v>
      </c>
      <c r="J135" s="3">
        <v>21288</v>
      </c>
      <c r="K135" s="3">
        <v>107649</v>
      </c>
      <c r="L135" s="3" t="s">
        <v>29</v>
      </c>
      <c r="M135" s="4">
        <v>0.1531737405828201</v>
      </c>
    </row>
    <row r="136" spans="1:13" x14ac:dyDescent="0.3">
      <c r="A136" s="3" t="s">
        <v>85</v>
      </c>
      <c r="B136" s="3" t="s">
        <v>40</v>
      </c>
      <c r="C136" s="2">
        <v>45476</v>
      </c>
      <c r="D136" s="3" t="s">
        <v>23</v>
      </c>
      <c r="E136" s="3" t="s">
        <v>362</v>
      </c>
      <c r="F136" s="3">
        <v>14338</v>
      </c>
      <c r="G136" s="3">
        <v>1454</v>
      </c>
      <c r="H136" s="3">
        <v>697</v>
      </c>
      <c r="I136" s="3">
        <v>2703</v>
      </c>
      <c r="J136" s="3">
        <v>21288</v>
      </c>
      <c r="K136" s="3">
        <v>107649</v>
      </c>
      <c r="L136" s="3" t="s">
        <v>29</v>
      </c>
      <c r="M136" s="4">
        <v>0.1531737405828201</v>
      </c>
    </row>
    <row r="137" spans="1:13" x14ac:dyDescent="0.3">
      <c r="A137" s="3" t="s">
        <v>168</v>
      </c>
      <c r="B137" s="3" t="s">
        <v>22</v>
      </c>
      <c r="C137" s="2">
        <v>45720</v>
      </c>
      <c r="D137" s="3" t="s">
        <v>27</v>
      </c>
      <c r="E137" s="3" t="s">
        <v>355</v>
      </c>
      <c r="F137" s="3">
        <v>5266</v>
      </c>
      <c r="G137" s="3">
        <v>316</v>
      </c>
      <c r="H137" s="3">
        <v>837</v>
      </c>
      <c r="I137" s="3">
        <v>2276</v>
      </c>
      <c r="J137" s="3">
        <v>20967</v>
      </c>
      <c r="K137" s="3">
        <v>41969</v>
      </c>
      <c r="L137" s="3" t="s">
        <v>45</v>
      </c>
      <c r="M137" s="4">
        <v>0.1529462222116324</v>
      </c>
    </row>
    <row r="138" spans="1:13" x14ac:dyDescent="0.3">
      <c r="A138" s="3" t="s">
        <v>168</v>
      </c>
      <c r="B138" s="3" t="s">
        <v>22</v>
      </c>
      <c r="C138" s="2">
        <v>45720</v>
      </c>
      <c r="D138" s="3" t="s">
        <v>27</v>
      </c>
      <c r="E138" s="3" t="s">
        <v>356</v>
      </c>
      <c r="F138" s="3">
        <v>5266</v>
      </c>
      <c r="G138" s="3">
        <v>316</v>
      </c>
      <c r="H138" s="3">
        <v>837</v>
      </c>
      <c r="I138" s="3">
        <v>2276</v>
      </c>
      <c r="J138" s="3">
        <v>20967</v>
      </c>
      <c r="K138" s="3">
        <v>41969</v>
      </c>
      <c r="L138" s="3" t="s">
        <v>45</v>
      </c>
      <c r="M138" s="4">
        <v>0.1529462222116324</v>
      </c>
    </row>
    <row r="139" spans="1:13" x14ac:dyDescent="0.3">
      <c r="A139" s="3" t="s">
        <v>75</v>
      </c>
      <c r="B139" s="3" t="s">
        <v>13</v>
      </c>
      <c r="C139" s="2">
        <v>45914</v>
      </c>
      <c r="D139" s="3" t="s">
        <v>34</v>
      </c>
      <c r="E139" s="3" t="s">
        <v>363</v>
      </c>
      <c r="F139" s="3">
        <v>19844</v>
      </c>
      <c r="G139" s="3">
        <v>1020</v>
      </c>
      <c r="H139" s="3">
        <v>247</v>
      </c>
      <c r="I139" s="3">
        <v>2354</v>
      </c>
      <c r="J139" s="3">
        <v>37792</v>
      </c>
      <c r="K139" s="3">
        <v>138317</v>
      </c>
      <c r="L139" s="3" t="s">
        <v>20</v>
      </c>
      <c r="M139" s="4">
        <v>0.15262765965138053</v>
      </c>
    </row>
    <row r="140" spans="1:13" x14ac:dyDescent="0.3">
      <c r="A140" s="3" t="s">
        <v>75</v>
      </c>
      <c r="B140" s="3" t="s">
        <v>13</v>
      </c>
      <c r="C140" s="2">
        <v>45914</v>
      </c>
      <c r="D140" s="3" t="s">
        <v>34</v>
      </c>
      <c r="E140" s="3" t="s">
        <v>364</v>
      </c>
      <c r="F140" s="3">
        <v>19844</v>
      </c>
      <c r="G140" s="3">
        <v>1020</v>
      </c>
      <c r="H140" s="3">
        <v>247</v>
      </c>
      <c r="I140" s="3">
        <v>2354</v>
      </c>
      <c r="J140" s="3">
        <v>37792</v>
      </c>
      <c r="K140" s="3">
        <v>138317</v>
      </c>
      <c r="L140" s="3" t="s">
        <v>20</v>
      </c>
      <c r="M140" s="4">
        <v>0.15262765965138053</v>
      </c>
    </row>
    <row r="141" spans="1:13" x14ac:dyDescent="0.3">
      <c r="A141" s="3" t="s">
        <v>112</v>
      </c>
      <c r="B141" s="3" t="s">
        <v>18</v>
      </c>
      <c r="C141" s="2">
        <v>45720</v>
      </c>
      <c r="D141" s="3" t="s">
        <v>34</v>
      </c>
      <c r="E141" s="3" t="s">
        <v>365</v>
      </c>
      <c r="F141" s="3">
        <v>13470</v>
      </c>
      <c r="G141" s="3">
        <v>523</v>
      </c>
      <c r="H141" s="3">
        <v>280</v>
      </c>
      <c r="I141" s="3">
        <v>2682</v>
      </c>
      <c r="J141" s="3">
        <v>8538</v>
      </c>
      <c r="K141" s="3">
        <v>95204</v>
      </c>
      <c r="L141" s="3" t="s">
        <v>16</v>
      </c>
      <c r="M141" s="4">
        <v>0.14992017142136885</v>
      </c>
    </row>
    <row r="142" spans="1:13" x14ac:dyDescent="0.3">
      <c r="A142" s="3" t="s">
        <v>112</v>
      </c>
      <c r="B142" s="3" t="s">
        <v>18</v>
      </c>
      <c r="C142" s="2">
        <v>45720</v>
      </c>
      <c r="D142" s="3" t="s">
        <v>34</v>
      </c>
      <c r="E142" s="3" t="s">
        <v>359</v>
      </c>
      <c r="F142" s="3">
        <v>13470</v>
      </c>
      <c r="G142" s="3">
        <v>523</v>
      </c>
      <c r="H142" s="3">
        <v>280</v>
      </c>
      <c r="I142" s="3">
        <v>2682</v>
      </c>
      <c r="J142" s="3">
        <v>8538</v>
      </c>
      <c r="K142" s="3">
        <v>95204</v>
      </c>
      <c r="L142" s="3" t="s">
        <v>16</v>
      </c>
      <c r="M142" s="4">
        <v>0.14992017142136885</v>
      </c>
    </row>
    <row r="143" spans="1:13" x14ac:dyDescent="0.3">
      <c r="A143" s="3" t="s">
        <v>300</v>
      </c>
      <c r="B143" s="3" t="s">
        <v>22</v>
      </c>
      <c r="C143" s="2">
        <v>45687</v>
      </c>
      <c r="D143" s="3" t="s">
        <v>23</v>
      </c>
      <c r="E143" s="3" t="s">
        <v>367</v>
      </c>
      <c r="F143" s="3">
        <v>12954</v>
      </c>
      <c r="G143" s="3">
        <v>913</v>
      </c>
      <c r="H143" s="3">
        <v>722</v>
      </c>
      <c r="I143" s="3">
        <v>1049</v>
      </c>
      <c r="J143" s="3">
        <v>475</v>
      </c>
      <c r="K143" s="3">
        <v>97716</v>
      </c>
      <c r="L143" s="3" t="s">
        <v>16</v>
      </c>
      <c r="M143" s="4">
        <v>0.14930001228048631</v>
      </c>
    </row>
    <row r="144" spans="1:13" x14ac:dyDescent="0.3">
      <c r="A144" s="3" t="s">
        <v>300</v>
      </c>
      <c r="B144" s="3" t="s">
        <v>22</v>
      </c>
      <c r="C144" s="2">
        <v>45687</v>
      </c>
      <c r="D144" s="3" t="s">
        <v>23</v>
      </c>
      <c r="E144" s="3" t="s">
        <v>32</v>
      </c>
      <c r="F144" s="3">
        <v>12954</v>
      </c>
      <c r="G144" s="3">
        <v>913</v>
      </c>
      <c r="H144" s="3">
        <v>722</v>
      </c>
      <c r="I144" s="3">
        <v>1049</v>
      </c>
      <c r="J144" s="3">
        <v>475</v>
      </c>
      <c r="K144" s="3">
        <v>97716</v>
      </c>
      <c r="L144" s="3" t="s">
        <v>16</v>
      </c>
      <c r="M144" s="4">
        <v>0.14930001228048631</v>
      </c>
    </row>
    <row r="145" spans="1:13" x14ac:dyDescent="0.3">
      <c r="A145" s="3" t="s">
        <v>144</v>
      </c>
      <c r="B145" s="3" t="s">
        <v>18</v>
      </c>
      <c r="C145" s="2">
        <v>45928</v>
      </c>
      <c r="D145" s="3" t="s">
        <v>34</v>
      </c>
      <c r="E145" s="3" t="s">
        <v>363</v>
      </c>
      <c r="F145" s="3">
        <v>21963</v>
      </c>
      <c r="G145" s="3">
        <v>1356</v>
      </c>
      <c r="H145" s="3">
        <v>349</v>
      </c>
      <c r="I145" s="3">
        <v>1206</v>
      </c>
      <c r="J145" s="3">
        <v>51755</v>
      </c>
      <c r="K145" s="3">
        <v>159273</v>
      </c>
      <c r="L145" s="3" t="s">
        <v>20</v>
      </c>
      <c r="M145" s="4">
        <v>0.14860020216860359</v>
      </c>
    </row>
    <row r="146" spans="1:13" x14ac:dyDescent="0.3">
      <c r="A146" s="3" t="s">
        <v>144</v>
      </c>
      <c r="B146" s="3" t="s">
        <v>18</v>
      </c>
      <c r="C146" s="2">
        <v>45928</v>
      </c>
      <c r="D146" s="3" t="s">
        <v>34</v>
      </c>
      <c r="E146" s="3" t="s">
        <v>364</v>
      </c>
      <c r="F146" s="3">
        <v>21963</v>
      </c>
      <c r="G146" s="3">
        <v>1356</v>
      </c>
      <c r="H146" s="3">
        <v>349</v>
      </c>
      <c r="I146" s="3">
        <v>1206</v>
      </c>
      <c r="J146" s="3">
        <v>51755</v>
      </c>
      <c r="K146" s="3">
        <v>159273</v>
      </c>
      <c r="L146" s="3" t="s">
        <v>20</v>
      </c>
      <c r="M146" s="4">
        <v>0.14860020216860359</v>
      </c>
    </row>
    <row r="147" spans="1:13" x14ac:dyDescent="0.3">
      <c r="A147" s="3" t="s">
        <v>284</v>
      </c>
      <c r="B147" s="3" t="s">
        <v>22</v>
      </c>
      <c r="C147" s="2">
        <v>45914</v>
      </c>
      <c r="D147" s="3" t="s">
        <v>34</v>
      </c>
      <c r="E147" s="3" t="s">
        <v>359</v>
      </c>
      <c r="F147" s="3">
        <v>12787</v>
      </c>
      <c r="G147" s="3">
        <v>945</v>
      </c>
      <c r="H147" s="3">
        <v>974</v>
      </c>
      <c r="I147" s="3">
        <v>1407</v>
      </c>
      <c r="J147" s="3">
        <v>4037</v>
      </c>
      <c r="K147" s="3">
        <v>99182</v>
      </c>
      <c r="L147" s="3" t="s">
        <v>20</v>
      </c>
      <c r="M147" s="4">
        <v>0.14827287209372669</v>
      </c>
    </row>
    <row r="148" spans="1:13" x14ac:dyDescent="0.3">
      <c r="A148" s="3" t="s">
        <v>284</v>
      </c>
      <c r="B148" s="3" t="s">
        <v>22</v>
      </c>
      <c r="C148" s="2">
        <v>45914</v>
      </c>
      <c r="D148" s="3" t="s">
        <v>34</v>
      </c>
      <c r="E148" s="3" t="s">
        <v>366</v>
      </c>
      <c r="F148" s="3">
        <v>12787</v>
      </c>
      <c r="G148" s="3">
        <v>945</v>
      </c>
      <c r="H148" s="3">
        <v>974</v>
      </c>
      <c r="I148" s="3">
        <v>1407</v>
      </c>
      <c r="J148" s="3">
        <v>4037</v>
      </c>
      <c r="K148" s="3">
        <v>99182</v>
      </c>
      <c r="L148" s="3" t="s">
        <v>20</v>
      </c>
      <c r="M148" s="4">
        <v>0.14827287209372669</v>
      </c>
    </row>
    <row r="149" spans="1:13" x14ac:dyDescent="0.3">
      <c r="A149" s="3" t="s">
        <v>140</v>
      </c>
      <c r="B149" s="3" t="s">
        <v>18</v>
      </c>
      <c r="C149" s="2">
        <v>45739</v>
      </c>
      <c r="D149" s="3" t="s">
        <v>14</v>
      </c>
      <c r="E149" s="3" t="s">
        <v>357</v>
      </c>
      <c r="F149" s="3">
        <v>24711</v>
      </c>
      <c r="G149" s="3">
        <v>882</v>
      </c>
      <c r="H149" s="3">
        <v>876</v>
      </c>
      <c r="I149" s="3">
        <v>2728</v>
      </c>
      <c r="J149" s="3">
        <v>32015</v>
      </c>
      <c r="K149" s="3">
        <v>180272</v>
      </c>
      <c r="L149" s="3" t="s">
        <v>29</v>
      </c>
      <c r="M149" s="4">
        <v>0.1468281263867933</v>
      </c>
    </row>
    <row r="150" spans="1:13" x14ac:dyDescent="0.3">
      <c r="A150" s="3" t="s">
        <v>140</v>
      </c>
      <c r="B150" s="3" t="s">
        <v>18</v>
      </c>
      <c r="C150" s="2">
        <v>45739</v>
      </c>
      <c r="D150" s="3" t="s">
        <v>14</v>
      </c>
      <c r="E150" s="3" t="s">
        <v>358</v>
      </c>
      <c r="F150" s="3">
        <v>24711</v>
      </c>
      <c r="G150" s="3">
        <v>882</v>
      </c>
      <c r="H150" s="3">
        <v>876</v>
      </c>
      <c r="I150" s="3">
        <v>2728</v>
      </c>
      <c r="J150" s="3">
        <v>32015</v>
      </c>
      <c r="K150" s="3">
        <v>180272</v>
      </c>
      <c r="L150" s="3" t="s">
        <v>29</v>
      </c>
      <c r="M150" s="4">
        <v>0.1468281263867933</v>
      </c>
    </row>
    <row r="151" spans="1:13" x14ac:dyDescent="0.3">
      <c r="A151" s="3" t="s">
        <v>278</v>
      </c>
      <c r="B151" s="3" t="s">
        <v>13</v>
      </c>
      <c r="C151" s="2">
        <v>45912</v>
      </c>
      <c r="D151" s="3" t="s">
        <v>27</v>
      </c>
      <c r="E151" s="3" t="s">
        <v>361</v>
      </c>
      <c r="F151" s="3">
        <v>15918</v>
      </c>
      <c r="G151" s="3">
        <v>1114</v>
      </c>
      <c r="H151" s="3">
        <v>392</v>
      </c>
      <c r="I151" s="3">
        <v>1641</v>
      </c>
      <c r="J151" s="3">
        <v>28044</v>
      </c>
      <c r="K151" s="3">
        <v>118714</v>
      </c>
      <c r="L151" s="3" t="s">
        <v>20</v>
      </c>
      <c r="M151" s="4">
        <v>0.14677291642097814</v>
      </c>
    </row>
    <row r="152" spans="1:13" x14ac:dyDescent="0.3">
      <c r="A152" s="3" t="s">
        <v>278</v>
      </c>
      <c r="B152" s="3" t="s">
        <v>13</v>
      </c>
      <c r="C152" s="2">
        <v>45912</v>
      </c>
      <c r="D152" s="3" t="s">
        <v>27</v>
      </c>
      <c r="E152" s="3" t="s">
        <v>362</v>
      </c>
      <c r="F152" s="3">
        <v>15918</v>
      </c>
      <c r="G152" s="3">
        <v>1114</v>
      </c>
      <c r="H152" s="3">
        <v>392</v>
      </c>
      <c r="I152" s="3">
        <v>1641</v>
      </c>
      <c r="J152" s="3">
        <v>28044</v>
      </c>
      <c r="K152" s="3">
        <v>118714</v>
      </c>
      <c r="L152" s="3" t="s">
        <v>20</v>
      </c>
      <c r="M152" s="4">
        <v>0.14677291642097814</v>
      </c>
    </row>
    <row r="153" spans="1:13" x14ac:dyDescent="0.3">
      <c r="A153" s="3" t="s">
        <v>191</v>
      </c>
      <c r="B153" s="3" t="s">
        <v>22</v>
      </c>
      <c r="C153" s="2">
        <v>45647</v>
      </c>
      <c r="D153" s="3" t="s">
        <v>14</v>
      </c>
      <c r="E153" s="3" t="s">
        <v>353</v>
      </c>
      <c r="F153" s="3">
        <v>12453</v>
      </c>
      <c r="G153" s="3">
        <v>376</v>
      </c>
      <c r="H153" s="3">
        <v>320</v>
      </c>
      <c r="I153" s="3">
        <v>2546</v>
      </c>
      <c r="J153" s="3">
        <v>22617</v>
      </c>
      <c r="K153" s="3">
        <v>90138</v>
      </c>
      <c r="L153" s="3" t="s">
        <v>25</v>
      </c>
      <c r="M153" s="4">
        <v>0.14587632297144379</v>
      </c>
    </row>
    <row r="154" spans="1:13" x14ac:dyDescent="0.3">
      <c r="A154" s="3" t="s">
        <v>191</v>
      </c>
      <c r="B154" s="3" t="s">
        <v>22</v>
      </c>
      <c r="C154" s="2">
        <v>45647</v>
      </c>
      <c r="D154" s="3" t="s">
        <v>14</v>
      </c>
      <c r="E154" s="3" t="s">
        <v>354</v>
      </c>
      <c r="F154" s="3">
        <v>12453</v>
      </c>
      <c r="G154" s="3">
        <v>376</v>
      </c>
      <c r="H154" s="3">
        <v>320</v>
      </c>
      <c r="I154" s="3">
        <v>2546</v>
      </c>
      <c r="J154" s="3">
        <v>22617</v>
      </c>
      <c r="K154" s="3">
        <v>90138</v>
      </c>
      <c r="L154" s="3" t="s">
        <v>25</v>
      </c>
      <c r="M154" s="4">
        <v>0.14587632297144379</v>
      </c>
    </row>
    <row r="155" spans="1:13" x14ac:dyDescent="0.3">
      <c r="A155" s="3" t="s">
        <v>268</v>
      </c>
      <c r="B155" s="3" t="s">
        <v>18</v>
      </c>
      <c r="C155" s="2">
        <v>45776</v>
      </c>
      <c r="D155" s="3" t="s">
        <v>34</v>
      </c>
      <c r="E155" s="3" t="s">
        <v>363</v>
      </c>
      <c r="F155" s="3">
        <v>16277</v>
      </c>
      <c r="G155" s="3">
        <v>1109</v>
      </c>
      <c r="H155" s="3">
        <v>375</v>
      </c>
      <c r="I155" s="3">
        <v>2225</v>
      </c>
      <c r="J155" s="3">
        <v>1044</v>
      </c>
      <c r="K155" s="3">
        <v>121889</v>
      </c>
      <c r="L155" s="3" t="s">
        <v>29</v>
      </c>
      <c r="M155" s="4">
        <v>0.14571454356012437</v>
      </c>
    </row>
    <row r="156" spans="1:13" x14ac:dyDescent="0.3">
      <c r="A156" s="3" t="s">
        <v>268</v>
      </c>
      <c r="B156" s="3" t="s">
        <v>18</v>
      </c>
      <c r="C156" s="2">
        <v>45776</v>
      </c>
      <c r="D156" s="3" t="s">
        <v>34</v>
      </c>
      <c r="E156" s="3" t="s">
        <v>364</v>
      </c>
      <c r="F156" s="3">
        <v>16277</v>
      </c>
      <c r="G156" s="3">
        <v>1109</v>
      </c>
      <c r="H156" s="3">
        <v>375</v>
      </c>
      <c r="I156" s="3">
        <v>2225</v>
      </c>
      <c r="J156" s="3">
        <v>1044</v>
      </c>
      <c r="K156" s="3">
        <v>121889</v>
      </c>
      <c r="L156" s="3" t="s">
        <v>29</v>
      </c>
      <c r="M156" s="4">
        <v>0.14571454356012437</v>
      </c>
    </row>
    <row r="157" spans="1:13" x14ac:dyDescent="0.3">
      <c r="A157" s="3" t="s">
        <v>260</v>
      </c>
      <c r="B157" s="3" t="s">
        <v>18</v>
      </c>
      <c r="C157" s="2">
        <v>45907</v>
      </c>
      <c r="D157" s="3" t="s">
        <v>23</v>
      </c>
      <c r="E157" s="3" t="s">
        <v>368</v>
      </c>
      <c r="F157" s="3">
        <v>4472</v>
      </c>
      <c r="G157" s="3">
        <v>1301</v>
      </c>
      <c r="H157" s="3">
        <v>956</v>
      </c>
      <c r="I157" s="3">
        <v>1186</v>
      </c>
      <c r="J157" s="3">
        <v>3363</v>
      </c>
      <c r="K157" s="3">
        <v>46471</v>
      </c>
      <c r="L157" s="3" t="s">
        <v>20</v>
      </c>
      <c r="M157" s="4">
        <v>0.14479998278496267</v>
      </c>
    </row>
    <row r="158" spans="1:13" x14ac:dyDescent="0.3">
      <c r="A158" s="3" t="s">
        <v>260</v>
      </c>
      <c r="B158" s="3" t="s">
        <v>18</v>
      </c>
      <c r="C158" s="2">
        <v>45907</v>
      </c>
      <c r="D158" s="3" t="s">
        <v>23</v>
      </c>
      <c r="E158" s="3" t="s">
        <v>369</v>
      </c>
      <c r="F158" s="3">
        <v>4472</v>
      </c>
      <c r="G158" s="3">
        <v>1301</v>
      </c>
      <c r="H158" s="3">
        <v>956</v>
      </c>
      <c r="I158" s="3">
        <v>1186</v>
      </c>
      <c r="J158" s="3">
        <v>3363</v>
      </c>
      <c r="K158" s="3">
        <v>46471</v>
      </c>
      <c r="L158" s="3" t="s">
        <v>20</v>
      </c>
      <c r="M158" s="4">
        <v>0.14479998278496267</v>
      </c>
    </row>
    <row r="159" spans="1:13" x14ac:dyDescent="0.3">
      <c r="A159" s="3" t="s">
        <v>102</v>
      </c>
      <c r="B159" s="3" t="s">
        <v>18</v>
      </c>
      <c r="C159" s="2">
        <v>45745</v>
      </c>
      <c r="D159" s="3" t="s">
        <v>27</v>
      </c>
      <c r="E159" s="3" t="s">
        <v>363</v>
      </c>
      <c r="F159" s="3">
        <v>19461</v>
      </c>
      <c r="G159" s="3">
        <v>1382</v>
      </c>
      <c r="H159" s="3">
        <v>445</v>
      </c>
      <c r="I159" s="3">
        <v>1307</v>
      </c>
      <c r="J159" s="3">
        <v>84691</v>
      </c>
      <c r="K159" s="3">
        <v>151453</v>
      </c>
      <c r="L159" s="3" t="s">
        <v>29</v>
      </c>
      <c r="M159" s="4">
        <v>0.14055845707909384</v>
      </c>
    </row>
    <row r="160" spans="1:13" x14ac:dyDescent="0.3">
      <c r="A160" s="3" t="s">
        <v>102</v>
      </c>
      <c r="B160" s="3" t="s">
        <v>18</v>
      </c>
      <c r="C160" s="2">
        <v>45745</v>
      </c>
      <c r="D160" s="3" t="s">
        <v>27</v>
      </c>
      <c r="E160" s="3" t="s">
        <v>364</v>
      </c>
      <c r="F160" s="3">
        <v>19461</v>
      </c>
      <c r="G160" s="3">
        <v>1382</v>
      </c>
      <c r="H160" s="3">
        <v>445</v>
      </c>
      <c r="I160" s="3">
        <v>1307</v>
      </c>
      <c r="J160" s="3">
        <v>84691</v>
      </c>
      <c r="K160" s="3">
        <v>151453</v>
      </c>
      <c r="L160" s="3" t="s">
        <v>29</v>
      </c>
      <c r="M160" s="4">
        <v>0.14055845707909384</v>
      </c>
    </row>
    <row r="161" spans="1:13" x14ac:dyDescent="0.3">
      <c r="A161" s="3" t="s">
        <v>239</v>
      </c>
      <c r="B161" s="3" t="s">
        <v>13</v>
      </c>
      <c r="C161" s="2">
        <v>45617</v>
      </c>
      <c r="D161" s="3" t="s">
        <v>14</v>
      </c>
      <c r="E161" s="3" t="s">
        <v>363</v>
      </c>
      <c r="F161" s="3">
        <v>8229</v>
      </c>
      <c r="G161" s="3">
        <v>977</v>
      </c>
      <c r="H161" s="3">
        <v>152</v>
      </c>
      <c r="I161" s="3">
        <v>1633</v>
      </c>
      <c r="J161" s="3">
        <v>71447</v>
      </c>
      <c r="K161" s="3">
        <v>67723</v>
      </c>
      <c r="L161" s="3" t="s">
        <v>45</v>
      </c>
      <c r="M161" s="4">
        <v>0.13818052950991538</v>
      </c>
    </row>
    <row r="162" spans="1:13" x14ac:dyDescent="0.3">
      <c r="A162" s="3" t="s">
        <v>239</v>
      </c>
      <c r="B162" s="3" t="s">
        <v>13</v>
      </c>
      <c r="C162" s="2">
        <v>45617</v>
      </c>
      <c r="D162" s="3" t="s">
        <v>14</v>
      </c>
      <c r="E162" s="3" t="s">
        <v>364</v>
      </c>
      <c r="F162" s="3">
        <v>8229</v>
      </c>
      <c r="G162" s="3">
        <v>977</v>
      </c>
      <c r="H162" s="3">
        <v>152</v>
      </c>
      <c r="I162" s="3">
        <v>1633</v>
      </c>
      <c r="J162" s="3">
        <v>71447</v>
      </c>
      <c r="K162" s="3">
        <v>67723</v>
      </c>
      <c r="L162" s="3" t="s">
        <v>45</v>
      </c>
      <c r="M162" s="4">
        <v>0.13818052950991538</v>
      </c>
    </row>
    <row r="163" spans="1:13" x14ac:dyDescent="0.3">
      <c r="A163" s="3" t="s">
        <v>220</v>
      </c>
      <c r="B163" s="3" t="s">
        <v>13</v>
      </c>
      <c r="C163" s="2">
        <v>45943</v>
      </c>
      <c r="D163" s="3" t="s">
        <v>27</v>
      </c>
      <c r="E163" s="3" t="s">
        <v>359</v>
      </c>
      <c r="F163" s="3">
        <v>19302</v>
      </c>
      <c r="G163" s="3">
        <v>1367</v>
      </c>
      <c r="H163" s="3">
        <v>188</v>
      </c>
      <c r="I163" s="3">
        <v>637</v>
      </c>
      <c r="J163" s="3">
        <v>31404</v>
      </c>
      <c r="K163" s="3">
        <v>154044</v>
      </c>
      <c r="L163" s="3" t="s">
        <v>20</v>
      </c>
      <c r="M163" s="4">
        <v>0.13539638025499209</v>
      </c>
    </row>
    <row r="164" spans="1:13" x14ac:dyDescent="0.3">
      <c r="A164" s="3" t="s">
        <v>220</v>
      </c>
      <c r="B164" s="3" t="s">
        <v>13</v>
      </c>
      <c r="C164" s="2">
        <v>45943</v>
      </c>
      <c r="D164" s="3" t="s">
        <v>27</v>
      </c>
      <c r="E164" s="3" t="s">
        <v>366</v>
      </c>
      <c r="F164" s="3">
        <v>19302</v>
      </c>
      <c r="G164" s="3">
        <v>1367</v>
      </c>
      <c r="H164" s="3">
        <v>188</v>
      </c>
      <c r="I164" s="3">
        <v>637</v>
      </c>
      <c r="J164" s="3">
        <v>31404</v>
      </c>
      <c r="K164" s="3">
        <v>154044</v>
      </c>
      <c r="L164" s="3" t="s">
        <v>20</v>
      </c>
      <c r="M164" s="4">
        <v>0.13539638025499209</v>
      </c>
    </row>
    <row r="165" spans="1:13" x14ac:dyDescent="0.3">
      <c r="A165" s="3" t="s">
        <v>124</v>
      </c>
      <c r="B165" s="3" t="s">
        <v>22</v>
      </c>
      <c r="C165" s="2">
        <v>45480</v>
      </c>
      <c r="D165" s="3" t="s">
        <v>23</v>
      </c>
      <c r="E165" s="3" t="s">
        <v>355</v>
      </c>
      <c r="F165" s="3">
        <v>24625</v>
      </c>
      <c r="G165" s="3">
        <v>749</v>
      </c>
      <c r="H165" s="3">
        <v>193</v>
      </c>
      <c r="I165" s="3">
        <v>1340</v>
      </c>
      <c r="J165" s="3">
        <v>4890</v>
      </c>
      <c r="K165" s="3">
        <v>189381</v>
      </c>
      <c r="L165" s="3" t="s">
        <v>16</v>
      </c>
      <c r="M165" s="4">
        <v>0.13500298340382616</v>
      </c>
    </row>
    <row r="166" spans="1:13" x14ac:dyDescent="0.3">
      <c r="A166" s="3" t="s">
        <v>124</v>
      </c>
      <c r="B166" s="3" t="s">
        <v>22</v>
      </c>
      <c r="C166" s="2">
        <v>45480</v>
      </c>
      <c r="D166" s="3" t="s">
        <v>23</v>
      </c>
      <c r="E166" s="3" t="s">
        <v>356</v>
      </c>
      <c r="F166" s="3">
        <v>24625</v>
      </c>
      <c r="G166" s="3">
        <v>749</v>
      </c>
      <c r="H166" s="3">
        <v>193</v>
      </c>
      <c r="I166" s="3">
        <v>1340</v>
      </c>
      <c r="J166" s="3">
        <v>4890</v>
      </c>
      <c r="K166" s="3">
        <v>189381</v>
      </c>
      <c r="L166" s="3" t="s">
        <v>16</v>
      </c>
      <c r="M166" s="4">
        <v>0.13500298340382616</v>
      </c>
    </row>
    <row r="167" spans="1:13" x14ac:dyDescent="0.3">
      <c r="A167" s="3" t="s">
        <v>74</v>
      </c>
      <c r="B167" s="3" t="s">
        <v>22</v>
      </c>
      <c r="C167" s="2">
        <v>45913</v>
      </c>
      <c r="D167" s="3" t="s">
        <v>34</v>
      </c>
      <c r="E167" s="3" t="s">
        <v>361</v>
      </c>
      <c r="F167" s="3">
        <v>17106</v>
      </c>
      <c r="G167" s="3">
        <v>702</v>
      </c>
      <c r="H167" s="3">
        <v>459</v>
      </c>
      <c r="I167" s="3">
        <v>999</v>
      </c>
      <c r="J167" s="3">
        <v>59627</v>
      </c>
      <c r="K167" s="3">
        <v>136059</v>
      </c>
      <c r="L167" s="3" t="s">
        <v>20</v>
      </c>
      <c r="M167" s="4">
        <v>0.13425793222058077</v>
      </c>
    </row>
    <row r="168" spans="1:13" x14ac:dyDescent="0.3">
      <c r="A168" s="3" t="s">
        <v>74</v>
      </c>
      <c r="B168" s="3" t="s">
        <v>22</v>
      </c>
      <c r="C168" s="2">
        <v>45913</v>
      </c>
      <c r="D168" s="3" t="s">
        <v>34</v>
      </c>
      <c r="E168" s="3" t="s">
        <v>362</v>
      </c>
      <c r="F168" s="3">
        <v>17106</v>
      </c>
      <c r="G168" s="3">
        <v>702</v>
      </c>
      <c r="H168" s="3">
        <v>459</v>
      </c>
      <c r="I168" s="3">
        <v>999</v>
      </c>
      <c r="J168" s="3">
        <v>59627</v>
      </c>
      <c r="K168" s="3">
        <v>136059</v>
      </c>
      <c r="L168" s="3" t="s">
        <v>20</v>
      </c>
      <c r="M168" s="4">
        <v>0.13425793222058077</v>
      </c>
    </row>
    <row r="169" spans="1:13" x14ac:dyDescent="0.3">
      <c r="A169" s="3" t="s">
        <v>204</v>
      </c>
      <c r="B169" s="3" t="s">
        <v>13</v>
      </c>
      <c r="C169" s="2">
        <v>45608</v>
      </c>
      <c r="D169" s="3" t="s">
        <v>14</v>
      </c>
      <c r="E169" s="3" t="s">
        <v>355</v>
      </c>
      <c r="F169" s="3">
        <v>19022</v>
      </c>
      <c r="G169" s="3">
        <v>541</v>
      </c>
      <c r="H169" s="3">
        <v>575</v>
      </c>
      <c r="I169" s="3">
        <v>2063</v>
      </c>
      <c r="J169" s="3">
        <v>42743</v>
      </c>
      <c r="K169" s="3">
        <v>150169</v>
      </c>
      <c r="L169" s="3" t="s">
        <v>16</v>
      </c>
      <c r="M169" s="4">
        <v>0.13410224480418728</v>
      </c>
    </row>
    <row r="170" spans="1:13" x14ac:dyDescent="0.3">
      <c r="A170" s="3" t="s">
        <v>204</v>
      </c>
      <c r="B170" s="3" t="s">
        <v>13</v>
      </c>
      <c r="C170" s="2">
        <v>45608</v>
      </c>
      <c r="D170" s="3" t="s">
        <v>14</v>
      </c>
      <c r="E170" s="3" t="s">
        <v>356</v>
      </c>
      <c r="F170" s="3">
        <v>19022</v>
      </c>
      <c r="G170" s="3">
        <v>541</v>
      </c>
      <c r="H170" s="3">
        <v>575</v>
      </c>
      <c r="I170" s="3">
        <v>2063</v>
      </c>
      <c r="J170" s="3">
        <v>42743</v>
      </c>
      <c r="K170" s="3">
        <v>150169</v>
      </c>
      <c r="L170" s="3" t="s">
        <v>16</v>
      </c>
      <c r="M170" s="4">
        <v>0.13410224480418728</v>
      </c>
    </row>
    <row r="171" spans="1:13" x14ac:dyDescent="0.3">
      <c r="A171" s="3" t="s">
        <v>95</v>
      </c>
      <c r="B171" s="3" t="s">
        <v>22</v>
      </c>
      <c r="C171" s="2">
        <v>45685</v>
      </c>
      <c r="D171" s="3" t="s">
        <v>23</v>
      </c>
      <c r="E171" s="3" t="s">
        <v>363</v>
      </c>
      <c r="F171" s="3">
        <v>9239</v>
      </c>
      <c r="G171" s="3">
        <v>1477</v>
      </c>
      <c r="H171" s="3">
        <v>631</v>
      </c>
      <c r="I171" s="3">
        <v>1556</v>
      </c>
      <c r="J171" s="3">
        <v>11580</v>
      </c>
      <c r="K171" s="3">
        <v>84738</v>
      </c>
      <c r="L171" s="3" t="s">
        <v>25</v>
      </c>
      <c r="M171" s="4">
        <v>0.13390686586891359</v>
      </c>
    </row>
    <row r="172" spans="1:13" x14ac:dyDescent="0.3">
      <c r="A172" s="3" t="s">
        <v>95</v>
      </c>
      <c r="B172" s="3" t="s">
        <v>22</v>
      </c>
      <c r="C172" s="2">
        <v>45685</v>
      </c>
      <c r="D172" s="3" t="s">
        <v>23</v>
      </c>
      <c r="E172" s="3" t="s">
        <v>364</v>
      </c>
      <c r="F172" s="3">
        <v>9239</v>
      </c>
      <c r="G172" s="3">
        <v>1477</v>
      </c>
      <c r="H172" s="3">
        <v>631</v>
      </c>
      <c r="I172" s="3">
        <v>1556</v>
      </c>
      <c r="J172" s="3">
        <v>11580</v>
      </c>
      <c r="K172" s="3">
        <v>84738</v>
      </c>
      <c r="L172" s="3" t="s">
        <v>25</v>
      </c>
      <c r="M172" s="4">
        <v>0.13390686586891359</v>
      </c>
    </row>
    <row r="173" spans="1:13" x14ac:dyDescent="0.3">
      <c r="A173" s="3" t="s">
        <v>183</v>
      </c>
      <c r="B173" s="3" t="s">
        <v>13</v>
      </c>
      <c r="C173" s="2">
        <v>45586</v>
      </c>
      <c r="D173" s="3" t="s">
        <v>23</v>
      </c>
      <c r="E173" s="3" t="s">
        <v>365</v>
      </c>
      <c r="F173" s="3">
        <v>20777</v>
      </c>
      <c r="G173" s="3">
        <v>962</v>
      </c>
      <c r="H173" s="3">
        <v>308</v>
      </c>
      <c r="I173" s="3">
        <v>2777</v>
      </c>
      <c r="J173" s="3">
        <v>25529</v>
      </c>
      <c r="K173" s="3">
        <v>165354</v>
      </c>
      <c r="L173" s="3" t="s">
        <v>16</v>
      </c>
      <c r="M173" s="4">
        <v>0.13333212380710477</v>
      </c>
    </row>
    <row r="174" spans="1:13" x14ac:dyDescent="0.3">
      <c r="A174" s="3" t="s">
        <v>183</v>
      </c>
      <c r="B174" s="3" t="s">
        <v>13</v>
      </c>
      <c r="C174" s="2">
        <v>45586</v>
      </c>
      <c r="D174" s="3" t="s">
        <v>23</v>
      </c>
      <c r="E174" s="3" t="s">
        <v>359</v>
      </c>
      <c r="F174" s="3">
        <v>20777</v>
      </c>
      <c r="G174" s="3">
        <v>962</v>
      </c>
      <c r="H174" s="3">
        <v>308</v>
      </c>
      <c r="I174" s="3">
        <v>2777</v>
      </c>
      <c r="J174" s="3">
        <v>25529</v>
      </c>
      <c r="K174" s="3">
        <v>165354</v>
      </c>
      <c r="L174" s="3" t="s">
        <v>16</v>
      </c>
      <c r="M174" s="4">
        <v>0.13333212380710477</v>
      </c>
    </row>
    <row r="175" spans="1:13" x14ac:dyDescent="0.3">
      <c r="A175" s="3" t="s">
        <v>107</v>
      </c>
      <c r="B175" s="3" t="s">
        <v>40</v>
      </c>
      <c r="C175" s="2">
        <v>45719</v>
      </c>
      <c r="D175" s="3" t="s">
        <v>34</v>
      </c>
      <c r="E175" s="3" t="s">
        <v>359</v>
      </c>
      <c r="F175" s="3">
        <v>24928</v>
      </c>
      <c r="G175" s="3">
        <v>214</v>
      </c>
      <c r="H175" s="3">
        <v>765</v>
      </c>
      <c r="I175" s="3">
        <v>1556</v>
      </c>
      <c r="J175" s="3">
        <v>5239</v>
      </c>
      <c r="K175" s="3">
        <v>194571</v>
      </c>
      <c r="L175" s="3" t="s">
        <v>45</v>
      </c>
      <c r="M175" s="4">
        <v>0.13314933880177415</v>
      </c>
    </row>
    <row r="176" spans="1:13" x14ac:dyDescent="0.3">
      <c r="A176" s="3" t="s">
        <v>107</v>
      </c>
      <c r="B176" s="3" t="s">
        <v>40</v>
      </c>
      <c r="C176" s="2">
        <v>45719</v>
      </c>
      <c r="D176" s="3" t="s">
        <v>34</v>
      </c>
      <c r="E176" s="3" t="s">
        <v>366</v>
      </c>
      <c r="F176" s="3">
        <v>24928</v>
      </c>
      <c r="G176" s="3">
        <v>214</v>
      </c>
      <c r="H176" s="3">
        <v>765</v>
      </c>
      <c r="I176" s="3">
        <v>1556</v>
      </c>
      <c r="J176" s="3">
        <v>5239</v>
      </c>
      <c r="K176" s="3">
        <v>194571</v>
      </c>
      <c r="L176" s="3" t="s">
        <v>45</v>
      </c>
      <c r="M176" s="4">
        <v>0.13314933880177415</v>
      </c>
    </row>
    <row r="177" spans="1:13" x14ac:dyDescent="0.3">
      <c r="A177" s="3" t="s">
        <v>301</v>
      </c>
      <c r="B177" s="3" t="s">
        <v>13</v>
      </c>
      <c r="C177" s="2">
        <v>45708</v>
      </c>
      <c r="D177" s="3" t="s">
        <v>34</v>
      </c>
      <c r="E177" s="3" t="s">
        <v>365</v>
      </c>
      <c r="F177" s="3">
        <v>15703</v>
      </c>
      <c r="G177" s="3">
        <v>1381</v>
      </c>
      <c r="H177" s="3">
        <v>639</v>
      </c>
      <c r="I177" s="3">
        <v>984</v>
      </c>
      <c r="J177" s="3">
        <v>10967</v>
      </c>
      <c r="K177" s="3">
        <v>133747</v>
      </c>
      <c r="L177" s="3" t="s">
        <v>45</v>
      </c>
      <c r="M177" s="4">
        <v>0.13251138343289942</v>
      </c>
    </row>
    <row r="178" spans="1:13" x14ac:dyDescent="0.3">
      <c r="A178" s="3" t="s">
        <v>301</v>
      </c>
      <c r="B178" s="3" t="s">
        <v>13</v>
      </c>
      <c r="C178" s="2">
        <v>45708</v>
      </c>
      <c r="D178" s="3" t="s">
        <v>34</v>
      </c>
      <c r="E178" s="3" t="s">
        <v>359</v>
      </c>
      <c r="F178" s="3">
        <v>15703</v>
      </c>
      <c r="G178" s="3">
        <v>1381</v>
      </c>
      <c r="H178" s="3">
        <v>639</v>
      </c>
      <c r="I178" s="3">
        <v>984</v>
      </c>
      <c r="J178" s="3">
        <v>10967</v>
      </c>
      <c r="K178" s="3">
        <v>133747</v>
      </c>
      <c r="L178" s="3" t="s">
        <v>45</v>
      </c>
      <c r="M178" s="4">
        <v>0.13251138343289942</v>
      </c>
    </row>
    <row r="179" spans="1:13" x14ac:dyDescent="0.3">
      <c r="A179" s="3" t="s">
        <v>33</v>
      </c>
      <c r="B179" s="3" t="s">
        <v>22</v>
      </c>
      <c r="C179" s="2">
        <v>45467</v>
      </c>
      <c r="D179" s="3" t="s">
        <v>34</v>
      </c>
      <c r="E179" s="3" t="s">
        <v>361</v>
      </c>
      <c r="F179" s="3">
        <v>7713</v>
      </c>
      <c r="G179" s="3">
        <v>575</v>
      </c>
      <c r="H179" s="3">
        <v>417</v>
      </c>
      <c r="I179" s="3">
        <v>336</v>
      </c>
      <c r="J179" s="3">
        <v>61660</v>
      </c>
      <c r="K179" s="3">
        <v>66017</v>
      </c>
      <c r="L179" s="3" t="s">
        <v>29</v>
      </c>
      <c r="M179" s="4">
        <v>0.13185997546086614</v>
      </c>
    </row>
    <row r="180" spans="1:13" x14ac:dyDescent="0.3">
      <c r="A180" s="3" t="s">
        <v>33</v>
      </c>
      <c r="B180" s="3" t="s">
        <v>22</v>
      </c>
      <c r="C180" s="2">
        <v>45467</v>
      </c>
      <c r="D180" s="3" t="s">
        <v>34</v>
      </c>
      <c r="E180" s="3" t="s">
        <v>362</v>
      </c>
      <c r="F180" s="3">
        <v>7713</v>
      </c>
      <c r="G180" s="3">
        <v>575</v>
      </c>
      <c r="H180" s="3">
        <v>417</v>
      </c>
      <c r="I180" s="3">
        <v>336</v>
      </c>
      <c r="J180" s="3">
        <v>61660</v>
      </c>
      <c r="K180" s="3">
        <v>66017</v>
      </c>
      <c r="L180" s="3" t="s">
        <v>29</v>
      </c>
      <c r="M180" s="4">
        <v>0.13185997546086614</v>
      </c>
    </row>
    <row r="181" spans="1:13" x14ac:dyDescent="0.3">
      <c r="A181" s="3" t="s">
        <v>136</v>
      </c>
      <c r="B181" s="3" t="s">
        <v>22</v>
      </c>
      <c r="C181" s="2">
        <v>45925</v>
      </c>
      <c r="D181" s="3" t="s">
        <v>14</v>
      </c>
      <c r="E181" s="3" t="s">
        <v>32</v>
      </c>
      <c r="F181" s="3">
        <v>20564</v>
      </c>
      <c r="G181" s="3">
        <v>1433</v>
      </c>
      <c r="H181" s="3">
        <v>488</v>
      </c>
      <c r="I181" s="3">
        <v>1015</v>
      </c>
      <c r="J181" s="3">
        <v>24333</v>
      </c>
      <c r="K181" s="3">
        <v>172130</v>
      </c>
      <c r="L181" s="3" t="s">
        <v>20</v>
      </c>
      <c r="M181" s="4">
        <v>0.13062801371056759</v>
      </c>
    </row>
    <row r="182" spans="1:13" x14ac:dyDescent="0.3">
      <c r="A182" s="3" t="s">
        <v>330</v>
      </c>
      <c r="B182" s="3" t="s">
        <v>40</v>
      </c>
      <c r="C182" s="2">
        <v>45462</v>
      </c>
      <c r="D182" s="3" t="s">
        <v>34</v>
      </c>
      <c r="E182" s="3" t="s">
        <v>367</v>
      </c>
      <c r="F182" s="3">
        <v>20444</v>
      </c>
      <c r="G182" s="3">
        <v>233</v>
      </c>
      <c r="H182" s="3">
        <v>189</v>
      </c>
      <c r="I182" s="3">
        <v>2879</v>
      </c>
      <c r="J182" s="3">
        <v>28185</v>
      </c>
      <c r="K182" s="3">
        <v>159891</v>
      </c>
      <c r="L182" s="3" t="s">
        <v>29</v>
      </c>
      <c r="M182" s="4">
        <v>0.13050140408153055</v>
      </c>
    </row>
    <row r="183" spans="1:13" x14ac:dyDescent="0.3">
      <c r="A183" s="3" t="s">
        <v>330</v>
      </c>
      <c r="B183" s="3" t="s">
        <v>40</v>
      </c>
      <c r="C183" s="2">
        <v>45462</v>
      </c>
      <c r="D183" s="3" t="s">
        <v>34</v>
      </c>
      <c r="E183" s="3" t="s">
        <v>32</v>
      </c>
      <c r="F183" s="3">
        <v>20444</v>
      </c>
      <c r="G183" s="3">
        <v>233</v>
      </c>
      <c r="H183" s="3">
        <v>189</v>
      </c>
      <c r="I183" s="3">
        <v>2879</v>
      </c>
      <c r="J183" s="3">
        <v>28185</v>
      </c>
      <c r="K183" s="3">
        <v>159891</v>
      </c>
      <c r="L183" s="3" t="s">
        <v>29</v>
      </c>
      <c r="M183" s="4">
        <v>0.13050140408153055</v>
      </c>
    </row>
    <row r="184" spans="1:13" x14ac:dyDescent="0.3">
      <c r="A184" s="3" t="s">
        <v>12</v>
      </c>
      <c r="B184" s="3" t="s">
        <v>13</v>
      </c>
      <c r="C184" s="2">
        <v>45649</v>
      </c>
      <c r="D184" s="3" t="s">
        <v>14</v>
      </c>
      <c r="E184" s="3" t="s">
        <v>353</v>
      </c>
      <c r="F184" s="3">
        <v>24516</v>
      </c>
      <c r="G184" s="3">
        <v>976</v>
      </c>
      <c r="H184" s="3">
        <v>974</v>
      </c>
      <c r="I184" s="3">
        <v>2675</v>
      </c>
      <c r="J184" s="3">
        <v>23275</v>
      </c>
      <c r="K184" s="3">
        <v>202932</v>
      </c>
      <c r="L184" s="3" t="s">
        <v>16</v>
      </c>
      <c r="M184" s="4">
        <v>0.13041807107799658</v>
      </c>
    </row>
    <row r="185" spans="1:13" x14ac:dyDescent="0.3">
      <c r="A185" s="3" t="s">
        <v>12</v>
      </c>
      <c r="B185" s="3" t="s">
        <v>13</v>
      </c>
      <c r="C185" s="2">
        <v>45649</v>
      </c>
      <c r="D185" s="3" t="s">
        <v>14</v>
      </c>
      <c r="E185" s="3" t="s">
        <v>354</v>
      </c>
      <c r="F185" s="3">
        <v>24516</v>
      </c>
      <c r="G185" s="3">
        <v>976</v>
      </c>
      <c r="H185" s="3">
        <v>974</v>
      </c>
      <c r="I185" s="3">
        <v>2675</v>
      </c>
      <c r="J185" s="3">
        <v>23275</v>
      </c>
      <c r="K185" s="3">
        <v>202932</v>
      </c>
      <c r="L185" s="3" t="s">
        <v>16</v>
      </c>
      <c r="M185" s="4">
        <v>0.13041807107799658</v>
      </c>
    </row>
    <row r="186" spans="1:13" x14ac:dyDescent="0.3">
      <c r="A186" s="3" t="s">
        <v>120</v>
      </c>
      <c r="B186" s="3" t="s">
        <v>18</v>
      </c>
      <c r="C186" s="2">
        <v>45635</v>
      </c>
      <c r="D186" s="3" t="s">
        <v>14</v>
      </c>
      <c r="E186" s="3" t="s">
        <v>355</v>
      </c>
      <c r="F186" s="3">
        <v>15051</v>
      </c>
      <c r="G186" s="3">
        <v>268</v>
      </c>
      <c r="H186" s="3">
        <v>251</v>
      </c>
      <c r="I186" s="3">
        <v>783</v>
      </c>
      <c r="J186" s="3">
        <v>34154</v>
      </c>
      <c r="K186" s="3">
        <v>119671</v>
      </c>
      <c r="L186" s="3" t="s">
        <v>29</v>
      </c>
      <c r="M186" s="4">
        <v>0.13010670922779954</v>
      </c>
    </row>
    <row r="187" spans="1:13" x14ac:dyDescent="0.3">
      <c r="A187" s="3" t="s">
        <v>120</v>
      </c>
      <c r="B187" s="3" t="s">
        <v>18</v>
      </c>
      <c r="C187" s="2">
        <v>45635</v>
      </c>
      <c r="D187" s="3" t="s">
        <v>14</v>
      </c>
      <c r="E187" s="3" t="s">
        <v>356</v>
      </c>
      <c r="F187" s="3">
        <v>15051</v>
      </c>
      <c r="G187" s="3">
        <v>268</v>
      </c>
      <c r="H187" s="3">
        <v>251</v>
      </c>
      <c r="I187" s="3">
        <v>783</v>
      </c>
      <c r="J187" s="3">
        <v>34154</v>
      </c>
      <c r="K187" s="3">
        <v>119671</v>
      </c>
      <c r="L187" s="3" t="s">
        <v>29</v>
      </c>
      <c r="M187" s="4">
        <v>0.13010670922779954</v>
      </c>
    </row>
    <row r="188" spans="1:13" x14ac:dyDescent="0.3">
      <c r="A188" s="3" t="s">
        <v>88</v>
      </c>
      <c r="B188" s="3" t="s">
        <v>13</v>
      </c>
      <c r="C188" s="2">
        <v>45712</v>
      </c>
      <c r="D188" s="3" t="s">
        <v>14</v>
      </c>
      <c r="E188" s="3" t="s">
        <v>359</v>
      </c>
      <c r="F188" s="3">
        <v>23949</v>
      </c>
      <c r="G188" s="3">
        <v>356</v>
      </c>
      <c r="H188" s="3">
        <v>616</v>
      </c>
      <c r="I188" s="3">
        <v>1847</v>
      </c>
      <c r="J188" s="3">
        <v>3144</v>
      </c>
      <c r="K188" s="3">
        <v>192999</v>
      </c>
      <c r="L188" s="3" t="s">
        <v>29</v>
      </c>
      <c r="M188" s="4">
        <v>0.12912502137316773</v>
      </c>
    </row>
    <row r="189" spans="1:13" x14ac:dyDescent="0.3">
      <c r="A189" s="3" t="s">
        <v>88</v>
      </c>
      <c r="B189" s="3" t="s">
        <v>13</v>
      </c>
      <c r="C189" s="2">
        <v>45712</v>
      </c>
      <c r="D189" s="3" t="s">
        <v>14</v>
      </c>
      <c r="E189" s="3" t="s">
        <v>366</v>
      </c>
      <c r="F189" s="3">
        <v>23949</v>
      </c>
      <c r="G189" s="3">
        <v>356</v>
      </c>
      <c r="H189" s="3">
        <v>616</v>
      </c>
      <c r="I189" s="3">
        <v>1847</v>
      </c>
      <c r="J189" s="3">
        <v>3144</v>
      </c>
      <c r="K189" s="3">
        <v>192999</v>
      </c>
      <c r="L189" s="3" t="s">
        <v>29</v>
      </c>
      <c r="M189" s="4">
        <v>0.12912502137316773</v>
      </c>
    </row>
    <row r="190" spans="1:13" x14ac:dyDescent="0.3">
      <c r="A190" s="3" t="s">
        <v>174</v>
      </c>
      <c r="B190" s="3" t="s">
        <v>22</v>
      </c>
      <c r="C190" s="2">
        <v>45745</v>
      </c>
      <c r="D190" s="3" t="s">
        <v>34</v>
      </c>
      <c r="E190" s="3" t="s">
        <v>357</v>
      </c>
      <c r="F190" s="3">
        <v>23508</v>
      </c>
      <c r="G190" s="3">
        <v>585</v>
      </c>
      <c r="H190" s="3">
        <v>743</v>
      </c>
      <c r="I190" s="3">
        <v>2155</v>
      </c>
      <c r="J190" s="3">
        <v>3704</v>
      </c>
      <c r="K190" s="3">
        <v>194268</v>
      </c>
      <c r="L190" s="3" t="s">
        <v>29</v>
      </c>
      <c r="M190" s="4">
        <v>0.1278440093067309</v>
      </c>
    </row>
    <row r="191" spans="1:13" x14ac:dyDescent="0.3">
      <c r="A191" s="3" t="s">
        <v>174</v>
      </c>
      <c r="B191" s="3" t="s">
        <v>22</v>
      </c>
      <c r="C191" s="2">
        <v>45745</v>
      </c>
      <c r="D191" s="3" t="s">
        <v>34</v>
      </c>
      <c r="E191" s="3" t="s">
        <v>358</v>
      </c>
      <c r="F191" s="3">
        <v>23508</v>
      </c>
      <c r="G191" s="3">
        <v>585</v>
      </c>
      <c r="H191" s="3">
        <v>743</v>
      </c>
      <c r="I191" s="3">
        <v>2155</v>
      </c>
      <c r="J191" s="3">
        <v>3704</v>
      </c>
      <c r="K191" s="3">
        <v>194268</v>
      </c>
      <c r="L191" s="3" t="s">
        <v>29</v>
      </c>
      <c r="M191" s="4">
        <v>0.1278440093067309</v>
      </c>
    </row>
    <row r="192" spans="1:13" x14ac:dyDescent="0.3">
      <c r="A192" s="3" t="s">
        <v>230</v>
      </c>
      <c r="B192" s="3" t="s">
        <v>13</v>
      </c>
      <c r="C192" s="2">
        <v>45567</v>
      </c>
      <c r="D192" s="3" t="s">
        <v>27</v>
      </c>
      <c r="E192" s="3" t="s">
        <v>361</v>
      </c>
      <c r="F192" s="3">
        <v>5086</v>
      </c>
      <c r="G192" s="3">
        <v>1336</v>
      </c>
      <c r="H192" s="3">
        <v>897</v>
      </c>
      <c r="I192" s="3">
        <v>1715</v>
      </c>
      <c r="J192" s="3">
        <v>60592</v>
      </c>
      <c r="K192" s="3">
        <v>57772</v>
      </c>
      <c r="L192" s="3" t="s">
        <v>25</v>
      </c>
      <c r="M192" s="4">
        <v>0.12668766876687668</v>
      </c>
    </row>
    <row r="193" spans="1:13" x14ac:dyDescent="0.3">
      <c r="A193" s="3" t="s">
        <v>230</v>
      </c>
      <c r="B193" s="3" t="s">
        <v>13</v>
      </c>
      <c r="C193" s="2">
        <v>45567</v>
      </c>
      <c r="D193" s="3" t="s">
        <v>27</v>
      </c>
      <c r="E193" s="3" t="s">
        <v>362</v>
      </c>
      <c r="F193" s="3">
        <v>5086</v>
      </c>
      <c r="G193" s="3">
        <v>1336</v>
      </c>
      <c r="H193" s="3">
        <v>897</v>
      </c>
      <c r="I193" s="3">
        <v>1715</v>
      </c>
      <c r="J193" s="3">
        <v>60592</v>
      </c>
      <c r="K193" s="3">
        <v>57772</v>
      </c>
      <c r="L193" s="3" t="s">
        <v>25</v>
      </c>
      <c r="M193" s="4">
        <v>0.12668766876687668</v>
      </c>
    </row>
    <row r="194" spans="1:13" x14ac:dyDescent="0.3">
      <c r="A194" s="3" t="s">
        <v>171</v>
      </c>
      <c r="B194" s="3" t="s">
        <v>13</v>
      </c>
      <c r="C194" s="2">
        <v>45624</v>
      </c>
      <c r="D194" s="3" t="s">
        <v>34</v>
      </c>
      <c r="E194" s="3" t="s">
        <v>365</v>
      </c>
      <c r="F194" s="3">
        <v>19055</v>
      </c>
      <c r="G194" s="3">
        <v>443</v>
      </c>
      <c r="H194" s="3">
        <v>976</v>
      </c>
      <c r="I194" s="3">
        <v>869</v>
      </c>
      <c r="J194" s="3">
        <v>75437</v>
      </c>
      <c r="K194" s="3">
        <v>161863</v>
      </c>
      <c r="L194" s="3" t="s">
        <v>25</v>
      </c>
      <c r="M194" s="4">
        <v>0.12648968572187591</v>
      </c>
    </row>
    <row r="195" spans="1:13" x14ac:dyDescent="0.3">
      <c r="A195" s="3" t="s">
        <v>171</v>
      </c>
      <c r="B195" s="3" t="s">
        <v>13</v>
      </c>
      <c r="C195" s="2">
        <v>45624</v>
      </c>
      <c r="D195" s="3" t="s">
        <v>34</v>
      </c>
      <c r="E195" s="3" t="s">
        <v>359</v>
      </c>
      <c r="F195" s="3">
        <v>19055</v>
      </c>
      <c r="G195" s="3">
        <v>443</v>
      </c>
      <c r="H195" s="3">
        <v>976</v>
      </c>
      <c r="I195" s="3">
        <v>869</v>
      </c>
      <c r="J195" s="3">
        <v>75437</v>
      </c>
      <c r="K195" s="3">
        <v>161863</v>
      </c>
      <c r="L195" s="3" t="s">
        <v>25</v>
      </c>
      <c r="M195" s="4">
        <v>0.12648968572187591</v>
      </c>
    </row>
    <row r="196" spans="1:13" x14ac:dyDescent="0.3">
      <c r="A196" s="3" t="s">
        <v>241</v>
      </c>
      <c r="B196" s="3" t="s">
        <v>18</v>
      </c>
      <c r="C196" s="2">
        <v>45923</v>
      </c>
      <c r="D196" s="3" t="s">
        <v>23</v>
      </c>
      <c r="E196" s="3" t="s">
        <v>359</v>
      </c>
      <c r="F196" s="3">
        <v>17147</v>
      </c>
      <c r="G196" s="3">
        <v>286</v>
      </c>
      <c r="H196" s="3">
        <v>291</v>
      </c>
      <c r="I196" s="3">
        <v>2439</v>
      </c>
      <c r="J196" s="3">
        <v>45631</v>
      </c>
      <c r="K196" s="3">
        <v>140494</v>
      </c>
      <c r="L196" s="3" t="s">
        <v>20</v>
      </c>
      <c r="M196" s="4">
        <v>0.12615485358805359</v>
      </c>
    </row>
    <row r="197" spans="1:13" x14ac:dyDescent="0.3">
      <c r="A197" s="3" t="s">
        <v>241</v>
      </c>
      <c r="B197" s="3" t="s">
        <v>18</v>
      </c>
      <c r="C197" s="2">
        <v>45923</v>
      </c>
      <c r="D197" s="3" t="s">
        <v>23</v>
      </c>
      <c r="E197" s="3" t="s">
        <v>366</v>
      </c>
      <c r="F197" s="3">
        <v>17147</v>
      </c>
      <c r="G197" s="3">
        <v>286</v>
      </c>
      <c r="H197" s="3">
        <v>291</v>
      </c>
      <c r="I197" s="3">
        <v>2439</v>
      </c>
      <c r="J197" s="3">
        <v>45631</v>
      </c>
      <c r="K197" s="3">
        <v>140494</v>
      </c>
      <c r="L197" s="3" t="s">
        <v>20</v>
      </c>
      <c r="M197" s="4">
        <v>0.12615485358805359</v>
      </c>
    </row>
    <row r="198" spans="1:13" x14ac:dyDescent="0.3">
      <c r="A198" s="3" t="s">
        <v>58</v>
      </c>
      <c r="B198" s="3" t="s">
        <v>18</v>
      </c>
      <c r="C198" s="2">
        <v>45680</v>
      </c>
      <c r="D198" s="3" t="s">
        <v>27</v>
      </c>
      <c r="E198" s="3" t="s">
        <v>365</v>
      </c>
      <c r="F198" s="3">
        <v>23168</v>
      </c>
      <c r="G198" s="3">
        <v>1265</v>
      </c>
      <c r="H198" s="3">
        <v>441</v>
      </c>
      <c r="I198" s="3">
        <v>1612</v>
      </c>
      <c r="J198" s="3">
        <v>66615</v>
      </c>
      <c r="K198" s="3">
        <v>197795</v>
      </c>
      <c r="L198" s="3" t="s">
        <v>29</v>
      </c>
      <c r="M198" s="4">
        <v>0.12575646502692181</v>
      </c>
    </row>
    <row r="199" spans="1:13" x14ac:dyDescent="0.3">
      <c r="A199" s="3" t="s">
        <v>58</v>
      </c>
      <c r="B199" s="3" t="s">
        <v>18</v>
      </c>
      <c r="C199" s="2">
        <v>45680</v>
      </c>
      <c r="D199" s="3" t="s">
        <v>27</v>
      </c>
      <c r="E199" s="3" t="s">
        <v>359</v>
      </c>
      <c r="F199" s="3">
        <v>23168</v>
      </c>
      <c r="G199" s="3">
        <v>1265</v>
      </c>
      <c r="H199" s="3">
        <v>441</v>
      </c>
      <c r="I199" s="3">
        <v>1612</v>
      </c>
      <c r="J199" s="3">
        <v>66615</v>
      </c>
      <c r="K199" s="3">
        <v>197795</v>
      </c>
      <c r="L199" s="3" t="s">
        <v>29</v>
      </c>
      <c r="M199" s="4">
        <v>0.12575646502692181</v>
      </c>
    </row>
    <row r="200" spans="1:13" x14ac:dyDescent="0.3">
      <c r="A200" s="3" t="s">
        <v>307</v>
      </c>
      <c r="B200" s="3" t="s">
        <v>40</v>
      </c>
      <c r="C200" s="2">
        <v>45582</v>
      </c>
      <c r="D200" s="3" t="s">
        <v>27</v>
      </c>
      <c r="E200" s="3" t="s">
        <v>357</v>
      </c>
      <c r="F200" s="3">
        <v>18608</v>
      </c>
      <c r="G200" s="3">
        <v>1338</v>
      </c>
      <c r="H200" s="3">
        <v>365</v>
      </c>
      <c r="I200" s="3">
        <v>2289</v>
      </c>
      <c r="J200" s="3">
        <v>20785</v>
      </c>
      <c r="K200" s="3">
        <v>161999</v>
      </c>
      <c r="L200" s="3" t="s">
        <v>16</v>
      </c>
      <c r="M200" s="4">
        <v>0.12537731714393299</v>
      </c>
    </row>
    <row r="201" spans="1:13" x14ac:dyDescent="0.3">
      <c r="A201" s="3" t="s">
        <v>307</v>
      </c>
      <c r="B201" s="3" t="s">
        <v>40</v>
      </c>
      <c r="C201" s="2">
        <v>45582</v>
      </c>
      <c r="D201" s="3" t="s">
        <v>27</v>
      </c>
      <c r="E201" s="3" t="s">
        <v>358</v>
      </c>
      <c r="F201" s="3">
        <v>18608</v>
      </c>
      <c r="G201" s="3">
        <v>1338</v>
      </c>
      <c r="H201" s="3">
        <v>365</v>
      </c>
      <c r="I201" s="3">
        <v>2289</v>
      </c>
      <c r="J201" s="3">
        <v>20785</v>
      </c>
      <c r="K201" s="3">
        <v>161999</v>
      </c>
      <c r="L201" s="3" t="s">
        <v>16</v>
      </c>
      <c r="M201" s="4">
        <v>0.12537731714393299</v>
      </c>
    </row>
    <row r="202" spans="1:13" x14ac:dyDescent="0.3">
      <c r="A202" s="3" t="s">
        <v>167</v>
      </c>
      <c r="B202" s="3" t="s">
        <v>18</v>
      </c>
      <c r="C202" s="2">
        <v>45586</v>
      </c>
      <c r="D202" s="3" t="s">
        <v>14</v>
      </c>
      <c r="E202" s="3" t="s">
        <v>365</v>
      </c>
      <c r="F202" s="3">
        <v>20271</v>
      </c>
      <c r="G202" s="3">
        <v>512</v>
      </c>
      <c r="H202" s="3">
        <v>286</v>
      </c>
      <c r="I202" s="3">
        <v>1982</v>
      </c>
      <c r="J202" s="3">
        <v>43225</v>
      </c>
      <c r="K202" s="3">
        <v>168335</v>
      </c>
      <c r="L202" s="3" t="s">
        <v>29</v>
      </c>
      <c r="M202" s="4">
        <v>0.12516113701844536</v>
      </c>
    </row>
    <row r="203" spans="1:13" x14ac:dyDescent="0.3">
      <c r="A203" s="3" t="s">
        <v>167</v>
      </c>
      <c r="B203" s="3" t="s">
        <v>18</v>
      </c>
      <c r="C203" s="2">
        <v>45586</v>
      </c>
      <c r="D203" s="3" t="s">
        <v>14</v>
      </c>
      <c r="E203" s="3" t="s">
        <v>359</v>
      </c>
      <c r="F203" s="3">
        <v>20271</v>
      </c>
      <c r="G203" s="3">
        <v>512</v>
      </c>
      <c r="H203" s="3">
        <v>286</v>
      </c>
      <c r="I203" s="3">
        <v>1982</v>
      </c>
      <c r="J203" s="3">
        <v>43225</v>
      </c>
      <c r="K203" s="3">
        <v>168335</v>
      </c>
      <c r="L203" s="3" t="s">
        <v>29</v>
      </c>
      <c r="M203" s="4">
        <v>0.12516113701844536</v>
      </c>
    </row>
    <row r="204" spans="1:13" x14ac:dyDescent="0.3">
      <c r="A204" s="3" t="s">
        <v>71</v>
      </c>
      <c r="B204" s="3" t="s">
        <v>22</v>
      </c>
      <c r="C204" s="2">
        <v>45766</v>
      </c>
      <c r="D204" s="3" t="s">
        <v>34</v>
      </c>
      <c r="E204" s="3" t="s">
        <v>64</v>
      </c>
      <c r="F204" s="3">
        <v>20384</v>
      </c>
      <c r="G204" s="3">
        <v>344</v>
      </c>
      <c r="H204" s="3">
        <v>956</v>
      </c>
      <c r="I204" s="3">
        <v>655</v>
      </c>
      <c r="J204" s="3">
        <v>67621</v>
      </c>
      <c r="K204" s="3">
        <v>175720</v>
      </c>
      <c r="L204" s="3" t="s">
        <v>25</v>
      </c>
      <c r="M204" s="4">
        <v>0.12340086501251991</v>
      </c>
    </row>
    <row r="205" spans="1:13" x14ac:dyDescent="0.3">
      <c r="A205" s="3" t="s">
        <v>180</v>
      </c>
      <c r="B205" s="3" t="s">
        <v>18</v>
      </c>
      <c r="C205" s="2">
        <v>45593</v>
      </c>
      <c r="D205" s="3" t="s">
        <v>34</v>
      </c>
      <c r="E205" s="3" t="s">
        <v>367</v>
      </c>
      <c r="F205" s="3">
        <v>8981</v>
      </c>
      <c r="G205" s="3">
        <v>1138</v>
      </c>
      <c r="H205" s="3">
        <v>764</v>
      </c>
      <c r="I205" s="3">
        <v>2555</v>
      </c>
      <c r="J205" s="3">
        <v>92810</v>
      </c>
      <c r="K205" s="3">
        <v>88320</v>
      </c>
      <c r="L205" s="3" t="s">
        <v>45</v>
      </c>
      <c r="M205" s="4">
        <v>0.1232223731884058</v>
      </c>
    </row>
    <row r="206" spans="1:13" x14ac:dyDescent="0.3">
      <c r="A206" s="3" t="s">
        <v>180</v>
      </c>
      <c r="B206" s="3" t="s">
        <v>18</v>
      </c>
      <c r="C206" s="2">
        <v>45593</v>
      </c>
      <c r="D206" s="3" t="s">
        <v>34</v>
      </c>
      <c r="E206" s="3" t="s">
        <v>32</v>
      </c>
      <c r="F206" s="3">
        <v>8981</v>
      </c>
      <c r="G206" s="3">
        <v>1138</v>
      </c>
      <c r="H206" s="3">
        <v>764</v>
      </c>
      <c r="I206" s="3">
        <v>2555</v>
      </c>
      <c r="J206" s="3">
        <v>92810</v>
      </c>
      <c r="K206" s="3">
        <v>88320</v>
      </c>
      <c r="L206" s="3" t="s">
        <v>45</v>
      </c>
      <c r="M206" s="4">
        <v>0.1232223731884058</v>
      </c>
    </row>
    <row r="207" spans="1:13" x14ac:dyDescent="0.3">
      <c r="A207" s="3" t="s">
        <v>193</v>
      </c>
      <c r="B207" s="3" t="s">
        <v>13</v>
      </c>
      <c r="C207" s="2">
        <v>45496</v>
      </c>
      <c r="D207" s="3" t="s">
        <v>27</v>
      </c>
      <c r="E207" s="3" t="s">
        <v>367</v>
      </c>
      <c r="F207" s="3">
        <v>24877</v>
      </c>
      <c r="G207" s="3">
        <v>262</v>
      </c>
      <c r="H207" s="3">
        <v>513</v>
      </c>
      <c r="I207" s="3">
        <v>648</v>
      </c>
      <c r="J207" s="3">
        <v>47544</v>
      </c>
      <c r="K207" s="3">
        <v>208280</v>
      </c>
      <c r="L207" s="3" t="s">
        <v>25</v>
      </c>
      <c r="M207" s="4">
        <v>0.12316112924908777</v>
      </c>
    </row>
    <row r="208" spans="1:13" x14ac:dyDescent="0.3">
      <c r="A208" s="3" t="s">
        <v>193</v>
      </c>
      <c r="B208" s="3" t="s">
        <v>13</v>
      </c>
      <c r="C208" s="2">
        <v>45496</v>
      </c>
      <c r="D208" s="3" t="s">
        <v>27</v>
      </c>
      <c r="E208" s="3" t="s">
        <v>32</v>
      </c>
      <c r="F208" s="3">
        <v>24877</v>
      </c>
      <c r="G208" s="3">
        <v>262</v>
      </c>
      <c r="H208" s="3">
        <v>513</v>
      </c>
      <c r="I208" s="3">
        <v>648</v>
      </c>
      <c r="J208" s="3">
        <v>47544</v>
      </c>
      <c r="K208" s="3">
        <v>208280</v>
      </c>
      <c r="L208" s="3" t="s">
        <v>25</v>
      </c>
      <c r="M208" s="4">
        <v>0.12316112924908777</v>
      </c>
    </row>
    <row r="209" spans="1:13" x14ac:dyDescent="0.3">
      <c r="A209" s="3" t="s">
        <v>145</v>
      </c>
      <c r="B209" s="3" t="s">
        <v>40</v>
      </c>
      <c r="C209" s="2">
        <v>45512</v>
      </c>
      <c r="D209" s="3" t="s">
        <v>34</v>
      </c>
      <c r="E209" s="3" t="s">
        <v>363</v>
      </c>
      <c r="F209" s="3">
        <v>24355</v>
      </c>
      <c r="G209" s="3">
        <v>1087</v>
      </c>
      <c r="H209" s="3">
        <v>686</v>
      </c>
      <c r="I209" s="3">
        <v>2426</v>
      </c>
      <c r="J209" s="3">
        <v>24963</v>
      </c>
      <c r="K209" s="3">
        <v>212307</v>
      </c>
      <c r="L209" s="3" t="s">
        <v>16</v>
      </c>
      <c r="M209" s="4">
        <v>0.1230670679723231</v>
      </c>
    </row>
    <row r="210" spans="1:13" x14ac:dyDescent="0.3">
      <c r="A210" s="3" t="s">
        <v>145</v>
      </c>
      <c r="B210" s="3" t="s">
        <v>40</v>
      </c>
      <c r="C210" s="2">
        <v>45512</v>
      </c>
      <c r="D210" s="3" t="s">
        <v>34</v>
      </c>
      <c r="E210" s="3" t="s">
        <v>364</v>
      </c>
      <c r="F210" s="3">
        <v>24355</v>
      </c>
      <c r="G210" s="3">
        <v>1087</v>
      </c>
      <c r="H210" s="3">
        <v>686</v>
      </c>
      <c r="I210" s="3">
        <v>2426</v>
      </c>
      <c r="J210" s="3">
        <v>24963</v>
      </c>
      <c r="K210" s="3">
        <v>212307</v>
      </c>
      <c r="L210" s="3" t="s">
        <v>16</v>
      </c>
      <c r="M210" s="4">
        <v>0.1230670679723231</v>
      </c>
    </row>
    <row r="211" spans="1:13" x14ac:dyDescent="0.3">
      <c r="A211" s="3" t="s">
        <v>253</v>
      </c>
      <c r="B211" s="3" t="s">
        <v>18</v>
      </c>
      <c r="C211" s="2">
        <v>45926</v>
      </c>
      <c r="D211" s="3" t="s">
        <v>34</v>
      </c>
      <c r="E211" s="3" t="s">
        <v>353</v>
      </c>
      <c r="F211" s="3">
        <v>16369</v>
      </c>
      <c r="G211" s="3">
        <v>1452</v>
      </c>
      <c r="H211" s="3">
        <v>493</v>
      </c>
      <c r="I211" s="3">
        <v>1217</v>
      </c>
      <c r="J211" s="3">
        <v>91440</v>
      </c>
      <c r="K211" s="3">
        <v>149834</v>
      </c>
      <c r="L211" s="3" t="s">
        <v>20</v>
      </c>
      <c r="M211" s="4">
        <v>0.12222859965027964</v>
      </c>
    </row>
    <row r="212" spans="1:13" x14ac:dyDescent="0.3">
      <c r="A212" s="3" t="s">
        <v>253</v>
      </c>
      <c r="B212" s="3" t="s">
        <v>18</v>
      </c>
      <c r="C212" s="2">
        <v>45926</v>
      </c>
      <c r="D212" s="3" t="s">
        <v>34</v>
      </c>
      <c r="E212" s="3" t="s">
        <v>354</v>
      </c>
      <c r="F212" s="3">
        <v>16369</v>
      </c>
      <c r="G212" s="3">
        <v>1452</v>
      </c>
      <c r="H212" s="3">
        <v>493</v>
      </c>
      <c r="I212" s="3">
        <v>1217</v>
      </c>
      <c r="J212" s="3">
        <v>91440</v>
      </c>
      <c r="K212" s="3">
        <v>149834</v>
      </c>
      <c r="L212" s="3" t="s">
        <v>20</v>
      </c>
      <c r="M212" s="4">
        <v>0.12222859965027964</v>
      </c>
    </row>
    <row r="213" spans="1:13" x14ac:dyDescent="0.3">
      <c r="A213" s="3" t="s">
        <v>101</v>
      </c>
      <c r="B213" s="3" t="s">
        <v>40</v>
      </c>
      <c r="C213" s="2">
        <v>45499</v>
      </c>
      <c r="D213" s="3" t="s">
        <v>23</v>
      </c>
      <c r="E213" s="3" t="s">
        <v>363</v>
      </c>
      <c r="F213" s="3">
        <v>12176</v>
      </c>
      <c r="G213" s="3">
        <v>1005</v>
      </c>
      <c r="H213" s="3">
        <v>862</v>
      </c>
      <c r="I213" s="3">
        <v>974</v>
      </c>
      <c r="J213" s="3">
        <v>2285</v>
      </c>
      <c r="K213" s="3">
        <v>116619</v>
      </c>
      <c r="L213" s="3" t="s">
        <v>29</v>
      </c>
      <c r="M213" s="4">
        <v>0.12041777068916729</v>
      </c>
    </row>
    <row r="214" spans="1:13" x14ac:dyDescent="0.3">
      <c r="A214" s="3" t="s">
        <v>101</v>
      </c>
      <c r="B214" s="3" t="s">
        <v>40</v>
      </c>
      <c r="C214" s="2">
        <v>45499</v>
      </c>
      <c r="D214" s="3" t="s">
        <v>23</v>
      </c>
      <c r="E214" s="3" t="s">
        <v>364</v>
      </c>
      <c r="F214" s="3">
        <v>12176</v>
      </c>
      <c r="G214" s="3">
        <v>1005</v>
      </c>
      <c r="H214" s="3">
        <v>862</v>
      </c>
      <c r="I214" s="3">
        <v>974</v>
      </c>
      <c r="J214" s="3">
        <v>2285</v>
      </c>
      <c r="K214" s="3">
        <v>116619</v>
      </c>
      <c r="L214" s="3" t="s">
        <v>29</v>
      </c>
      <c r="M214" s="4">
        <v>0.12041777068916729</v>
      </c>
    </row>
    <row r="215" spans="1:13" x14ac:dyDescent="0.3">
      <c r="A215" s="3" t="s">
        <v>264</v>
      </c>
      <c r="B215" s="3" t="s">
        <v>40</v>
      </c>
      <c r="C215" s="2">
        <v>45474</v>
      </c>
      <c r="D215" s="3" t="s">
        <v>27</v>
      </c>
      <c r="E215" s="3" t="s">
        <v>357</v>
      </c>
      <c r="F215" s="3">
        <v>3761</v>
      </c>
      <c r="G215" s="3">
        <v>651</v>
      </c>
      <c r="H215" s="3">
        <v>493</v>
      </c>
      <c r="I215" s="3">
        <v>2294</v>
      </c>
      <c r="J215" s="3">
        <v>71696</v>
      </c>
      <c r="K215" s="3">
        <v>41177</v>
      </c>
      <c r="L215" s="3" t="s">
        <v>16</v>
      </c>
      <c r="M215" s="4">
        <v>0.11911989702989532</v>
      </c>
    </row>
    <row r="216" spans="1:13" x14ac:dyDescent="0.3">
      <c r="A216" s="3" t="s">
        <v>264</v>
      </c>
      <c r="B216" s="3" t="s">
        <v>40</v>
      </c>
      <c r="C216" s="2">
        <v>45474</v>
      </c>
      <c r="D216" s="3" t="s">
        <v>27</v>
      </c>
      <c r="E216" s="3" t="s">
        <v>358</v>
      </c>
      <c r="F216" s="3">
        <v>3761</v>
      </c>
      <c r="G216" s="3">
        <v>651</v>
      </c>
      <c r="H216" s="3">
        <v>493</v>
      </c>
      <c r="I216" s="3">
        <v>2294</v>
      </c>
      <c r="J216" s="3">
        <v>71696</v>
      </c>
      <c r="K216" s="3">
        <v>41177</v>
      </c>
      <c r="L216" s="3" t="s">
        <v>16</v>
      </c>
      <c r="M216" s="4">
        <v>0.11911989702989532</v>
      </c>
    </row>
    <row r="217" spans="1:13" x14ac:dyDescent="0.3">
      <c r="A217" s="3" t="s">
        <v>270</v>
      </c>
      <c r="B217" s="3" t="s">
        <v>18</v>
      </c>
      <c r="C217" s="2">
        <v>45444</v>
      </c>
      <c r="D217" s="3" t="s">
        <v>14</v>
      </c>
      <c r="E217" s="3" t="s">
        <v>361</v>
      </c>
      <c r="F217" s="3">
        <v>19844</v>
      </c>
      <c r="G217" s="3">
        <v>1022</v>
      </c>
      <c r="H217" s="3">
        <v>860</v>
      </c>
      <c r="I217" s="3">
        <v>2570</v>
      </c>
      <c r="J217" s="3">
        <v>23719</v>
      </c>
      <c r="K217" s="3">
        <v>182628</v>
      </c>
      <c r="L217" s="3" t="s">
        <v>25</v>
      </c>
      <c r="M217" s="4">
        <v>0.11896313818253498</v>
      </c>
    </row>
    <row r="218" spans="1:13" x14ac:dyDescent="0.3">
      <c r="A218" s="3" t="s">
        <v>270</v>
      </c>
      <c r="B218" s="3" t="s">
        <v>18</v>
      </c>
      <c r="C218" s="2">
        <v>45444</v>
      </c>
      <c r="D218" s="3" t="s">
        <v>14</v>
      </c>
      <c r="E218" s="3" t="s">
        <v>362</v>
      </c>
      <c r="F218" s="3">
        <v>19844</v>
      </c>
      <c r="G218" s="3">
        <v>1022</v>
      </c>
      <c r="H218" s="3">
        <v>860</v>
      </c>
      <c r="I218" s="3">
        <v>2570</v>
      </c>
      <c r="J218" s="3">
        <v>23719</v>
      </c>
      <c r="K218" s="3">
        <v>182628</v>
      </c>
      <c r="L218" s="3" t="s">
        <v>25</v>
      </c>
      <c r="M218" s="4">
        <v>0.11896313818253498</v>
      </c>
    </row>
    <row r="219" spans="1:13" x14ac:dyDescent="0.3">
      <c r="A219" s="3" t="s">
        <v>143</v>
      </c>
      <c r="B219" s="3" t="s">
        <v>40</v>
      </c>
      <c r="C219" s="2">
        <v>45464</v>
      </c>
      <c r="D219" s="3" t="s">
        <v>27</v>
      </c>
      <c r="E219" s="3" t="s">
        <v>359</v>
      </c>
      <c r="F219" s="3">
        <v>21216</v>
      </c>
      <c r="G219" s="3">
        <v>1207</v>
      </c>
      <c r="H219" s="3">
        <v>859</v>
      </c>
      <c r="I219" s="3">
        <v>328</v>
      </c>
      <c r="J219" s="3">
        <v>91296</v>
      </c>
      <c r="K219" s="3">
        <v>196683</v>
      </c>
      <c r="L219" s="3" t="s">
        <v>25</v>
      </c>
      <c r="M219" s="4">
        <v>0.1183732198512327</v>
      </c>
    </row>
    <row r="220" spans="1:13" x14ac:dyDescent="0.3">
      <c r="A220" s="3" t="s">
        <v>143</v>
      </c>
      <c r="B220" s="3" t="s">
        <v>40</v>
      </c>
      <c r="C220" s="2">
        <v>45464</v>
      </c>
      <c r="D220" s="3" t="s">
        <v>27</v>
      </c>
      <c r="E220" s="3" t="s">
        <v>360</v>
      </c>
      <c r="F220" s="3">
        <v>21216</v>
      </c>
      <c r="G220" s="3">
        <v>1207</v>
      </c>
      <c r="H220" s="3">
        <v>859</v>
      </c>
      <c r="I220" s="3">
        <v>328</v>
      </c>
      <c r="J220" s="3">
        <v>91296</v>
      </c>
      <c r="K220" s="3">
        <v>196683</v>
      </c>
      <c r="L220" s="3" t="s">
        <v>25</v>
      </c>
      <c r="M220" s="4">
        <v>0.1183732198512327</v>
      </c>
    </row>
    <row r="221" spans="1:13" x14ac:dyDescent="0.3">
      <c r="A221" s="3" t="s">
        <v>98</v>
      </c>
      <c r="B221" s="3" t="s">
        <v>22</v>
      </c>
      <c r="C221" s="2">
        <v>45504</v>
      </c>
      <c r="D221" s="3" t="s">
        <v>14</v>
      </c>
      <c r="E221" s="3" t="s">
        <v>353</v>
      </c>
      <c r="F221" s="3">
        <v>12357</v>
      </c>
      <c r="G221" s="3">
        <v>716</v>
      </c>
      <c r="H221" s="3">
        <v>599</v>
      </c>
      <c r="I221" s="3">
        <v>999</v>
      </c>
      <c r="J221" s="3">
        <v>89591</v>
      </c>
      <c r="K221" s="3">
        <v>116367</v>
      </c>
      <c r="L221" s="3" t="s">
        <v>16</v>
      </c>
      <c r="M221" s="4">
        <v>0.11749035379446063</v>
      </c>
    </row>
    <row r="222" spans="1:13" x14ac:dyDescent="0.3">
      <c r="A222" s="3" t="s">
        <v>98</v>
      </c>
      <c r="B222" s="3" t="s">
        <v>22</v>
      </c>
      <c r="C222" s="2">
        <v>45504</v>
      </c>
      <c r="D222" s="3" t="s">
        <v>14</v>
      </c>
      <c r="E222" s="3" t="s">
        <v>354</v>
      </c>
      <c r="F222" s="3">
        <v>12357</v>
      </c>
      <c r="G222" s="3">
        <v>716</v>
      </c>
      <c r="H222" s="3">
        <v>599</v>
      </c>
      <c r="I222" s="3">
        <v>999</v>
      </c>
      <c r="J222" s="3">
        <v>89591</v>
      </c>
      <c r="K222" s="3">
        <v>116367</v>
      </c>
      <c r="L222" s="3" t="s">
        <v>16</v>
      </c>
      <c r="M222" s="4">
        <v>0.11749035379446063</v>
      </c>
    </row>
    <row r="223" spans="1:13" x14ac:dyDescent="0.3">
      <c r="A223" s="3" t="s">
        <v>240</v>
      </c>
      <c r="B223" s="3" t="s">
        <v>22</v>
      </c>
      <c r="C223" s="2">
        <v>45922</v>
      </c>
      <c r="D223" s="3" t="s">
        <v>34</v>
      </c>
      <c r="E223" s="3" t="s">
        <v>32</v>
      </c>
      <c r="F223" s="3">
        <v>18509</v>
      </c>
      <c r="G223" s="3">
        <v>361</v>
      </c>
      <c r="H223" s="3">
        <v>578</v>
      </c>
      <c r="I223" s="3">
        <v>1409</v>
      </c>
      <c r="J223" s="3">
        <v>10569</v>
      </c>
      <c r="K223" s="3">
        <v>166969</v>
      </c>
      <c r="L223" s="3" t="s">
        <v>20</v>
      </c>
      <c r="M223" s="4">
        <v>0.11647671124580011</v>
      </c>
    </row>
    <row r="224" spans="1:13" x14ac:dyDescent="0.3">
      <c r="A224" s="3" t="s">
        <v>286</v>
      </c>
      <c r="B224" s="3" t="s">
        <v>13</v>
      </c>
      <c r="C224" s="2">
        <v>45465</v>
      </c>
      <c r="D224" s="3" t="s">
        <v>23</v>
      </c>
      <c r="E224" s="3" t="s">
        <v>363</v>
      </c>
      <c r="F224" s="3">
        <v>7342</v>
      </c>
      <c r="G224" s="3">
        <v>906</v>
      </c>
      <c r="H224" s="3">
        <v>902</v>
      </c>
      <c r="I224" s="3">
        <v>1199</v>
      </c>
      <c r="J224" s="3">
        <v>68488</v>
      </c>
      <c r="K224" s="3">
        <v>79310</v>
      </c>
      <c r="L224" s="3" t="s">
        <v>16</v>
      </c>
      <c r="M224" s="4">
        <v>0.1153700668263775</v>
      </c>
    </row>
    <row r="225" spans="1:13" x14ac:dyDescent="0.3">
      <c r="A225" s="3" t="s">
        <v>286</v>
      </c>
      <c r="B225" s="3" t="s">
        <v>13</v>
      </c>
      <c r="C225" s="2">
        <v>45465</v>
      </c>
      <c r="D225" s="3" t="s">
        <v>23</v>
      </c>
      <c r="E225" s="3" t="s">
        <v>364</v>
      </c>
      <c r="F225" s="3">
        <v>7342</v>
      </c>
      <c r="G225" s="3">
        <v>906</v>
      </c>
      <c r="H225" s="3">
        <v>902</v>
      </c>
      <c r="I225" s="3">
        <v>1199</v>
      </c>
      <c r="J225" s="3">
        <v>68488</v>
      </c>
      <c r="K225" s="3">
        <v>79310</v>
      </c>
      <c r="L225" s="3" t="s">
        <v>16</v>
      </c>
      <c r="M225" s="4">
        <v>0.1153700668263775</v>
      </c>
    </row>
    <row r="226" spans="1:13" x14ac:dyDescent="0.3">
      <c r="A226" s="3" t="s">
        <v>131</v>
      </c>
      <c r="B226" s="3" t="s">
        <v>40</v>
      </c>
      <c r="C226" s="2">
        <v>45604</v>
      </c>
      <c r="D226" s="3" t="s">
        <v>23</v>
      </c>
      <c r="E226" s="3" t="s">
        <v>359</v>
      </c>
      <c r="F226" s="3">
        <v>23499</v>
      </c>
      <c r="G226" s="3">
        <v>562</v>
      </c>
      <c r="H226" s="3">
        <v>964</v>
      </c>
      <c r="I226" s="3">
        <v>2557</v>
      </c>
      <c r="J226" s="3">
        <v>56890</v>
      </c>
      <c r="K226" s="3">
        <v>218686</v>
      </c>
      <c r="L226" s="3" t="s">
        <v>29</v>
      </c>
      <c r="M226" s="4">
        <v>0.11443347996671026</v>
      </c>
    </row>
    <row r="227" spans="1:13" x14ac:dyDescent="0.3">
      <c r="A227" s="3" t="s">
        <v>131</v>
      </c>
      <c r="B227" s="3" t="s">
        <v>40</v>
      </c>
      <c r="C227" s="2">
        <v>45604</v>
      </c>
      <c r="D227" s="3" t="s">
        <v>23</v>
      </c>
      <c r="E227" s="3" t="s">
        <v>360</v>
      </c>
      <c r="F227" s="3">
        <v>23499</v>
      </c>
      <c r="G227" s="3">
        <v>562</v>
      </c>
      <c r="H227" s="3">
        <v>964</v>
      </c>
      <c r="I227" s="3">
        <v>2557</v>
      </c>
      <c r="J227" s="3">
        <v>56890</v>
      </c>
      <c r="K227" s="3">
        <v>218686</v>
      </c>
      <c r="L227" s="3" t="s">
        <v>29</v>
      </c>
      <c r="M227" s="4">
        <v>0.11443347996671026</v>
      </c>
    </row>
    <row r="228" spans="1:13" x14ac:dyDescent="0.3">
      <c r="A228" s="3" t="s">
        <v>179</v>
      </c>
      <c r="B228" s="3" t="s">
        <v>18</v>
      </c>
      <c r="C228" s="2">
        <v>45567</v>
      </c>
      <c r="D228" s="3" t="s">
        <v>14</v>
      </c>
      <c r="E228" s="3" t="s">
        <v>357</v>
      </c>
      <c r="F228" s="3">
        <v>15716</v>
      </c>
      <c r="G228" s="3">
        <v>839</v>
      </c>
      <c r="H228" s="3">
        <v>639</v>
      </c>
      <c r="I228" s="3">
        <v>2839</v>
      </c>
      <c r="J228" s="3">
        <v>349</v>
      </c>
      <c r="K228" s="3">
        <v>150677</v>
      </c>
      <c r="L228" s="3" t="s">
        <v>25</v>
      </c>
      <c r="M228" s="4">
        <v>0.11411164278556117</v>
      </c>
    </row>
    <row r="229" spans="1:13" x14ac:dyDescent="0.3">
      <c r="A229" s="3" t="s">
        <v>179</v>
      </c>
      <c r="B229" s="3" t="s">
        <v>18</v>
      </c>
      <c r="C229" s="2">
        <v>45567</v>
      </c>
      <c r="D229" s="3" t="s">
        <v>14</v>
      </c>
      <c r="E229" s="3" t="s">
        <v>358</v>
      </c>
      <c r="F229" s="3">
        <v>15716</v>
      </c>
      <c r="G229" s="3">
        <v>839</v>
      </c>
      <c r="H229" s="3">
        <v>639</v>
      </c>
      <c r="I229" s="3">
        <v>2839</v>
      </c>
      <c r="J229" s="3">
        <v>349</v>
      </c>
      <c r="K229" s="3">
        <v>150677</v>
      </c>
      <c r="L229" s="3" t="s">
        <v>25</v>
      </c>
      <c r="M229" s="4">
        <v>0.11411164278556117</v>
      </c>
    </row>
    <row r="230" spans="1:13" x14ac:dyDescent="0.3">
      <c r="A230" s="3" t="s">
        <v>134</v>
      </c>
      <c r="B230" s="3" t="s">
        <v>18</v>
      </c>
      <c r="C230" s="2">
        <v>45453</v>
      </c>
      <c r="D230" s="3" t="s">
        <v>27</v>
      </c>
      <c r="E230" s="3" t="s">
        <v>361</v>
      </c>
      <c r="F230" s="3">
        <v>21561</v>
      </c>
      <c r="G230" s="3">
        <v>340</v>
      </c>
      <c r="H230" s="3">
        <v>741</v>
      </c>
      <c r="I230" s="3">
        <v>986</v>
      </c>
      <c r="J230" s="3">
        <v>24826</v>
      </c>
      <c r="K230" s="3">
        <v>198492</v>
      </c>
      <c r="L230" s="3" t="s">
        <v>16</v>
      </c>
      <c r="M230" s="4">
        <v>0.11407008846704149</v>
      </c>
    </row>
    <row r="231" spans="1:13" x14ac:dyDescent="0.3">
      <c r="A231" s="3" t="s">
        <v>134</v>
      </c>
      <c r="B231" s="3" t="s">
        <v>18</v>
      </c>
      <c r="C231" s="2">
        <v>45453</v>
      </c>
      <c r="D231" s="3" t="s">
        <v>27</v>
      </c>
      <c r="E231" s="3" t="s">
        <v>362</v>
      </c>
      <c r="F231" s="3">
        <v>21561</v>
      </c>
      <c r="G231" s="3">
        <v>340</v>
      </c>
      <c r="H231" s="3">
        <v>741</v>
      </c>
      <c r="I231" s="3">
        <v>986</v>
      </c>
      <c r="J231" s="3">
        <v>24826</v>
      </c>
      <c r="K231" s="3">
        <v>198492</v>
      </c>
      <c r="L231" s="3" t="s">
        <v>16</v>
      </c>
      <c r="M231" s="4">
        <v>0.11407008846704149</v>
      </c>
    </row>
    <row r="232" spans="1:13" x14ac:dyDescent="0.3">
      <c r="A232" s="3" t="s">
        <v>197</v>
      </c>
      <c r="B232" s="3" t="s">
        <v>13</v>
      </c>
      <c r="C232" s="2">
        <v>45936</v>
      </c>
      <c r="D232" s="3" t="s">
        <v>27</v>
      </c>
      <c r="E232" s="3" t="s">
        <v>357</v>
      </c>
      <c r="F232" s="3">
        <v>22028</v>
      </c>
      <c r="G232" s="3">
        <v>355</v>
      </c>
      <c r="H232" s="3">
        <v>665</v>
      </c>
      <c r="I232" s="3">
        <v>1859</v>
      </c>
      <c r="J232" s="3">
        <v>50565</v>
      </c>
      <c r="K232" s="3">
        <v>202962</v>
      </c>
      <c r="L232" s="3" t="s">
        <v>20</v>
      </c>
      <c r="M232" s="4">
        <v>0.11355820301337197</v>
      </c>
    </row>
    <row r="233" spans="1:13" x14ac:dyDescent="0.3">
      <c r="A233" s="3" t="s">
        <v>197</v>
      </c>
      <c r="B233" s="3" t="s">
        <v>13</v>
      </c>
      <c r="C233" s="2">
        <v>45936</v>
      </c>
      <c r="D233" s="3" t="s">
        <v>27</v>
      </c>
      <c r="E233" s="3" t="s">
        <v>358</v>
      </c>
      <c r="F233" s="3">
        <v>22028</v>
      </c>
      <c r="G233" s="3">
        <v>355</v>
      </c>
      <c r="H233" s="3">
        <v>665</v>
      </c>
      <c r="I233" s="3">
        <v>1859</v>
      </c>
      <c r="J233" s="3">
        <v>50565</v>
      </c>
      <c r="K233" s="3">
        <v>202962</v>
      </c>
      <c r="L233" s="3" t="s">
        <v>20</v>
      </c>
      <c r="M233" s="4">
        <v>0.11355820301337197</v>
      </c>
    </row>
    <row r="234" spans="1:13" x14ac:dyDescent="0.3">
      <c r="A234" s="3" t="s">
        <v>61</v>
      </c>
      <c r="B234" s="3" t="s">
        <v>40</v>
      </c>
      <c r="C234" s="2">
        <v>45552</v>
      </c>
      <c r="D234" s="3" t="s">
        <v>23</v>
      </c>
      <c r="E234" s="3" t="s">
        <v>365</v>
      </c>
      <c r="F234" s="3">
        <v>20017</v>
      </c>
      <c r="G234" s="3">
        <v>495</v>
      </c>
      <c r="H234" s="3">
        <v>178</v>
      </c>
      <c r="I234" s="3">
        <v>2683</v>
      </c>
      <c r="J234" s="3">
        <v>32244</v>
      </c>
      <c r="K234" s="3">
        <v>182633</v>
      </c>
      <c r="L234" s="3" t="s">
        <v>16</v>
      </c>
      <c r="M234" s="4">
        <v>0.11328730295182141</v>
      </c>
    </row>
    <row r="235" spans="1:13" x14ac:dyDescent="0.3">
      <c r="A235" s="3" t="s">
        <v>61</v>
      </c>
      <c r="B235" s="3" t="s">
        <v>40</v>
      </c>
      <c r="C235" s="2">
        <v>45552</v>
      </c>
      <c r="D235" s="3" t="s">
        <v>23</v>
      </c>
      <c r="E235" s="3" t="s">
        <v>359</v>
      </c>
      <c r="F235" s="3">
        <v>20017</v>
      </c>
      <c r="G235" s="3">
        <v>495</v>
      </c>
      <c r="H235" s="3">
        <v>178</v>
      </c>
      <c r="I235" s="3">
        <v>2683</v>
      </c>
      <c r="J235" s="3">
        <v>32244</v>
      </c>
      <c r="K235" s="3">
        <v>182633</v>
      </c>
      <c r="L235" s="3" t="s">
        <v>16</v>
      </c>
      <c r="M235" s="4">
        <v>0.11328730295182141</v>
      </c>
    </row>
    <row r="236" spans="1:13" x14ac:dyDescent="0.3">
      <c r="A236" s="3" t="s">
        <v>164</v>
      </c>
      <c r="B236" s="3" t="s">
        <v>22</v>
      </c>
      <c r="C236" s="2">
        <v>45667</v>
      </c>
      <c r="D236" s="3" t="s">
        <v>34</v>
      </c>
      <c r="E236" s="3" t="s">
        <v>367</v>
      </c>
      <c r="F236" s="3">
        <v>14647</v>
      </c>
      <c r="G236" s="3">
        <v>1168</v>
      </c>
      <c r="H236" s="3">
        <v>484</v>
      </c>
      <c r="I236" s="3">
        <v>2650</v>
      </c>
      <c r="J236" s="3">
        <v>27217</v>
      </c>
      <c r="K236" s="3">
        <v>144061</v>
      </c>
      <c r="L236" s="3" t="s">
        <v>29</v>
      </c>
      <c r="M236" s="4">
        <v>0.11313957281984714</v>
      </c>
    </row>
    <row r="237" spans="1:13" x14ac:dyDescent="0.3">
      <c r="A237" s="3" t="s">
        <v>164</v>
      </c>
      <c r="B237" s="3" t="s">
        <v>22</v>
      </c>
      <c r="C237" s="2">
        <v>45667</v>
      </c>
      <c r="D237" s="3" t="s">
        <v>34</v>
      </c>
      <c r="E237" s="3" t="s">
        <v>32</v>
      </c>
      <c r="F237" s="3">
        <v>14647</v>
      </c>
      <c r="G237" s="3">
        <v>1168</v>
      </c>
      <c r="H237" s="3">
        <v>484</v>
      </c>
      <c r="I237" s="3">
        <v>2650</v>
      </c>
      <c r="J237" s="3">
        <v>27217</v>
      </c>
      <c r="K237" s="3">
        <v>144061</v>
      </c>
      <c r="L237" s="3" t="s">
        <v>29</v>
      </c>
      <c r="M237" s="4">
        <v>0.11313957281984714</v>
      </c>
    </row>
    <row r="238" spans="1:13" x14ac:dyDescent="0.3">
      <c r="A238" s="3" t="s">
        <v>195</v>
      </c>
      <c r="B238" s="3" t="s">
        <v>22</v>
      </c>
      <c r="C238" s="2">
        <v>45935</v>
      </c>
      <c r="D238" s="3" t="s">
        <v>23</v>
      </c>
      <c r="E238" s="3" t="s">
        <v>361</v>
      </c>
      <c r="F238" s="3">
        <v>21262</v>
      </c>
      <c r="G238" s="3">
        <v>861</v>
      </c>
      <c r="H238" s="3">
        <v>676</v>
      </c>
      <c r="I238" s="3">
        <v>2263</v>
      </c>
      <c r="J238" s="3">
        <v>12085</v>
      </c>
      <c r="K238" s="3">
        <v>201731</v>
      </c>
      <c r="L238" s="3" t="s">
        <v>20</v>
      </c>
      <c r="M238" s="4">
        <v>0.11301683925623726</v>
      </c>
    </row>
    <row r="239" spans="1:13" x14ac:dyDescent="0.3">
      <c r="A239" s="3" t="s">
        <v>195</v>
      </c>
      <c r="B239" s="3" t="s">
        <v>22</v>
      </c>
      <c r="C239" s="2">
        <v>45935</v>
      </c>
      <c r="D239" s="3" t="s">
        <v>23</v>
      </c>
      <c r="E239" s="3" t="s">
        <v>362</v>
      </c>
      <c r="F239" s="3">
        <v>21262</v>
      </c>
      <c r="G239" s="3">
        <v>861</v>
      </c>
      <c r="H239" s="3">
        <v>676</v>
      </c>
      <c r="I239" s="3">
        <v>2263</v>
      </c>
      <c r="J239" s="3">
        <v>12085</v>
      </c>
      <c r="K239" s="3">
        <v>201731</v>
      </c>
      <c r="L239" s="3" t="s">
        <v>20</v>
      </c>
      <c r="M239" s="4">
        <v>0.11301683925623726</v>
      </c>
    </row>
    <row r="240" spans="1:13" x14ac:dyDescent="0.3">
      <c r="A240" s="3" t="s">
        <v>231</v>
      </c>
      <c r="B240" s="3" t="s">
        <v>13</v>
      </c>
      <c r="C240" s="2">
        <v>45519</v>
      </c>
      <c r="D240" s="3" t="s">
        <v>14</v>
      </c>
      <c r="E240" s="3" t="s">
        <v>365</v>
      </c>
      <c r="F240" s="3">
        <v>15503</v>
      </c>
      <c r="G240" s="3">
        <v>313</v>
      </c>
      <c r="H240" s="3">
        <v>388</v>
      </c>
      <c r="I240" s="3">
        <v>1078</v>
      </c>
      <c r="J240" s="3">
        <v>11500</v>
      </c>
      <c r="K240" s="3">
        <v>143754</v>
      </c>
      <c r="L240" s="3" t="s">
        <v>29</v>
      </c>
      <c r="M240" s="4">
        <v>0.1127203416948398</v>
      </c>
    </row>
    <row r="241" spans="1:13" x14ac:dyDescent="0.3">
      <c r="A241" s="3" t="s">
        <v>231</v>
      </c>
      <c r="B241" s="3" t="s">
        <v>13</v>
      </c>
      <c r="C241" s="2">
        <v>45519</v>
      </c>
      <c r="D241" s="3" t="s">
        <v>14</v>
      </c>
      <c r="E241" s="3" t="s">
        <v>359</v>
      </c>
      <c r="F241" s="3">
        <v>15503</v>
      </c>
      <c r="G241" s="3">
        <v>313</v>
      </c>
      <c r="H241" s="3">
        <v>388</v>
      </c>
      <c r="I241" s="3">
        <v>1078</v>
      </c>
      <c r="J241" s="3">
        <v>11500</v>
      </c>
      <c r="K241" s="3">
        <v>143754</v>
      </c>
      <c r="L241" s="3" t="s">
        <v>29</v>
      </c>
      <c r="M241" s="4">
        <v>0.1127203416948398</v>
      </c>
    </row>
    <row r="242" spans="1:13" x14ac:dyDescent="0.3">
      <c r="A242" s="3" t="s">
        <v>106</v>
      </c>
      <c r="B242" s="3" t="s">
        <v>40</v>
      </c>
      <c r="C242" s="2">
        <v>45537</v>
      </c>
      <c r="D242" s="3" t="s">
        <v>34</v>
      </c>
      <c r="E242" s="3" t="s">
        <v>359</v>
      </c>
      <c r="F242" s="3">
        <v>12040</v>
      </c>
      <c r="G242" s="3">
        <v>1147</v>
      </c>
      <c r="H242" s="3">
        <v>210</v>
      </c>
      <c r="I242" s="3">
        <v>885</v>
      </c>
      <c r="J242" s="3">
        <v>30360</v>
      </c>
      <c r="K242" s="3">
        <v>119530</v>
      </c>
      <c r="L242" s="3" t="s">
        <v>29</v>
      </c>
      <c r="M242" s="4">
        <v>0.1120806492094035</v>
      </c>
    </row>
    <row r="243" spans="1:13" x14ac:dyDescent="0.3">
      <c r="A243" s="3" t="s">
        <v>106</v>
      </c>
      <c r="B243" s="3" t="s">
        <v>40</v>
      </c>
      <c r="C243" s="2">
        <v>45537</v>
      </c>
      <c r="D243" s="3" t="s">
        <v>34</v>
      </c>
      <c r="E243" s="3" t="s">
        <v>360</v>
      </c>
      <c r="F243" s="3">
        <v>12040</v>
      </c>
      <c r="G243" s="3">
        <v>1147</v>
      </c>
      <c r="H243" s="3">
        <v>210</v>
      </c>
      <c r="I243" s="3">
        <v>885</v>
      </c>
      <c r="J243" s="3">
        <v>30360</v>
      </c>
      <c r="K243" s="3">
        <v>119530</v>
      </c>
      <c r="L243" s="3" t="s">
        <v>29</v>
      </c>
      <c r="M243" s="4">
        <v>0.1120806492094035</v>
      </c>
    </row>
    <row r="244" spans="1:13" x14ac:dyDescent="0.3">
      <c r="A244" s="3" t="s">
        <v>128</v>
      </c>
      <c r="B244" s="3" t="s">
        <v>18</v>
      </c>
      <c r="C244" s="2">
        <v>45586</v>
      </c>
      <c r="D244" s="3" t="s">
        <v>23</v>
      </c>
      <c r="E244" s="3" t="s">
        <v>355</v>
      </c>
      <c r="F244" s="3">
        <v>19715</v>
      </c>
      <c r="G244" s="3">
        <v>1014</v>
      </c>
      <c r="H244" s="3">
        <v>718</v>
      </c>
      <c r="I244" s="3">
        <v>1185</v>
      </c>
      <c r="J244" s="3">
        <v>37625</v>
      </c>
      <c r="K244" s="3">
        <v>191409</v>
      </c>
      <c r="L244" s="3" t="s">
        <v>16</v>
      </c>
      <c r="M244" s="4">
        <v>0.11204802282024356</v>
      </c>
    </row>
    <row r="245" spans="1:13" x14ac:dyDescent="0.3">
      <c r="A245" s="3" t="s">
        <v>128</v>
      </c>
      <c r="B245" s="3" t="s">
        <v>18</v>
      </c>
      <c r="C245" s="2">
        <v>45586</v>
      </c>
      <c r="D245" s="3" t="s">
        <v>23</v>
      </c>
      <c r="E245" s="3" t="s">
        <v>356</v>
      </c>
      <c r="F245" s="3">
        <v>19715</v>
      </c>
      <c r="G245" s="3">
        <v>1014</v>
      </c>
      <c r="H245" s="3">
        <v>718</v>
      </c>
      <c r="I245" s="3">
        <v>1185</v>
      </c>
      <c r="J245" s="3">
        <v>37625</v>
      </c>
      <c r="K245" s="3">
        <v>191409</v>
      </c>
      <c r="L245" s="3" t="s">
        <v>16</v>
      </c>
      <c r="M245" s="4">
        <v>0.11204802282024356</v>
      </c>
    </row>
    <row r="246" spans="1:13" x14ac:dyDescent="0.3">
      <c r="A246" s="3" t="s">
        <v>261</v>
      </c>
      <c r="B246" s="3" t="s">
        <v>40</v>
      </c>
      <c r="C246" s="2">
        <v>45463</v>
      </c>
      <c r="D246" s="3" t="s">
        <v>27</v>
      </c>
      <c r="E246" s="3" t="s">
        <v>363</v>
      </c>
      <c r="F246" s="3">
        <v>21123</v>
      </c>
      <c r="G246" s="3">
        <v>1343</v>
      </c>
      <c r="H246" s="3">
        <v>589</v>
      </c>
      <c r="I246" s="3">
        <v>727</v>
      </c>
      <c r="J246" s="3">
        <v>87833</v>
      </c>
      <c r="K246" s="3">
        <v>206703</v>
      </c>
      <c r="L246" s="3" t="s">
        <v>16</v>
      </c>
      <c r="M246" s="4">
        <v>0.11153684271636116</v>
      </c>
    </row>
    <row r="247" spans="1:13" x14ac:dyDescent="0.3">
      <c r="A247" s="3" t="s">
        <v>261</v>
      </c>
      <c r="B247" s="3" t="s">
        <v>40</v>
      </c>
      <c r="C247" s="2">
        <v>45463</v>
      </c>
      <c r="D247" s="3" t="s">
        <v>27</v>
      </c>
      <c r="E247" s="3" t="s">
        <v>364</v>
      </c>
      <c r="F247" s="3">
        <v>21123</v>
      </c>
      <c r="G247" s="3">
        <v>1343</v>
      </c>
      <c r="H247" s="3">
        <v>589</v>
      </c>
      <c r="I247" s="3">
        <v>727</v>
      </c>
      <c r="J247" s="3">
        <v>87833</v>
      </c>
      <c r="K247" s="3">
        <v>206703</v>
      </c>
      <c r="L247" s="3" t="s">
        <v>16</v>
      </c>
      <c r="M247" s="4">
        <v>0.11153684271636116</v>
      </c>
    </row>
    <row r="248" spans="1:13" x14ac:dyDescent="0.3">
      <c r="A248" s="3" t="s">
        <v>52</v>
      </c>
      <c r="B248" s="3" t="s">
        <v>18</v>
      </c>
      <c r="C248" s="2">
        <v>45466</v>
      </c>
      <c r="D248" s="3" t="s">
        <v>23</v>
      </c>
      <c r="E248" s="3" t="s">
        <v>359</v>
      </c>
      <c r="F248" s="3">
        <v>16512</v>
      </c>
      <c r="G248" s="3">
        <v>1050</v>
      </c>
      <c r="H248" s="3">
        <v>971</v>
      </c>
      <c r="I248" s="3">
        <v>1891</v>
      </c>
      <c r="J248" s="3">
        <v>15865</v>
      </c>
      <c r="K248" s="3">
        <v>166503</v>
      </c>
      <c r="L248" s="3" t="s">
        <v>29</v>
      </c>
      <c r="M248" s="4">
        <v>0.1113073037723044</v>
      </c>
    </row>
    <row r="249" spans="1:13" x14ac:dyDescent="0.3">
      <c r="A249" s="3" t="s">
        <v>52</v>
      </c>
      <c r="B249" s="3" t="s">
        <v>18</v>
      </c>
      <c r="C249" s="2">
        <v>45466</v>
      </c>
      <c r="D249" s="3" t="s">
        <v>23</v>
      </c>
      <c r="E249" s="3" t="s">
        <v>366</v>
      </c>
      <c r="F249" s="3">
        <v>16512</v>
      </c>
      <c r="G249" s="3">
        <v>1050</v>
      </c>
      <c r="H249" s="3">
        <v>971</v>
      </c>
      <c r="I249" s="3">
        <v>1891</v>
      </c>
      <c r="J249" s="3">
        <v>15865</v>
      </c>
      <c r="K249" s="3">
        <v>166503</v>
      </c>
      <c r="L249" s="3" t="s">
        <v>29</v>
      </c>
      <c r="M249" s="4">
        <v>0.1113073037723044</v>
      </c>
    </row>
    <row r="250" spans="1:13" x14ac:dyDescent="0.3">
      <c r="A250" s="3" t="s">
        <v>21</v>
      </c>
      <c r="B250" s="3" t="s">
        <v>22</v>
      </c>
      <c r="C250" s="2">
        <v>45789</v>
      </c>
      <c r="D250" s="3" t="s">
        <v>23</v>
      </c>
      <c r="E250" s="3" t="s">
        <v>357</v>
      </c>
      <c r="F250" s="3">
        <v>19308</v>
      </c>
      <c r="G250" s="3">
        <v>1318</v>
      </c>
      <c r="H250" s="3">
        <v>795</v>
      </c>
      <c r="I250" s="3">
        <v>1499</v>
      </c>
      <c r="J250" s="3">
        <v>52307</v>
      </c>
      <c r="K250" s="3">
        <v>193087</v>
      </c>
      <c r="L250" s="3" t="s">
        <v>25</v>
      </c>
      <c r="M250" s="4">
        <v>0.11093962825047776</v>
      </c>
    </row>
    <row r="251" spans="1:13" x14ac:dyDescent="0.3">
      <c r="A251" s="3" t="s">
        <v>21</v>
      </c>
      <c r="B251" s="3" t="s">
        <v>22</v>
      </c>
      <c r="C251" s="2">
        <v>45789</v>
      </c>
      <c r="D251" s="3" t="s">
        <v>23</v>
      </c>
      <c r="E251" s="3" t="s">
        <v>358</v>
      </c>
      <c r="F251" s="3">
        <v>19308</v>
      </c>
      <c r="G251" s="3">
        <v>1318</v>
      </c>
      <c r="H251" s="3">
        <v>795</v>
      </c>
      <c r="I251" s="3">
        <v>1499</v>
      </c>
      <c r="J251" s="3">
        <v>52307</v>
      </c>
      <c r="K251" s="3">
        <v>193087</v>
      </c>
      <c r="L251" s="3" t="s">
        <v>25</v>
      </c>
      <c r="M251" s="4">
        <v>0.11093962825047776</v>
      </c>
    </row>
    <row r="252" spans="1:13" x14ac:dyDescent="0.3">
      <c r="A252" s="3" t="s">
        <v>182</v>
      </c>
      <c r="B252" s="3" t="s">
        <v>13</v>
      </c>
      <c r="C252" s="2">
        <v>45448</v>
      </c>
      <c r="D252" s="3" t="s">
        <v>23</v>
      </c>
      <c r="E252" s="3" t="s">
        <v>367</v>
      </c>
      <c r="F252" s="3">
        <v>18907</v>
      </c>
      <c r="G252" s="3">
        <v>1075</v>
      </c>
      <c r="H252" s="3">
        <v>675</v>
      </c>
      <c r="I252" s="3">
        <v>1383</v>
      </c>
      <c r="J252" s="3">
        <v>17875</v>
      </c>
      <c r="K252" s="3">
        <v>186649</v>
      </c>
      <c r="L252" s="3" t="s">
        <v>16</v>
      </c>
      <c r="M252" s="4">
        <v>0.11067297440650634</v>
      </c>
    </row>
    <row r="253" spans="1:13" x14ac:dyDescent="0.3">
      <c r="A253" s="3" t="s">
        <v>182</v>
      </c>
      <c r="B253" s="3" t="s">
        <v>13</v>
      </c>
      <c r="C253" s="2">
        <v>45448</v>
      </c>
      <c r="D253" s="3" t="s">
        <v>23</v>
      </c>
      <c r="E253" s="3" t="s">
        <v>32</v>
      </c>
      <c r="F253" s="3">
        <v>18907</v>
      </c>
      <c r="G253" s="3">
        <v>1075</v>
      </c>
      <c r="H253" s="3">
        <v>675</v>
      </c>
      <c r="I253" s="3">
        <v>1383</v>
      </c>
      <c r="J253" s="3">
        <v>17875</v>
      </c>
      <c r="K253" s="3">
        <v>186649</v>
      </c>
      <c r="L253" s="3" t="s">
        <v>16</v>
      </c>
      <c r="M253" s="4">
        <v>0.11067297440650634</v>
      </c>
    </row>
    <row r="254" spans="1:13" x14ac:dyDescent="0.3">
      <c r="A254" s="3" t="s">
        <v>320</v>
      </c>
      <c r="B254" s="3" t="s">
        <v>13</v>
      </c>
      <c r="C254" s="2">
        <v>45552</v>
      </c>
      <c r="D254" s="3" t="s">
        <v>27</v>
      </c>
      <c r="E254" s="3" t="s">
        <v>361</v>
      </c>
      <c r="F254" s="3">
        <v>20410</v>
      </c>
      <c r="G254" s="3">
        <v>1332</v>
      </c>
      <c r="H254" s="3">
        <v>472</v>
      </c>
      <c r="I254" s="3">
        <v>1202</v>
      </c>
      <c r="J254" s="3">
        <v>9418</v>
      </c>
      <c r="K254" s="3">
        <v>200806</v>
      </c>
      <c r="L254" s="3" t="s">
        <v>16</v>
      </c>
      <c r="M254" s="4">
        <v>0.11062418453631864</v>
      </c>
    </row>
    <row r="255" spans="1:13" x14ac:dyDescent="0.3">
      <c r="A255" s="3" t="s">
        <v>320</v>
      </c>
      <c r="B255" s="3" t="s">
        <v>13</v>
      </c>
      <c r="C255" s="2">
        <v>45552</v>
      </c>
      <c r="D255" s="3" t="s">
        <v>27</v>
      </c>
      <c r="E255" s="3" t="s">
        <v>362</v>
      </c>
      <c r="F255" s="3">
        <v>20410</v>
      </c>
      <c r="G255" s="3">
        <v>1332</v>
      </c>
      <c r="H255" s="3">
        <v>472</v>
      </c>
      <c r="I255" s="3">
        <v>1202</v>
      </c>
      <c r="J255" s="3">
        <v>9418</v>
      </c>
      <c r="K255" s="3">
        <v>200806</v>
      </c>
      <c r="L255" s="3" t="s">
        <v>16</v>
      </c>
      <c r="M255" s="4">
        <v>0.11062418453631864</v>
      </c>
    </row>
    <row r="256" spans="1:13" x14ac:dyDescent="0.3">
      <c r="A256" s="3" t="s">
        <v>271</v>
      </c>
      <c r="B256" s="3" t="s">
        <v>18</v>
      </c>
      <c r="C256" s="2">
        <v>45648</v>
      </c>
      <c r="D256" s="3" t="s">
        <v>23</v>
      </c>
      <c r="E256" s="3" t="s">
        <v>359</v>
      </c>
      <c r="F256" s="3">
        <v>20117</v>
      </c>
      <c r="G256" s="3">
        <v>1143</v>
      </c>
      <c r="H256" s="3">
        <v>713</v>
      </c>
      <c r="I256" s="3">
        <v>1739</v>
      </c>
      <c r="J256" s="3">
        <v>34444</v>
      </c>
      <c r="K256" s="3">
        <v>198670</v>
      </c>
      <c r="L256" s="3" t="s">
        <v>45</v>
      </c>
      <c r="M256" s="4">
        <v>0.11060049328031409</v>
      </c>
    </row>
    <row r="257" spans="1:13" x14ac:dyDescent="0.3">
      <c r="A257" s="3" t="s">
        <v>271</v>
      </c>
      <c r="B257" s="3" t="s">
        <v>18</v>
      </c>
      <c r="C257" s="2">
        <v>45648</v>
      </c>
      <c r="D257" s="3" t="s">
        <v>23</v>
      </c>
      <c r="E257" s="3" t="s">
        <v>360</v>
      </c>
      <c r="F257" s="3">
        <v>20117</v>
      </c>
      <c r="G257" s="3">
        <v>1143</v>
      </c>
      <c r="H257" s="3">
        <v>713</v>
      </c>
      <c r="I257" s="3">
        <v>1739</v>
      </c>
      <c r="J257" s="3">
        <v>34444</v>
      </c>
      <c r="K257" s="3">
        <v>198670</v>
      </c>
      <c r="L257" s="3" t="s">
        <v>45</v>
      </c>
      <c r="M257" s="4">
        <v>0.11060049328031409</v>
      </c>
    </row>
    <row r="258" spans="1:13" x14ac:dyDescent="0.3">
      <c r="A258" s="3" t="s">
        <v>318</v>
      </c>
      <c r="B258" s="3" t="s">
        <v>18</v>
      </c>
      <c r="C258" s="2">
        <v>45568</v>
      </c>
      <c r="D258" s="3" t="s">
        <v>14</v>
      </c>
      <c r="E258" s="3" t="s">
        <v>359</v>
      </c>
      <c r="F258" s="3">
        <v>22618</v>
      </c>
      <c r="G258" s="3">
        <v>641</v>
      </c>
      <c r="H258" s="3">
        <v>416</v>
      </c>
      <c r="I258" s="3">
        <v>1530</v>
      </c>
      <c r="J258" s="3">
        <v>18395</v>
      </c>
      <c r="K258" s="3">
        <v>215211</v>
      </c>
      <c r="L258" s="3" t="s">
        <v>45</v>
      </c>
      <c r="M258" s="4">
        <v>0.1100083174187193</v>
      </c>
    </row>
    <row r="259" spans="1:13" x14ac:dyDescent="0.3">
      <c r="A259" s="3" t="s">
        <v>318</v>
      </c>
      <c r="B259" s="3" t="s">
        <v>18</v>
      </c>
      <c r="C259" s="2">
        <v>45568</v>
      </c>
      <c r="D259" s="3" t="s">
        <v>14</v>
      </c>
      <c r="E259" s="3" t="s">
        <v>360</v>
      </c>
      <c r="F259" s="3">
        <v>22618</v>
      </c>
      <c r="G259" s="3">
        <v>641</v>
      </c>
      <c r="H259" s="3">
        <v>416</v>
      </c>
      <c r="I259" s="3">
        <v>1530</v>
      </c>
      <c r="J259" s="3">
        <v>18395</v>
      </c>
      <c r="K259" s="3">
        <v>215211</v>
      </c>
      <c r="L259" s="3" t="s">
        <v>45</v>
      </c>
      <c r="M259" s="4">
        <v>0.1100083174187193</v>
      </c>
    </row>
    <row r="260" spans="1:13" x14ac:dyDescent="0.3">
      <c r="A260" s="3" t="s">
        <v>294</v>
      </c>
      <c r="B260" s="3" t="s">
        <v>40</v>
      </c>
      <c r="C260" s="2">
        <v>45509</v>
      </c>
      <c r="D260" s="3" t="s">
        <v>27</v>
      </c>
      <c r="E260" s="3" t="s">
        <v>353</v>
      </c>
      <c r="F260" s="3">
        <v>20935</v>
      </c>
      <c r="G260" s="3">
        <v>1104</v>
      </c>
      <c r="H260" s="3">
        <v>876</v>
      </c>
      <c r="I260" s="3">
        <v>1270</v>
      </c>
      <c r="J260" s="3">
        <v>21454</v>
      </c>
      <c r="K260" s="3">
        <v>208722</v>
      </c>
      <c r="L260" s="3" t="s">
        <v>25</v>
      </c>
      <c r="M260" s="4">
        <v>0.10978718103506099</v>
      </c>
    </row>
    <row r="261" spans="1:13" x14ac:dyDescent="0.3">
      <c r="A261" s="3" t="s">
        <v>294</v>
      </c>
      <c r="B261" s="3" t="s">
        <v>40</v>
      </c>
      <c r="C261" s="2">
        <v>45509</v>
      </c>
      <c r="D261" s="3" t="s">
        <v>27</v>
      </c>
      <c r="E261" s="3" t="s">
        <v>354</v>
      </c>
      <c r="F261" s="3">
        <v>20935</v>
      </c>
      <c r="G261" s="3">
        <v>1104</v>
      </c>
      <c r="H261" s="3">
        <v>876</v>
      </c>
      <c r="I261" s="3">
        <v>1270</v>
      </c>
      <c r="J261" s="3">
        <v>21454</v>
      </c>
      <c r="K261" s="3">
        <v>208722</v>
      </c>
      <c r="L261" s="3" t="s">
        <v>25</v>
      </c>
      <c r="M261" s="4">
        <v>0.10978718103506099</v>
      </c>
    </row>
    <row r="262" spans="1:13" x14ac:dyDescent="0.3">
      <c r="A262" s="3" t="s">
        <v>189</v>
      </c>
      <c r="B262" s="3" t="s">
        <v>22</v>
      </c>
      <c r="C262" s="2">
        <v>45658</v>
      </c>
      <c r="D262" s="3" t="s">
        <v>27</v>
      </c>
      <c r="E262" s="3" t="s">
        <v>355</v>
      </c>
      <c r="F262" s="3">
        <v>24574</v>
      </c>
      <c r="G262" s="3">
        <v>909</v>
      </c>
      <c r="H262" s="3">
        <v>280</v>
      </c>
      <c r="I262" s="3">
        <v>2009</v>
      </c>
      <c r="J262" s="3">
        <v>6221</v>
      </c>
      <c r="K262" s="3">
        <v>236910</v>
      </c>
      <c r="L262" s="3" t="s">
        <v>45</v>
      </c>
      <c r="M262" s="4">
        <v>0.10874593727575872</v>
      </c>
    </row>
    <row r="263" spans="1:13" x14ac:dyDescent="0.3">
      <c r="A263" s="3" t="s">
        <v>189</v>
      </c>
      <c r="B263" s="3" t="s">
        <v>22</v>
      </c>
      <c r="C263" s="2">
        <v>45658</v>
      </c>
      <c r="D263" s="3" t="s">
        <v>27</v>
      </c>
      <c r="E263" s="3" t="s">
        <v>356</v>
      </c>
      <c r="F263" s="3">
        <v>24574</v>
      </c>
      <c r="G263" s="3">
        <v>909</v>
      </c>
      <c r="H263" s="3">
        <v>280</v>
      </c>
      <c r="I263" s="3">
        <v>2009</v>
      </c>
      <c r="J263" s="3">
        <v>6221</v>
      </c>
      <c r="K263" s="3">
        <v>236910</v>
      </c>
      <c r="L263" s="3" t="s">
        <v>45</v>
      </c>
      <c r="M263" s="4">
        <v>0.10874593727575872</v>
      </c>
    </row>
    <row r="264" spans="1:13" x14ac:dyDescent="0.3">
      <c r="A264" s="3" t="s">
        <v>68</v>
      </c>
      <c r="B264" s="3" t="s">
        <v>18</v>
      </c>
      <c r="C264" s="2">
        <v>45911</v>
      </c>
      <c r="D264" s="3" t="s">
        <v>34</v>
      </c>
      <c r="E264" s="3" t="s">
        <v>365</v>
      </c>
      <c r="F264" s="3">
        <v>10175</v>
      </c>
      <c r="G264" s="3">
        <v>342</v>
      </c>
      <c r="H264" s="3">
        <v>825</v>
      </c>
      <c r="I264" s="3">
        <v>2904</v>
      </c>
      <c r="J264" s="3">
        <v>15954</v>
      </c>
      <c r="K264" s="3">
        <v>104324</v>
      </c>
      <c r="L264" s="3" t="s">
        <v>20</v>
      </c>
      <c r="M264" s="4">
        <v>0.10871899083624094</v>
      </c>
    </row>
    <row r="265" spans="1:13" x14ac:dyDescent="0.3">
      <c r="A265" s="3" t="s">
        <v>68</v>
      </c>
      <c r="B265" s="3" t="s">
        <v>18</v>
      </c>
      <c r="C265" s="2">
        <v>45911</v>
      </c>
      <c r="D265" s="3" t="s">
        <v>34</v>
      </c>
      <c r="E265" s="3" t="s">
        <v>359</v>
      </c>
      <c r="F265" s="3">
        <v>10175</v>
      </c>
      <c r="G265" s="3">
        <v>342</v>
      </c>
      <c r="H265" s="3">
        <v>825</v>
      </c>
      <c r="I265" s="3">
        <v>2904</v>
      </c>
      <c r="J265" s="3">
        <v>15954</v>
      </c>
      <c r="K265" s="3">
        <v>104324</v>
      </c>
      <c r="L265" s="3" t="s">
        <v>20</v>
      </c>
      <c r="M265" s="4">
        <v>0.10871899083624094</v>
      </c>
    </row>
    <row r="266" spans="1:13" x14ac:dyDescent="0.3">
      <c r="A266" s="3" t="s">
        <v>219</v>
      </c>
      <c r="B266" s="3" t="s">
        <v>40</v>
      </c>
      <c r="C266" s="2">
        <v>45643</v>
      </c>
      <c r="D266" s="3" t="s">
        <v>14</v>
      </c>
      <c r="E266" s="3" t="s">
        <v>363</v>
      </c>
      <c r="F266" s="3">
        <v>20030</v>
      </c>
      <c r="G266" s="3">
        <v>485</v>
      </c>
      <c r="H266" s="3">
        <v>888</v>
      </c>
      <c r="I266" s="3">
        <v>1643</v>
      </c>
      <c r="J266" s="3">
        <v>4322</v>
      </c>
      <c r="K266" s="3">
        <v>196995</v>
      </c>
      <c r="L266" s="3" t="s">
        <v>25</v>
      </c>
      <c r="M266" s="4">
        <v>0.10864742759968526</v>
      </c>
    </row>
    <row r="267" spans="1:13" x14ac:dyDescent="0.3">
      <c r="A267" s="3" t="s">
        <v>219</v>
      </c>
      <c r="B267" s="3" t="s">
        <v>40</v>
      </c>
      <c r="C267" s="2">
        <v>45643</v>
      </c>
      <c r="D267" s="3" t="s">
        <v>14</v>
      </c>
      <c r="E267" s="3" t="s">
        <v>364</v>
      </c>
      <c r="F267" s="3">
        <v>20030</v>
      </c>
      <c r="G267" s="3">
        <v>485</v>
      </c>
      <c r="H267" s="3">
        <v>888</v>
      </c>
      <c r="I267" s="3">
        <v>1643</v>
      </c>
      <c r="J267" s="3">
        <v>4322</v>
      </c>
      <c r="K267" s="3">
        <v>196995</v>
      </c>
      <c r="L267" s="3" t="s">
        <v>25</v>
      </c>
      <c r="M267" s="4">
        <v>0.10864742759968526</v>
      </c>
    </row>
    <row r="268" spans="1:13" x14ac:dyDescent="0.3">
      <c r="A268" s="3" t="s">
        <v>87</v>
      </c>
      <c r="B268" s="3" t="s">
        <v>40</v>
      </c>
      <c r="C268" s="2">
        <v>45919</v>
      </c>
      <c r="D268" s="3" t="s">
        <v>14</v>
      </c>
      <c r="E268" s="3" t="s">
        <v>363</v>
      </c>
      <c r="F268" s="3">
        <v>19100</v>
      </c>
      <c r="G268" s="3">
        <v>619</v>
      </c>
      <c r="H268" s="3">
        <v>297</v>
      </c>
      <c r="I268" s="3">
        <v>2312</v>
      </c>
      <c r="J268" s="3">
        <v>9730</v>
      </c>
      <c r="K268" s="3">
        <v>184832</v>
      </c>
      <c r="L268" s="3" t="s">
        <v>20</v>
      </c>
      <c r="M268" s="4">
        <v>0.10829293628808864</v>
      </c>
    </row>
    <row r="269" spans="1:13" x14ac:dyDescent="0.3">
      <c r="A269" s="3" t="s">
        <v>87</v>
      </c>
      <c r="B269" s="3" t="s">
        <v>40</v>
      </c>
      <c r="C269" s="2">
        <v>45919</v>
      </c>
      <c r="D269" s="3" t="s">
        <v>14</v>
      </c>
      <c r="E269" s="3" t="s">
        <v>364</v>
      </c>
      <c r="F269" s="3">
        <v>19100</v>
      </c>
      <c r="G269" s="3">
        <v>619</v>
      </c>
      <c r="H269" s="3">
        <v>297</v>
      </c>
      <c r="I269" s="3">
        <v>2312</v>
      </c>
      <c r="J269" s="3">
        <v>9730</v>
      </c>
      <c r="K269" s="3">
        <v>184832</v>
      </c>
      <c r="L269" s="3" t="s">
        <v>20</v>
      </c>
      <c r="M269" s="4">
        <v>0.10829293628808864</v>
      </c>
    </row>
    <row r="270" spans="1:13" x14ac:dyDescent="0.3">
      <c r="A270" s="3" t="s">
        <v>235</v>
      </c>
      <c r="B270" s="3" t="s">
        <v>22</v>
      </c>
      <c r="C270" s="2">
        <v>45920</v>
      </c>
      <c r="D270" s="3" t="s">
        <v>14</v>
      </c>
      <c r="E270" s="3" t="s">
        <v>363</v>
      </c>
      <c r="F270" s="3">
        <v>12267</v>
      </c>
      <c r="G270" s="3">
        <v>1487</v>
      </c>
      <c r="H270" s="3">
        <v>489</v>
      </c>
      <c r="I270" s="3">
        <v>2748</v>
      </c>
      <c r="J270" s="3">
        <v>34685</v>
      </c>
      <c r="K270" s="3">
        <v>131736</v>
      </c>
      <c r="L270" s="3" t="s">
        <v>20</v>
      </c>
      <c r="M270" s="4">
        <v>0.1081177506528208</v>
      </c>
    </row>
    <row r="271" spans="1:13" x14ac:dyDescent="0.3">
      <c r="A271" s="3" t="s">
        <v>235</v>
      </c>
      <c r="B271" s="3" t="s">
        <v>22</v>
      </c>
      <c r="C271" s="2">
        <v>45920</v>
      </c>
      <c r="D271" s="3" t="s">
        <v>14</v>
      </c>
      <c r="E271" s="3" t="s">
        <v>364</v>
      </c>
      <c r="F271" s="3">
        <v>12267</v>
      </c>
      <c r="G271" s="3">
        <v>1487</v>
      </c>
      <c r="H271" s="3">
        <v>489</v>
      </c>
      <c r="I271" s="3">
        <v>2748</v>
      </c>
      <c r="J271" s="3">
        <v>34685</v>
      </c>
      <c r="K271" s="3">
        <v>131736</v>
      </c>
      <c r="L271" s="3" t="s">
        <v>20</v>
      </c>
      <c r="M271" s="4">
        <v>0.1081177506528208</v>
      </c>
    </row>
    <row r="272" spans="1:13" x14ac:dyDescent="0.3">
      <c r="A272" s="3" t="s">
        <v>298</v>
      </c>
      <c r="B272" s="3" t="s">
        <v>40</v>
      </c>
      <c r="C272" s="2">
        <v>45675</v>
      </c>
      <c r="D272" s="3" t="s">
        <v>23</v>
      </c>
      <c r="E272" s="3" t="s">
        <v>367</v>
      </c>
      <c r="F272" s="3">
        <v>22673</v>
      </c>
      <c r="G272" s="3">
        <v>1053</v>
      </c>
      <c r="H272" s="3">
        <v>169</v>
      </c>
      <c r="I272" s="3">
        <v>1566</v>
      </c>
      <c r="J272" s="3">
        <v>9417</v>
      </c>
      <c r="K272" s="3">
        <v>221187</v>
      </c>
      <c r="L272" s="3" t="s">
        <v>29</v>
      </c>
      <c r="M272" s="4">
        <v>0.10803076130152314</v>
      </c>
    </row>
    <row r="273" spans="1:13" x14ac:dyDescent="0.3">
      <c r="A273" s="3" t="s">
        <v>298</v>
      </c>
      <c r="B273" s="3" t="s">
        <v>40</v>
      </c>
      <c r="C273" s="2">
        <v>45675</v>
      </c>
      <c r="D273" s="3" t="s">
        <v>23</v>
      </c>
      <c r="E273" s="3" t="s">
        <v>32</v>
      </c>
      <c r="F273" s="3">
        <v>22673</v>
      </c>
      <c r="G273" s="3">
        <v>1053</v>
      </c>
      <c r="H273" s="3">
        <v>169</v>
      </c>
      <c r="I273" s="3">
        <v>1566</v>
      </c>
      <c r="J273" s="3">
        <v>9417</v>
      </c>
      <c r="K273" s="3">
        <v>221187</v>
      </c>
      <c r="L273" s="3" t="s">
        <v>29</v>
      </c>
      <c r="M273" s="4">
        <v>0.10803076130152314</v>
      </c>
    </row>
    <row r="274" spans="1:13" x14ac:dyDescent="0.3">
      <c r="A274" s="3" t="s">
        <v>304</v>
      </c>
      <c r="B274" s="3" t="s">
        <v>18</v>
      </c>
      <c r="C274" s="2">
        <v>45760</v>
      </c>
      <c r="D274" s="3" t="s">
        <v>34</v>
      </c>
      <c r="E274" s="3" t="s">
        <v>64</v>
      </c>
      <c r="F274" s="3">
        <v>24700</v>
      </c>
      <c r="G274" s="3">
        <v>327</v>
      </c>
      <c r="H274" s="3">
        <v>999</v>
      </c>
      <c r="I274" s="3">
        <v>994</v>
      </c>
      <c r="J274" s="3">
        <v>59400</v>
      </c>
      <c r="K274" s="3">
        <v>243502</v>
      </c>
      <c r="L274" s="3" t="s">
        <v>25</v>
      </c>
      <c r="M274" s="4">
        <v>0.10688207899729776</v>
      </c>
    </row>
    <row r="275" spans="1:13" x14ac:dyDescent="0.3">
      <c r="A275" s="3" t="s">
        <v>216</v>
      </c>
      <c r="B275" s="3" t="s">
        <v>13</v>
      </c>
      <c r="C275" s="2">
        <v>45941</v>
      </c>
      <c r="D275" s="3" t="s">
        <v>34</v>
      </c>
      <c r="E275" s="3" t="s">
        <v>363</v>
      </c>
      <c r="F275" s="3">
        <v>15623</v>
      </c>
      <c r="G275" s="3">
        <v>869</v>
      </c>
      <c r="H275" s="3">
        <v>423</v>
      </c>
      <c r="I275" s="3">
        <v>371</v>
      </c>
      <c r="J275" s="3">
        <v>47579</v>
      </c>
      <c r="K275" s="3">
        <v>158516</v>
      </c>
      <c r="L275" s="3" t="s">
        <v>20</v>
      </c>
      <c r="M275" s="4">
        <v>0.10670847106916652</v>
      </c>
    </row>
    <row r="276" spans="1:13" x14ac:dyDescent="0.3">
      <c r="A276" s="3" t="s">
        <v>216</v>
      </c>
      <c r="B276" s="3" t="s">
        <v>13</v>
      </c>
      <c r="C276" s="2">
        <v>45941</v>
      </c>
      <c r="D276" s="3" t="s">
        <v>34</v>
      </c>
      <c r="E276" s="3" t="s">
        <v>364</v>
      </c>
      <c r="F276" s="3">
        <v>15623</v>
      </c>
      <c r="G276" s="3">
        <v>869</v>
      </c>
      <c r="H276" s="3">
        <v>423</v>
      </c>
      <c r="I276" s="3">
        <v>371</v>
      </c>
      <c r="J276" s="3">
        <v>47579</v>
      </c>
      <c r="K276" s="3">
        <v>158516</v>
      </c>
      <c r="L276" s="3" t="s">
        <v>20</v>
      </c>
      <c r="M276" s="4">
        <v>0.10670847106916652</v>
      </c>
    </row>
    <row r="277" spans="1:13" x14ac:dyDescent="0.3">
      <c r="A277" s="3" t="s">
        <v>250</v>
      </c>
      <c r="B277" s="3" t="s">
        <v>13</v>
      </c>
      <c r="C277" s="2">
        <v>45649</v>
      </c>
      <c r="D277" s="3" t="s">
        <v>27</v>
      </c>
      <c r="E277" s="3" t="s">
        <v>357</v>
      </c>
      <c r="F277" s="3">
        <v>18616</v>
      </c>
      <c r="G277" s="3">
        <v>1277</v>
      </c>
      <c r="H277" s="3">
        <v>734</v>
      </c>
      <c r="I277" s="3">
        <v>2249</v>
      </c>
      <c r="J277" s="3">
        <v>3399</v>
      </c>
      <c r="K277" s="3">
        <v>193515</v>
      </c>
      <c r="L277" s="3" t="s">
        <v>29</v>
      </c>
      <c r="M277" s="4">
        <v>0.10659122031883833</v>
      </c>
    </row>
    <row r="278" spans="1:13" x14ac:dyDescent="0.3">
      <c r="A278" s="3" t="s">
        <v>250</v>
      </c>
      <c r="B278" s="3" t="s">
        <v>13</v>
      </c>
      <c r="C278" s="2">
        <v>45649</v>
      </c>
      <c r="D278" s="3" t="s">
        <v>27</v>
      </c>
      <c r="E278" s="3" t="s">
        <v>358</v>
      </c>
      <c r="F278" s="3">
        <v>18616</v>
      </c>
      <c r="G278" s="3">
        <v>1277</v>
      </c>
      <c r="H278" s="3">
        <v>734</v>
      </c>
      <c r="I278" s="3">
        <v>2249</v>
      </c>
      <c r="J278" s="3">
        <v>3399</v>
      </c>
      <c r="K278" s="3">
        <v>193515</v>
      </c>
      <c r="L278" s="3" t="s">
        <v>29</v>
      </c>
      <c r="M278" s="4">
        <v>0.10659122031883833</v>
      </c>
    </row>
    <row r="279" spans="1:13" x14ac:dyDescent="0.3">
      <c r="A279" s="3" t="s">
        <v>308</v>
      </c>
      <c r="B279" s="3" t="s">
        <v>18</v>
      </c>
      <c r="C279" s="2">
        <v>45743</v>
      </c>
      <c r="D279" s="3" t="s">
        <v>23</v>
      </c>
      <c r="E279" s="3" t="s">
        <v>367</v>
      </c>
      <c r="F279" s="3">
        <v>14819</v>
      </c>
      <c r="G279" s="3">
        <v>1432</v>
      </c>
      <c r="H279" s="3">
        <v>152</v>
      </c>
      <c r="I279" s="3">
        <v>961</v>
      </c>
      <c r="J279" s="3">
        <v>39154</v>
      </c>
      <c r="K279" s="3">
        <v>154793</v>
      </c>
      <c r="L279" s="3" t="s">
        <v>29</v>
      </c>
      <c r="M279" s="4">
        <v>0.10596732410380315</v>
      </c>
    </row>
    <row r="280" spans="1:13" x14ac:dyDescent="0.3">
      <c r="A280" s="3" t="s">
        <v>308</v>
      </c>
      <c r="B280" s="3" t="s">
        <v>18</v>
      </c>
      <c r="C280" s="2">
        <v>45743</v>
      </c>
      <c r="D280" s="3" t="s">
        <v>23</v>
      </c>
      <c r="E280" s="3" t="s">
        <v>32</v>
      </c>
      <c r="F280" s="3">
        <v>14819</v>
      </c>
      <c r="G280" s="3">
        <v>1432</v>
      </c>
      <c r="H280" s="3">
        <v>152</v>
      </c>
      <c r="I280" s="3">
        <v>961</v>
      </c>
      <c r="J280" s="3">
        <v>39154</v>
      </c>
      <c r="K280" s="3">
        <v>154793</v>
      </c>
      <c r="L280" s="3" t="s">
        <v>29</v>
      </c>
      <c r="M280" s="4">
        <v>0.10596732410380315</v>
      </c>
    </row>
    <row r="281" spans="1:13" x14ac:dyDescent="0.3">
      <c r="A281" s="3" t="s">
        <v>234</v>
      </c>
      <c r="B281" s="3" t="s">
        <v>18</v>
      </c>
      <c r="C281" s="2">
        <v>45919</v>
      </c>
      <c r="D281" s="3" t="s">
        <v>34</v>
      </c>
      <c r="E281" s="3" t="s">
        <v>359</v>
      </c>
      <c r="F281" s="3">
        <v>14772</v>
      </c>
      <c r="G281" s="3">
        <v>1030</v>
      </c>
      <c r="H281" s="3">
        <v>508</v>
      </c>
      <c r="I281" s="3">
        <v>1876</v>
      </c>
      <c r="J281" s="3">
        <v>8882</v>
      </c>
      <c r="K281" s="3">
        <v>155142</v>
      </c>
      <c r="L281" s="3" t="s">
        <v>20</v>
      </c>
      <c r="M281" s="4">
        <v>0.10512949426976577</v>
      </c>
    </row>
    <row r="282" spans="1:13" x14ac:dyDescent="0.3">
      <c r="A282" s="3" t="s">
        <v>234</v>
      </c>
      <c r="B282" s="3" t="s">
        <v>18</v>
      </c>
      <c r="C282" s="2">
        <v>45919</v>
      </c>
      <c r="D282" s="3" t="s">
        <v>34</v>
      </c>
      <c r="E282" s="3" t="s">
        <v>360</v>
      </c>
      <c r="F282" s="3">
        <v>14772</v>
      </c>
      <c r="G282" s="3">
        <v>1030</v>
      </c>
      <c r="H282" s="3">
        <v>508</v>
      </c>
      <c r="I282" s="3">
        <v>1876</v>
      </c>
      <c r="J282" s="3">
        <v>8882</v>
      </c>
      <c r="K282" s="3">
        <v>155142</v>
      </c>
      <c r="L282" s="3" t="s">
        <v>20</v>
      </c>
      <c r="M282" s="4">
        <v>0.10512949426976577</v>
      </c>
    </row>
    <row r="283" spans="1:13" x14ac:dyDescent="0.3">
      <c r="A283" s="3" t="s">
        <v>332</v>
      </c>
      <c r="B283" s="3" t="s">
        <v>18</v>
      </c>
      <c r="C283" s="2">
        <v>45699</v>
      </c>
      <c r="D283" s="3" t="s">
        <v>34</v>
      </c>
      <c r="E283" s="3" t="s">
        <v>368</v>
      </c>
      <c r="F283" s="3">
        <v>3619</v>
      </c>
      <c r="G283" s="3">
        <v>1376</v>
      </c>
      <c r="H283" s="3">
        <v>410</v>
      </c>
      <c r="I283" s="3">
        <v>2499</v>
      </c>
      <c r="J283" s="3">
        <v>58146</v>
      </c>
      <c r="K283" s="3">
        <v>52149</v>
      </c>
      <c r="L283" s="3" t="s">
        <v>16</v>
      </c>
      <c r="M283" s="4">
        <v>0.10364532397553165</v>
      </c>
    </row>
    <row r="284" spans="1:13" x14ac:dyDescent="0.3">
      <c r="A284" s="3" t="s">
        <v>332</v>
      </c>
      <c r="B284" s="3" t="s">
        <v>18</v>
      </c>
      <c r="C284" s="2">
        <v>45699</v>
      </c>
      <c r="D284" s="3" t="s">
        <v>34</v>
      </c>
      <c r="E284" s="3" t="s">
        <v>369</v>
      </c>
      <c r="F284" s="3">
        <v>3619</v>
      </c>
      <c r="G284" s="3">
        <v>1376</v>
      </c>
      <c r="H284" s="3">
        <v>410</v>
      </c>
      <c r="I284" s="3">
        <v>2499</v>
      </c>
      <c r="J284" s="3">
        <v>58146</v>
      </c>
      <c r="K284" s="3">
        <v>52149</v>
      </c>
      <c r="L284" s="3" t="s">
        <v>16</v>
      </c>
      <c r="M284" s="4">
        <v>0.10364532397553165</v>
      </c>
    </row>
    <row r="285" spans="1:13" x14ac:dyDescent="0.3">
      <c r="A285" s="3" t="s">
        <v>276</v>
      </c>
      <c r="B285" s="3" t="s">
        <v>18</v>
      </c>
      <c r="C285" s="2">
        <v>45911</v>
      </c>
      <c r="D285" s="3" t="s">
        <v>27</v>
      </c>
      <c r="E285" s="3" t="s">
        <v>361</v>
      </c>
      <c r="F285" s="3">
        <v>21901</v>
      </c>
      <c r="G285" s="3">
        <v>1308</v>
      </c>
      <c r="H285" s="3">
        <v>724</v>
      </c>
      <c r="I285" s="3">
        <v>2183</v>
      </c>
      <c r="J285" s="3">
        <v>15996</v>
      </c>
      <c r="K285" s="3">
        <v>230961</v>
      </c>
      <c r="L285" s="3" t="s">
        <v>20</v>
      </c>
      <c r="M285" s="4">
        <v>0.10362355549205277</v>
      </c>
    </row>
    <row r="286" spans="1:13" x14ac:dyDescent="0.3">
      <c r="A286" s="3" t="s">
        <v>276</v>
      </c>
      <c r="B286" s="3" t="s">
        <v>18</v>
      </c>
      <c r="C286" s="2">
        <v>45911</v>
      </c>
      <c r="D286" s="3" t="s">
        <v>27</v>
      </c>
      <c r="E286" s="3" t="s">
        <v>362</v>
      </c>
      <c r="F286" s="3">
        <v>21901</v>
      </c>
      <c r="G286" s="3">
        <v>1308</v>
      </c>
      <c r="H286" s="3">
        <v>724</v>
      </c>
      <c r="I286" s="3">
        <v>2183</v>
      </c>
      <c r="J286" s="3">
        <v>15996</v>
      </c>
      <c r="K286" s="3">
        <v>230961</v>
      </c>
      <c r="L286" s="3" t="s">
        <v>20</v>
      </c>
      <c r="M286" s="4">
        <v>0.10362355549205277</v>
      </c>
    </row>
    <row r="287" spans="1:13" x14ac:dyDescent="0.3">
      <c r="A287" s="3" t="s">
        <v>279</v>
      </c>
      <c r="B287" s="3" t="s">
        <v>18</v>
      </c>
      <c r="C287" s="2">
        <v>45722</v>
      </c>
      <c r="D287" s="3" t="s">
        <v>23</v>
      </c>
      <c r="E287" s="3" t="s">
        <v>365</v>
      </c>
      <c r="F287" s="3">
        <v>22119</v>
      </c>
      <c r="G287" s="3">
        <v>899</v>
      </c>
      <c r="H287" s="3">
        <v>642</v>
      </c>
      <c r="I287" s="3">
        <v>410</v>
      </c>
      <c r="J287" s="3">
        <v>49490</v>
      </c>
      <c r="K287" s="3">
        <v>229420</v>
      </c>
      <c r="L287" s="3" t="s">
        <v>29</v>
      </c>
      <c r="M287" s="4">
        <v>0.10312963124400662</v>
      </c>
    </row>
    <row r="288" spans="1:13" x14ac:dyDescent="0.3">
      <c r="A288" s="3" t="s">
        <v>279</v>
      </c>
      <c r="B288" s="3" t="s">
        <v>18</v>
      </c>
      <c r="C288" s="2">
        <v>45722</v>
      </c>
      <c r="D288" s="3" t="s">
        <v>23</v>
      </c>
      <c r="E288" s="3" t="s">
        <v>359</v>
      </c>
      <c r="F288" s="3">
        <v>22119</v>
      </c>
      <c r="G288" s="3">
        <v>899</v>
      </c>
      <c r="H288" s="3">
        <v>642</v>
      </c>
      <c r="I288" s="3">
        <v>410</v>
      </c>
      <c r="J288" s="3">
        <v>49490</v>
      </c>
      <c r="K288" s="3">
        <v>229420</v>
      </c>
      <c r="L288" s="3" t="s">
        <v>29</v>
      </c>
      <c r="M288" s="4">
        <v>0.10312963124400662</v>
      </c>
    </row>
    <row r="289" spans="1:13" x14ac:dyDescent="0.3">
      <c r="A289" s="3" t="s">
        <v>326</v>
      </c>
      <c r="B289" s="3" t="s">
        <v>18</v>
      </c>
      <c r="C289" s="2">
        <v>45920</v>
      </c>
      <c r="D289" s="3" t="s">
        <v>14</v>
      </c>
      <c r="E289" s="3" t="s">
        <v>32</v>
      </c>
      <c r="F289" s="3">
        <v>24422</v>
      </c>
      <c r="G289" s="3">
        <v>327</v>
      </c>
      <c r="H289" s="3">
        <v>481</v>
      </c>
      <c r="I289" s="3">
        <v>2371</v>
      </c>
      <c r="J289" s="3">
        <v>35340</v>
      </c>
      <c r="K289" s="3">
        <v>245244</v>
      </c>
      <c r="L289" s="3" t="s">
        <v>20</v>
      </c>
      <c r="M289" s="4">
        <v>0.10287713460879777</v>
      </c>
    </row>
    <row r="290" spans="1:13" x14ac:dyDescent="0.3">
      <c r="A290" s="3" t="s">
        <v>273</v>
      </c>
      <c r="B290" s="3" t="s">
        <v>40</v>
      </c>
      <c r="C290" s="2">
        <v>45587</v>
      </c>
      <c r="D290" s="3" t="s">
        <v>34</v>
      </c>
      <c r="E290" s="3" t="s">
        <v>357</v>
      </c>
      <c r="F290" s="3">
        <v>7622</v>
      </c>
      <c r="G290" s="3">
        <v>529</v>
      </c>
      <c r="H290" s="3">
        <v>720</v>
      </c>
      <c r="I290" s="3">
        <v>1015</v>
      </c>
      <c r="J290" s="3">
        <v>71322</v>
      </c>
      <c r="K290" s="3">
        <v>86819</v>
      </c>
      <c r="L290" s="3" t="s">
        <v>45</v>
      </c>
      <c r="M290" s="4">
        <v>0.10217809465669957</v>
      </c>
    </row>
    <row r="291" spans="1:13" x14ac:dyDescent="0.3">
      <c r="A291" s="3" t="s">
        <v>273</v>
      </c>
      <c r="B291" s="3" t="s">
        <v>40</v>
      </c>
      <c r="C291" s="2">
        <v>45587</v>
      </c>
      <c r="D291" s="3" t="s">
        <v>34</v>
      </c>
      <c r="E291" s="3" t="s">
        <v>358</v>
      </c>
      <c r="F291" s="3">
        <v>7622</v>
      </c>
      <c r="G291" s="3">
        <v>529</v>
      </c>
      <c r="H291" s="3">
        <v>720</v>
      </c>
      <c r="I291" s="3">
        <v>1015</v>
      </c>
      <c r="J291" s="3">
        <v>71322</v>
      </c>
      <c r="K291" s="3">
        <v>86819</v>
      </c>
      <c r="L291" s="3" t="s">
        <v>45</v>
      </c>
      <c r="M291" s="4">
        <v>0.10217809465669957</v>
      </c>
    </row>
    <row r="292" spans="1:13" x14ac:dyDescent="0.3">
      <c r="A292" s="3" t="s">
        <v>202</v>
      </c>
      <c r="B292" s="3" t="s">
        <v>22</v>
      </c>
      <c r="C292" s="2">
        <v>45704</v>
      </c>
      <c r="D292" s="3" t="s">
        <v>23</v>
      </c>
      <c r="E292" s="3" t="s">
        <v>359</v>
      </c>
      <c r="F292" s="3">
        <v>24195</v>
      </c>
      <c r="G292" s="3">
        <v>888</v>
      </c>
      <c r="H292" s="3">
        <v>165</v>
      </c>
      <c r="I292" s="3">
        <v>1559</v>
      </c>
      <c r="J292" s="3">
        <v>11596</v>
      </c>
      <c r="K292" s="3">
        <v>249988</v>
      </c>
      <c r="L292" s="3" t="s">
        <v>25</v>
      </c>
      <c r="M292" s="4">
        <v>0.10099684784869674</v>
      </c>
    </row>
    <row r="293" spans="1:13" x14ac:dyDescent="0.3">
      <c r="A293" s="3" t="s">
        <v>202</v>
      </c>
      <c r="B293" s="3" t="s">
        <v>22</v>
      </c>
      <c r="C293" s="2">
        <v>45704</v>
      </c>
      <c r="D293" s="3" t="s">
        <v>23</v>
      </c>
      <c r="E293" s="3" t="s">
        <v>366</v>
      </c>
      <c r="F293" s="3">
        <v>24195</v>
      </c>
      <c r="G293" s="3">
        <v>888</v>
      </c>
      <c r="H293" s="3">
        <v>165</v>
      </c>
      <c r="I293" s="3">
        <v>1559</v>
      </c>
      <c r="J293" s="3">
        <v>11596</v>
      </c>
      <c r="K293" s="3">
        <v>249988</v>
      </c>
      <c r="L293" s="3" t="s">
        <v>25</v>
      </c>
      <c r="M293" s="4">
        <v>0.10099684784869674</v>
      </c>
    </row>
    <row r="294" spans="1:13" x14ac:dyDescent="0.3">
      <c r="A294" s="3" t="s">
        <v>158</v>
      </c>
      <c r="B294" s="3" t="s">
        <v>22</v>
      </c>
      <c r="C294" s="2">
        <v>45567</v>
      </c>
      <c r="D294" s="3" t="s">
        <v>27</v>
      </c>
      <c r="E294" s="3" t="s">
        <v>367</v>
      </c>
      <c r="F294" s="3">
        <v>9350</v>
      </c>
      <c r="G294" s="3">
        <v>1024</v>
      </c>
      <c r="H294" s="3">
        <v>550</v>
      </c>
      <c r="I294" s="3">
        <v>2123</v>
      </c>
      <c r="J294" s="3">
        <v>53916</v>
      </c>
      <c r="K294" s="3">
        <v>108785</v>
      </c>
      <c r="L294" s="3" t="s">
        <v>25</v>
      </c>
      <c r="M294" s="4">
        <v>0.10041825619340902</v>
      </c>
    </row>
    <row r="295" spans="1:13" x14ac:dyDescent="0.3">
      <c r="A295" s="3" t="s">
        <v>158</v>
      </c>
      <c r="B295" s="3" t="s">
        <v>22</v>
      </c>
      <c r="C295" s="2">
        <v>45567</v>
      </c>
      <c r="D295" s="3" t="s">
        <v>27</v>
      </c>
      <c r="E295" s="3" t="s">
        <v>32</v>
      </c>
      <c r="F295" s="3">
        <v>9350</v>
      </c>
      <c r="G295" s="3">
        <v>1024</v>
      </c>
      <c r="H295" s="3">
        <v>550</v>
      </c>
      <c r="I295" s="3">
        <v>2123</v>
      </c>
      <c r="J295" s="3">
        <v>53916</v>
      </c>
      <c r="K295" s="3">
        <v>108785</v>
      </c>
      <c r="L295" s="3" t="s">
        <v>25</v>
      </c>
      <c r="M295" s="4">
        <v>0.10041825619340902</v>
      </c>
    </row>
    <row r="296" spans="1:13" x14ac:dyDescent="0.3">
      <c r="A296" s="3" t="s">
        <v>285</v>
      </c>
      <c r="B296" s="3" t="s">
        <v>22</v>
      </c>
      <c r="C296" s="2">
        <v>45491</v>
      </c>
      <c r="D296" s="3" t="s">
        <v>27</v>
      </c>
      <c r="E296" s="3" t="s">
        <v>64</v>
      </c>
      <c r="F296" s="3">
        <v>11111</v>
      </c>
      <c r="G296" s="3">
        <v>1222</v>
      </c>
      <c r="H296" s="3">
        <v>367</v>
      </c>
      <c r="I296" s="3">
        <v>507</v>
      </c>
      <c r="J296" s="3">
        <v>14129</v>
      </c>
      <c r="K296" s="3">
        <v>127163</v>
      </c>
      <c r="L296" s="3" t="s">
        <v>45</v>
      </c>
      <c r="M296" s="4">
        <v>9.9871818060284834E-2</v>
      </c>
    </row>
    <row r="297" spans="1:13" x14ac:dyDescent="0.3">
      <c r="A297" s="3" t="s">
        <v>201</v>
      </c>
      <c r="B297" s="3" t="s">
        <v>40</v>
      </c>
      <c r="C297" s="2">
        <v>45937</v>
      </c>
      <c r="D297" s="3" t="s">
        <v>34</v>
      </c>
      <c r="E297" s="3" t="s">
        <v>363</v>
      </c>
      <c r="F297" s="3">
        <v>19660</v>
      </c>
      <c r="G297" s="3">
        <v>1307</v>
      </c>
      <c r="H297" s="3">
        <v>310</v>
      </c>
      <c r="I297" s="3">
        <v>2802</v>
      </c>
      <c r="J297" s="3">
        <v>22171</v>
      </c>
      <c r="K297" s="3">
        <v>213359</v>
      </c>
      <c r="L297" s="3" t="s">
        <v>20</v>
      </c>
      <c r="M297" s="4">
        <v>9.9723939463533293E-2</v>
      </c>
    </row>
    <row r="298" spans="1:13" x14ac:dyDescent="0.3">
      <c r="A298" s="3" t="s">
        <v>201</v>
      </c>
      <c r="B298" s="3" t="s">
        <v>40</v>
      </c>
      <c r="C298" s="2">
        <v>45937</v>
      </c>
      <c r="D298" s="3" t="s">
        <v>34</v>
      </c>
      <c r="E298" s="3" t="s">
        <v>364</v>
      </c>
      <c r="F298" s="3">
        <v>19660</v>
      </c>
      <c r="G298" s="3">
        <v>1307</v>
      </c>
      <c r="H298" s="3">
        <v>310</v>
      </c>
      <c r="I298" s="3">
        <v>2802</v>
      </c>
      <c r="J298" s="3">
        <v>22171</v>
      </c>
      <c r="K298" s="3">
        <v>213359</v>
      </c>
      <c r="L298" s="3" t="s">
        <v>20</v>
      </c>
      <c r="M298" s="4">
        <v>9.9723939463533293E-2</v>
      </c>
    </row>
    <row r="299" spans="1:13" x14ac:dyDescent="0.3">
      <c r="A299" s="3" t="s">
        <v>39</v>
      </c>
      <c r="B299" s="3" t="s">
        <v>40</v>
      </c>
      <c r="C299" s="2">
        <v>45727</v>
      </c>
      <c r="D299" s="3" t="s">
        <v>27</v>
      </c>
      <c r="E299" s="3" t="s">
        <v>365</v>
      </c>
      <c r="F299" s="3">
        <v>20222</v>
      </c>
      <c r="G299" s="3">
        <v>712</v>
      </c>
      <c r="H299" s="3">
        <v>604</v>
      </c>
      <c r="I299" s="3">
        <v>1272</v>
      </c>
      <c r="J299" s="3">
        <v>71598</v>
      </c>
      <c r="K299" s="3">
        <v>216422</v>
      </c>
      <c r="L299" s="3" t="s">
        <v>25</v>
      </c>
      <c r="M299" s="4">
        <v>9.9518533235992648E-2</v>
      </c>
    </row>
    <row r="300" spans="1:13" x14ac:dyDescent="0.3">
      <c r="A300" s="3" t="s">
        <v>39</v>
      </c>
      <c r="B300" s="3" t="s">
        <v>40</v>
      </c>
      <c r="C300" s="2">
        <v>45727</v>
      </c>
      <c r="D300" s="3" t="s">
        <v>27</v>
      </c>
      <c r="E300" s="3" t="s">
        <v>359</v>
      </c>
      <c r="F300" s="3">
        <v>20222</v>
      </c>
      <c r="G300" s="3">
        <v>712</v>
      </c>
      <c r="H300" s="3">
        <v>604</v>
      </c>
      <c r="I300" s="3">
        <v>1272</v>
      </c>
      <c r="J300" s="3">
        <v>71598</v>
      </c>
      <c r="K300" s="3">
        <v>216422</v>
      </c>
      <c r="L300" s="3" t="s">
        <v>25</v>
      </c>
      <c r="M300" s="4">
        <v>9.9518533235992648E-2</v>
      </c>
    </row>
    <row r="301" spans="1:13" x14ac:dyDescent="0.3">
      <c r="A301" s="3" t="s">
        <v>139</v>
      </c>
      <c r="B301" s="3" t="s">
        <v>40</v>
      </c>
      <c r="C301" s="2">
        <v>45927</v>
      </c>
      <c r="D301" s="3" t="s">
        <v>23</v>
      </c>
      <c r="E301" s="3" t="s">
        <v>355</v>
      </c>
      <c r="F301" s="3">
        <v>18521</v>
      </c>
      <c r="G301" s="3">
        <v>1027</v>
      </c>
      <c r="H301" s="3">
        <v>230</v>
      </c>
      <c r="I301" s="3">
        <v>1247</v>
      </c>
      <c r="J301" s="3">
        <v>39588</v>
      </c>
      <c r="K301" s="3">
        <v>200928</v>
      </c>
      <c r="L301" s="3" t="s">
        <v>20</v>
      </c>
      <c r="M301" s="4">
        <v>9.8433269628921807E-2</v>
      </c>
    </row>
    <row r="302" spans="1:13" x14ac:dyDescent="0.3">
      <c r="A302" s="3" t="s">
        <v>139</v>
      </c>
      <c r="B302" s="3" t="s">
        <v>40</v>
      </c>
      <c r="C302" s="2">
        <v>45927</v>
      </c>
      <c r="D302" s="3" t="s">
        <v>23</v>
      </c>
      <c r="E302" s="3" t="s">
        <v>356</v>
      </c>
      <c r="F302" s="3">
        <v>18521</v>
      </c>
      <c r="G302" s="3">
        <v>1027</v>
      </c>
      <c r="H302" s="3">
        <v>230</v>
      </c>
      <c r="I302" s="3">
        <v>1247</v>
      </c>
      <c r="J302" s="3">
        <v>39588</v>
      </c>
      <c r="K302" s="3">
        <v>200928</v>
      </c>
      <c r="L302" s="3" t="s">
        <v>20</v>
      </c>
      <c r="M302" s="4">
        <v>9.8433269628921807E-2</v>
      </c>
    </row>
    <row r="303" spans="1:13" x14ac:dyDescent="0.3">
      <c r="A303" s="3" t="s">
        <v>154</v>
      </c>
      <c r="B303" s="3" t="s">
        <v>40</v>
      </c>
      <c r="C303" s="2">
        <v>45600</v>
      </c>
      <c r="D303" s="3" t="s">
        <v>27</v>
      </c>
      <c r="E303" s="3" t="s">
        <v>32</v>
      </c>
      <c r="F303" s="3">
        <v>14234</v>
      </c>
      <c r="G303" s="3">
        <v>1013</v>
      </c>
      <c r="H303" s="3">
        <v>437</v>
      </c>
      <c r="I303" s="3">
        <v>338</v>
      </c>
      <c r="J303" s="3">
        <v>67754</v>
      </c>
      <c r="K303" s="3">
        <v>160030</v>
      </c>
      <c r="L303" s="3" t="s">
        <v>25</v>
      </c>
      <c r="M303" s="4">
        <v>9.8006623758045364E-2</v>
      </c>
    </row>
    <row r="304" spans="1:13" x14ac:dyDescent="0.3">
      <c r="A304" s="3" t="s">
        <v>289</v>
      </c>
      <c r="B304" s="3" t="s">
        <v>18</v>
      </c>
      <c r="C304" s="2">
        <v>45916</v>
      </c>
      <c r="D304" s="3" t="s">
        <v>14</v>
      </c>
      <c r="E304" s="3" t="s">
        <v>64</v>
      </c>
      <c r="F304" s="3">
        <v>16043</v>
      </c>
      <c r="G304" s="3">
        <v>595</v>
      </c>
      <c r="H304" s="3">
        <v>923</v>
      </c>
      <c r="I304" s="3">
        <v>1194</v>
      </c>
      <c r="J304" s="3">
        <v>52613</v>
      </c>
      <c r="K304" s="3">
        <v>179978</v>
      </c>
      <c r="L304" s="3" t="s">
        <v>20</v>
      </c>
      <c r="M304" s="4">
        <v>9.757303670448611E-2</v>
      </c>
    </row>
    <row r="305" spans="1:13" x14ac:dyDescent="0.3">
      <c r="A305" s="3" t="s">
        <v>150</v>
      </c>
      <c r="B305" s="3" t="s">
        <v>40</v>
      </c>
      <c r="C305" s="2">
        <v>45610</v>
      </c>
      <c r="D305" s="3" t="s">
        <v>14</v>
      </c>
      <c r="E305" s="3" t="s">
        <v>357</v>
      </c>
      <c r="F305" s="3">
        <v>6300</v>
      </c>
      <c r="G305" s="3">
        <v>1213</v>
      </c>
      <c r="H305" s="3">
        <v>720</v>
      </c>
      <c r="I305" s="3">
        <v>1037</v>
      </c>
      <c r="J305" s="3">
        <v>39569</v>
      </c>
      <c r="K305" s="3">
        <v>85272</v>
      </c>
      <c r="L305" s="3" t="s">
        <v>29</v>
      </c>
      <c r="M305" s="4">
        <v>9.6549863964724647E-2</v>
      </c>
    </row>
    <row r="306" spans="1:13" x14ac:dyDescent="0.3">
      <c r="A306" s="3" t="s">
        <v>150</v>
      </c>
      <c r="B306" s="3" t="s">
        <v>40</v>
      </c>
      <c r="C306" s="2">
        <v>45610</v>
      </c>
      <c r="D306" s="3" t="s">
        <v>14</v>
      </c>
      <c r="E306" s="3" t="s">
        <v>358</v>
      </c>
      <c r="F306" s="3">
        <v>6300</v>
      </c>
      <c r="G306" s="3">
        <v>1213</v>
      </c>
      <c r="H306" s="3">
        <v>720</v>
      </c>
      <c r="I306" s="3">
        <v>1037</v>
      </c>
      <c r="J306" s="3">
        <v>39569</v>
      </c>
      <c r="K306" s="3">
        <v>85272</v>
      </c>
      <c r="L306" s="3" t="s">
        <v>29</v>
      </c>
      <c r="M306" s="4">
        <v>9.6549863964724647E-2</v>
      </c>
    </row>
    <row r="307" spans="1:13" x14ac:dyDescent="0.3">
      <c r="A307" s="3" t="s">
        <v>244</v>
      </c>
      <c r="B307" s="3" t="s">
        <v>18</v>
      </c>
      <c r="C307" s="2">
        <v>45467</v>
      </c>
      <c r="D307" s="3" t="s">
        <v>23</v>
      </c>
      <c r="E307" s="3" t="s">
        <v>355</v>
      </c>
      <c r="F307" s="3">
        <v>5596</v>
      </c>
      <c r="G307" s="3">
        <v>1231</v>
      </c>
      <c r="H307" s="3">
        <v>473</v>
      </c>
      <c r="I307" s="3">
        <v>2251</v>
      </c>
      <c r="J307" s="3">
        <v>43705</v>
      </c>
      <c r="K307" s="3">
        <v>75643</v>
      </c>
      <c r="L307" s="3" t="s">
        <v>16</v>
      </c>
      <c r="M307" s="4">
        <v>9.6505955607260427E-2</v>
      </c>
    </row>
    <row r="308" spans="1:13" x14ac:dyDescent="0.3">
      <c r="A308" s="3" t="s">
        <v>244</v>
      </c>
      <c r="B308" s="3" t="s">
        <v>18</v>
      </c>
      <c r="C308" s="2">
        <v>45467</v>
      </c>
      <c r="D308" s="3" t="s">
        <v>23</v>
      </c>
      <c r="E308" s="3" t="s">
        <v>356</v>
      </c>
      <c r="F308" s="3">
        <v>5596</v>
      </c>
      <c r="G308" s="3">
        <v>1231</v>
      </c>
      <c r="H308" s="3">
        <v>473</v>
      </c>
      <c r="I308" s="3">
        <v>2251</v>
      </c>
      <c r="J308" s="3">
        <v>43705</v>
      </c>
      <c r="K308" s="3">
        <v>75643</v>
      </c>
      <c r="L308" s="3" t="s">
        <v>16</v>
      </c>
      <c r="M308" s="4">
        <v>9.6505955607260427E-2</v>
      </c>
    </row>
    <row r="309" spans="1:13" x14ac:dyDescent="0.3">
      <c r="A309" s="3" t="s">
        <v>299</v>
      </c>
      <c r="B309" s="3" t="s">
        <v>22</v>
      </c>
      <c r="C309" s="2">
        <v>45524</v>
      </c>
      <c r="D309" s="3" t="s">
        <v>23</v>
      </c>
      <c r="E309" s="3" t="s">
        <v>32</v>
      </c>
      <c r="F309" s="3">
        <v>2846</v>
      </c>
      <c r="G309" s="3">
        <v>792</v>
      </c>
      <c r="H309" s="3">
        <v>902</v>
      </c>
      <c r="I309" s="3">
        <v>2469</v>
      </c>
      <c r="J309" s="3">
        <v>12130</v>
      </c>
      <c r="K309" s="3">
        <v>47151</v>
      </c>
      <c r="L309" s="3" t="s">
        <v>16</v>
      </c>
      <c r="M309" s="4">
        <v>9.6286399015927546E-2</v>
      </c>
    </row>
    <row r="310" spans="1:13" x14ac:dyDescent="0.3">
      <c r="A310" s="3" t="s">
        <v>70</v>
      </c>
      <c r="B310" s="3" t="s">
        <v>40</v>
      </c>
      <c r="C310" s="2">
        <v>45626</v>
      </c>
      <c r="D310" s="3" t="s">
        <v>27</v>
      </c>
      <c r="E310" s="3" t="s">
        <v>359</v>
      </c>
      <c r="F310" s="3">
        <v>14763</v>
      </c>
      <c r="G310" s="3">
        <v>864</v>
      </c>
      <c r="H310" s="3">
        <v>336</v>
      </c>
      <c r="I310" s="3">
        <v>1493</v>
      </c>
      <c r="J310" s="3">
        <v>33310</v>
      </c>
      <c r="K310" s="3">
        <v>165932</v>
      </c>
      <c r="L310" s="3" t="s">
        <v>29</v>
      </c>
      <c r="M310" s="4">
        <v>9.6202058674637797E-2</v>
      </c>
    </row>
    <row r="311" spans="1:13" x14ac:dyDescent="0.3">
      <c r="A311" s="3" t="s">
        <v>70</v>
      </c>
      <c r="B311" s="3" t="s">
        <v>40</v>
      </c>
      <c r="C311" s="2">
        <v>45626</v>
      </c>
      <c r="D311" s="3" t="s">
        <v>27</v>
      </c>
      <c r="E311" s="3" t="s">
        <v>366</v>
      </c>
      <c r="F311" s="3">
        <v>14763</v>
      </c>
      <c r="G311" s="3">
        <v>864</v>
      </c>
      <c r="H311" s="3">
        <v>336</v>
      </c>
      <c r="I311" s="3">
        <v>1493</v>
      </c>
      <c r="J311" s="3">
        <v>33310</v>
      </c>
      <c r="K311" s="3">
        <v>165932</v>
      </c>
      <c r="L311" s="3" t="s">
        <v>29</v>
      </c>
      <c r="M311" s="4">
        <v>9.6202058674637797E-2</v>
      </c>
    </row>
    <row r="312" spans="1:13" x14ac:dyDescent="0.3">
      <c r="A312" s="3" t="s">
        <v>60</v>
      </c>
      <c r="B312" s="3" t="s">
        <v>40</v>
      </c>
      <c r="C312" s="2">
        <v>45752</v>
      </c>
      <c r="D312" s="3" t="s">
        <v>27</v>
      </c>
      <c r="E312" s="3" t="s">
        <v>363</v>
      </c>
      <c r="F312" s="3">
        <v>22384</v>
      </c>
      <c r="G312" s="3">
        <v>601</v>
      </c>
      <c r="H312" s="3">
        <v>943</v>
      </c>
      <c r="I312" s="3">
        <v>515</v>
      </c>
      <c r="J312" s="3">
        <v>41309</v>
      </c>
      <c r="K312" s="3">
        <v>249373</v>
      </c>
      <c r="L312" s="3" t="s">
        <v>16</v>
      </c>
      <c r="M312" s="4">
        <v>9.5952649244304716E-2</v>
      </c>
    </row>
    <row r="313" spans="1:13" x14ac:dyDescent="0.3">
      <c r="A313" s="3" t="s">
        <v>60</v>
      </c>
      <c r="B313" s="3" t="s">
        <v>40</v>
      </c>
      <c r="C313" s="2">
        <v>45752</v>
      </c>
      <c r="D313" s="3" t="s">
        <v>27</v>
      </c>
      <c r="E313" s="3" t="s">
        <v>364</v>
      </c>
      <c r="F313" s="3">
        <v>22384</v>
      </c>
      <c r="G313" s="3">
        <v>601</v>
      </c>
      <c r="H313" s="3">
        <v>943</v>
      </c>
      <c r="I313" s="3">
        <v>515</v>
      </c>
      <c r="J313" s="3">
        <v>41309</v>
      </c>
      <c r="K313" s="3">
        <v>249373</v>
      </c>
      <c r="L313" s="3" t="s">
        <v>16</v>
      </c>
      <c r="M313" s="4">
        <v>9.5952649244304716E-2</v>
      </c>
    </row>
    <row r="314" spans="1:13" x14ac:dyDescent="0.3">
      <c r="A314" s="3" t="s">
        <v>274</v>
      </c>
      <c r="B314" s="3" t="s">
        <v>40</v>
      </c>
      <c r="C314" s="2">
        <v>45489</v>
      </c>
      <c r="D314" s="3" t="s">
        <v>23</v>
      </c>
      <c r="E314" s="3" t="s">
        <v>365</v>
      </c>
      <c r="F314" s="3">
        <v>8767</v>
      </c>
      <c r="G314" s="3">
        <v>974</v>
      </c>
      <c r="H314" s="3">
        <v>733</v>
      </c>
      <c r="I314" s="3">
        <v>1587</v>
      </c>
      <c r="J314" s="3">
        <v>74927</v>
      </c>
      <c r="K314" s="3">
        <v>113770</v>
      </c>
      <c r="L314" s="3" t="s">
        <v>16</v>
      </c>
      <c r="M314" s="4">
        <v>9.2062933989628198E-2</v>
      </c>
    </row>
    <row r="315" spans="1:13" x14ac:dyDescent="0.3">
      <c r="A315" s="3" t="s">
        <v>274</v>
      </c>
      <c r="B315" s="3" t="s">
        <v>40</v>
      </c>
      <c r="C315" s="2">
        <v>45489</v>
      </c>
      <c r="D315" s="3" t="s">
        <v>23</v>
      </c>
      <c r="E315" s="3" t="s">
        <v>359</v>
      </c>
      <c r="F315" s="3">
        <v>8767</v>
      </c>
      <c r="G315" s="3">
        <v>974</v>
      </c>
      <c r="H315" s="3">
        <v>733</v>
      </c>
      <c r="I315" s="3">
        <v>1587</v>
      </c>
      <c r="J315" s="3">
        <v>74927</v>
      </c>
      <c r="K315" s="3">
        <v>113770</v>
      </c>
      <c r="L315" s="3" t="s">
        <v>16</v>
      </c>
      <c r="M315" s="4">
        <v>9.2062933989628198E-2</v>
      </c>
    </row>
    <row r="316" spans="1:13" x14ac:dyDescent="0.3">
      <c r="A316" s="3" t="s">
        <v>91</v>
      </c>
      <c r="B316" s="3" t="s">
        <v>18</v>
      </c>
      <c r="C316" s="2">
        <v>45644</v>
      </c>
      <c r="D316" s="3" t="s">
        <v>23</v>
      </c>
      <c r="E316" s="3" t="s">
        <v>365</v>
      </c>
      <c r="F316" s="3">
        <v>14775</v>
      </c>
      <c r="G316" s="3">
        <v>1220</v>
      </c>
      <c r="H316" s="3">
        <v>640</v>
      </c>
      <c r="I316" s="3">
        <v>1547</v>
      </c>
      <c r="J316" s="3">
        <v>28527</v>
      </c>
      <c r="K316" s="3">
        <v>183660</v>
      </c>
      <c r="L316" s="3" t="s">
        <v>45</v>
      </c>
      <c r="M316" s="4">
        <v>9.0574975498203203E-2</v>
      </c>
    </row>
    <row r="317" spans="1:13" x14ac:dyDescent="0.3">
      <c r="A317" s="3" t="s">
        <v>91</v>
      </c>
      <c r="B317" s="3" t="s">
        <v>18</v>
      </c>
      <c r="C317" s="2">
        <v>45644</v>
      </c>
      <c r="D317" s="3" t="s">
        <v>23</v>
      </c>
      <c r="E317" s="3" t="s">
        <v>359</v>
      </c>
      <c r="F317" s="3">
        <v>14775</v>
      </c>
      <c r="G317" s="3">
        <v>1220</v>
      </c>
      <c r="H317" s="3">
        <v>640</v>
      </c>
      <c r="I317" s="3">
        <v>1547</v>
      </c>
      <c r="J317" s="3">
        <v>28527</v>
      </c>
      <c r="K317" s="3">
        <v>183660</v>
      </c>
      <c r="L317" s="3" t="s">
        <v>45</v>
      </c>
      <c r="M317" s="4">
        <v>9.0574975498203203E-2</v>
      </c>
    </row>
    <row r="318" spans="1:13" x14ac:dyDescent="0.3">
      <c r="A318" s="3" t="s">
        <v>302</v>
      </c>
      <c r="B318" s="3" t="s">
        <v>40</v>
      </c>
      <c r="C318" s="2">
        <v>45621</v>
      </c>
      <c r="D318" s="3" t="s">
        <v>27</v>
      </c>
      <c r="E318" s="3" t="s">
        <v>365</v>
      </c>
      <c r="F318" s="3">
        <v>17385</v>
      </c>
      <c r="G318" s="3">
        <v>831</v>
      </c>
      <c r="H318" s="3">
        <v>568</v>
      </c>
      <c r="I318" s="3">
        <v>2227</v>
      </c>
      <c r="J318" s="3">
        <v>49351</v>
      </c>
      <c r="K318" s="3">
        <v>207450</v>
      </c>
      <c r="L318" s="3" t="s">
        <v>25</v>
      </c>
      <c r="M318" s="4">
        <v>9.0547119787900698E-2</v>
      </c>
    </row>
    <row r="319" spans="1:13" x14ac:dyDescent="0.3">
      <c r="A319" s="3" t="s">
        <v>302</v>
      </c>
      <c r="B319" s="3" t="s">
        <v>40</v>
      </c>
      <c r="C319" s="2">
        <v>45621</v>
      </c>
      <c r="D319" s="3" t="s">
        <v>27</v>
      </c>
      <c r="E319" s="3" t="s">
        <v>359</v>
      </c>
      <c r="F319" s="3">
        <v>17385</v>
      </c>
      <c r="G319" s="3">
        <v>831</v>
      </c>
      <c r="H319" s="3">
        <v>568</v>
      </c>
      <c r="I319" s="3">
        <v>2227</v>
      </c>
      <c r="J319" s="3">
        <v>49351</v>
      </c>
      <c r="K319" s="3">
        <v>207450</v>
      </c>
      <c r="L319" s="3" t="s">
        <v>25</v>
      </c>
      <c r="M319" s="4">
        <v>9.0547119787900698E-2</v>
      </c>
    </row>
    <row r="320" spans="1:13" x14ac:dyDescent="0.3">
      <c r="A320" s="3" t="s">
        <v>215</v>
      </c>
      <c r="B320" s="3" t="s">
        <v>22</v>
      </c>
      <c r="C320" s="2">
        <v>45488</v>
      </c>
      <c r="D320" s="3" t="s">
        <v>14</v>
      </c>
      <c r="E320" s="3" t="s">
        <v>359</v>
      </c>
      <c r="F320" s="3">
        <v>17034</v>
      </c>
      <c r="G320" s="3">
        <v>231</v>
      </c>
      <c r="H320" s="3">
        <v>290</v>
      </c>
      <c r="I320" s="3">
        <v>1387</v>
      </c>
      <c r="J320" s="3">
        <v>63550</v>
      </c>
      <c r="K320" s="3">
        <v>198280</v>
      </c>
      <c r="L320" s="3" t="s">
        <v>45</v>
      </c>
      <c r="M320" s="4">
        <v>8.8536413153116805E-2</v>
      </c>
    </row>
    <row r="321" spans="1:13" x14ac:dyDescent="0.3">
      <c r="A321" s="3" t="s">
        <v>215</v>
      </c>
      <c r="B321" s="3" t="s">
        <v>22</v>
      </c>
      <c r="C321" s="2">
        <v>45488</v>
      </c>
      <c r="D321" s="3" t="s">
        <v>14</v>
      </c>
      <c r="E321" s="3" t="s">
        <v>366</v>
      </c>
      <c r="F321" s="3">
        <v>17034</v>
      </c>
      <c r="G321" s="3">
        <v>231</v>
      </c>
      <c r="H321" s="3">
        <v>290</v>
      </c>
      <c r="I321" s="3">
        <v>1387</v>
      </c>
      <c r="J321" s="3">
        <v>63550</v>
      </c>
      <c r="K321" s="3">
        <v>198280</v>
      </c>
      <c r="L321" s="3" t="s">
        <v>45</v>
      </c>
      <c r="M321" s="4">
        <v>8.8536413153116805E-2</v>
      </c>
    </row>
    <row r="322" spans="1:13" x14ac:dyDescent="0.3">
      <c r="A322" s="3" t="s">
        <v>17</v>
      </c>
      <c r="B322" s="3" t="s">
        <v>18</v>
      </c>
      <c r="C322" s="2">
        <v>45903</v>
      </c>
      <c r="D322" s="3" t="s">
        <v>14</v>
      </c>
      <c r="E322" s="3" t="s">
        <v>355</v>
      </c>
      <c r="F322" s="3">
        <v>4779</v>
      </c>
      <c r="G322" s="3">
        <v>1110</v>
      </c>
      <c r="H322" s="3">
        <v>436</v>
      </c>
      <c r="I322" s="3">
        <v>1574</v>
      </c>
      <c r="J322" s="3">
        <v>77167</v>
      </c>
      <c r="K322" s="3">
        <v>71585</v>
      </c>
      <c r="L322" s="3" t="s">
        <v>20</v>
      </c>
      <c r="M322" s="4">
        <v>8.8356499266606131E-2</v>
      </c>
    </row>
    <row r="323" spans="1:13" x14ac:dyDescent="0.3">
      <c r="A323" s="3" t="s">
        <v>17</v>
      </c>
      <c r="B323" s="3" t="s">
        <v>18</v>
      </c>
      <c r="C323" s="2">
        <v>45903</v>
      </c>
      <c r="D323" s="3" t="s">
        <v>14</v>
      </c>
      <c r="E323" s="3" t="s">
        <v>356</v>
      </c>
      <c r="F323" s="3">
        <v>4779</v>
      </c>
      <c r="G323" s="3">
        <v>1110</v>
      </c>
      <c r="H323" s="3">
        <v>436</v>
      </c>
      <c r="I323" s="3">
        <v>1574</v>
      </c>
      <c r="J323" s="3">
        <v>77167</v>
      </c>
      <c r="K323" s="3">
        <v>71585</v>
      </c>
      <c r="L323" s="3" t="s">
        <v>20</v>
      </c>
      <c r="M323" s="4">
        <v>8.8356499266606131E-2</v>
      </c>
    </row>
    <row r="324" spans="1:13" x14ac:dyDescent="0.3">
      <c r="A324" s="3" t="s">
        <v>122</v>
      </c>
      <c r="B324" s="3" t="s">
        <v>13</v>
      </c>
      <c r="C324" s="2">
        <v>45684</v>
      </c>
      <c r="D324" s="3" t="s">
        <v>34</v>
      </c>
      <c r="E324" s="3" t="s">
        <v>365</v>
      </c>
      <c r="F324" s="3">
        <v>8949</v>
      </c>
      <c r="G324" s="3">
        <v>1477</v>
      </c>
      <c r="H324" s="3">
        <v>424</v>
      </c>
      <c r="I324" s="3">
        <v>1030</v>
      </c>
      <c r="J324" s="3">
        <v>58052</v>
      </c>
      <c r="K324" s="3">
        <v>123310</v>
      </c>
      <c r="L324" s="3" t="s">
        <v>16</v>
      </c>
      <c r="M324" s="4">
        <v>8.7989619657773091E-2</v>
      </c>
    </row>
    <row r="325" spans="1:13" x14ac:dyDescent="0.3">
      <c r="A325" s="3" t="s">
        <v>122</v>
      </c>
      <c r="B325" s="3" t="s">
        <v>13</v>
      </c>
      <c r="C325" s="2">
        <v>45684</v>
      </c>
      <c r="D325" s="3" t="s">
        <v>34</v>
      </c>
      <c r="E325" s="3" t="s">
        <v>359</v>
      </c>
      <c r="F325" s="3">
        <v>8949</v>
      </c>
      <c r="G325" s="3">
        <v>1477</v>
      </c>
      <c r="H325" s="3">
        <v>424</v>
      </c>
      <c r="I325" s="3">
        <v>1030</v>
      </c>
      <c r="J325" s="3">
        <v>58052</v>
      </c>
      <c r="K325" s="3">
        <v>123310</v>
      </c>
      <c r="L325" s="3" t="s">
        <v>16</v>
      </c>
      <c r="M325" s="4">
        <v>8.7989619657773091E-2</v>
      </c>
    </row>
    <row r="326" spans="1:13" x14ac:dyDescent="0.3">
      <c r="A326" s="3" t="s">
        <v>92</v>
      </c>
      <c r="B326" s="3" t="s">
        <v>18</v>
      </c>
      <c r="C326" s="2">
        <v>45586</v>
      </c>
      <c r="D326" s="3" t="s">
        <v>27</v>
      </c>
      <c r="E326" s="3" t="s">
        <v>359</v>
      </c>
      <c r="F326" s="3">
        <v>12015</v>
      </c>
      <c r="G326" s="3">
        <v>1196</v>
      </c>
      <c r="H326" s="3">
        <v>998</v>
      </c>
      <c r="I326" s="3">
        <v>1848</v>
      </c>
      <c r="J326" s="3">
        <v>44739</v>
      </c>
      <c r="K326" s="3">
        <v>161750</v>
      </c>
      <c r="L326" s="3" t="s">
        <v>45</v>
      </c>
      <c r="M326" s="4">
        <v>8.7845440494590421E-2</v>
      </c>
    </row>
    <row r="327" spans="1:13" x14ac:dyDescent="0.3">
      <c r="A327" s="3" t="s">
        <v>92</v>
      </c>
      <c r="B327" s="3" t="s">
        <v>18</v>
      </c>
      <c r="C327" s="2">
        <v>45586</v>
      </c>
      <c r="D327" s="3" t="s">
        <v>27</v>
      </c>
      <c r="E327" s="3" t="s">
        <v>366</v>
      </c>
      <c r="F327" s="3">
        <v>12015</v>
      </c>
      <c r="G327" s="3">
        <v>1196</v>
      </c>
      <c r="H327" s="3">
        <v>998</v>
      </c>
      <c r="I327" s="3">
        <v>1848</v>
      </c>
      <c r="J327" s="3">
        <v>44739</v>
      </c>
      <c r="K327" s="3">
        <v>161750</v>
      </c>
      <c r="L327" s="3" t="s">
        <v>45</v>
      </c>
      <c r="M327" s="4">
        <v>8.7845440494590421E-2</v>
      </c>
    </row>
    <row r="328" spans="1:13" x14ac:dyDescent="0.3">
      <c r="A328" s="3" t="s">
        <v>333</v>
      </c>
      <c r="B328" s="3" t="s">
        <v>40</v>
      </c>
      <c r="C328" s="2">
        <v>45650</v>
      </c>
      <c r="D328" s="3" t="s">
        <v>14</v>
      </c>
      <c r="E328" s="3" t="s">
        <v>64</v>
      </c>
      <c r="F328" s="3">
        <v>10512</v>
      </c>
      <c r="G328" s="3">
        <v>1197</v>
      </c>
      <c r="H328" s="3">
        <v>544</v>
      </c>
      <c r="I328" s="3">
        <v>2012</v>
      </c>
      <c r="J328" s="3">
        <v>10245</v>
      </c>
      <c r="K328" s="3">
        <v>140102</v>
      </c>
      <c r="L328" s="3" t="s">
        <v>16</v>
      </c>
      <c r="M328" s="4">
        <v>8.745770938316369E-2</v>
      </c>
    </row>
    <row r="329" spans="1:13" x14ac:dyDescent="0.3">
      <c r="A329" s="3" t="s">
        <v>173</v>
      </c>
      <c r="B329" s="3" t="s">
        <v>22</v>
      </c>
      <c r="C329" s="2">
        <v>45504</v>
      </c>
      <c r="D329" s="3" t="s">
        <v>34</v>
      </c>
      <c r="E329" s="3" t="s">
        <v>359</v>
      </c>
      <c r="F329" s="3">
        <v>13314</v>
      </c>
      <c r="G329" s="3">
        <v>274</v>
      </c>
      <c r="H329" s="3">
        <v>626</v>
      </c>
      <c r="I329" s="3">
        <v>2280</v>
      </c>
      <c r="J329" s="3">
        <v>14639</v>
      </c>
      <c r="K329" s="3">
        <v>163008</v>
      </c>
      <c r="L329" s="3" t="s">
        <v>29</v>
      </c>
      <c r="M329" s="4">
        <v>8.7198174322732622E-2</v>
      </c>
    </row>
    <row r="330" spans="1:13" x14ac:dyDescent="0.3">
      <c r="A330" s="3" t="s">
        <v>173</v>
      </c>
      <c r="B330" s="3" t="s">
        <v>22</v>
      </c>
      <c r="C330" s="2">
        <v>45504</v>
      </c>
      <c r="D330" s="3" t="s">
        <v>34</v>
      </c>
      <c r="E330" s="3" t="s">
        <v>360</v>
      </c>
      <c r="F330" s="3">
        <v>13314</v>
      </c>
      <c r="G330" s="3">
        <v>274</v>
      </c>
      <c r="H330" s="3">
        <v>626</v>
      </c>
      <c r="I330" s="3">
        <v>2280</v>
      </c>
      <c r="J330" s="3">
        <v>14639</v>
      </c>
      <c r="K330" s="3">
        <v>163008</v>
      </c>
      <c r="L330" s="3" t="s">
        <v>29</v>
      </c>
      <c r="M330" s="4">
        <v>8.7198174322732622E-2</v>
      </c>
    </row>
    <row r="331" spans="1:13" x14ac:dyDescent="0.3">
      <c r="A331" s="3" t="s">
        <v>63</v>
      </c>
      <c r="B331" s="3" t="s">
        <v>18</v>
      </c>
      <c r="C331" s="2">
        <v>45910</v>
      </c>
      <c r="D331" s="3" t="s">
        <v>34</v>
      </c>
      <c r="E331" s="3" t="s">
        <v>64</v>
      </c>
      <c r="F331" s="3">
        <v>9266</v>
      </c>
      <c r="G331" s="3">
        <v>999</v>
      </c>
      <c r="H331" s="3">
        <v>928</v>
      </c>
      <c r="I331" s="3">
        <v>2700</v>
      </c>
      <c r="J331" s="3">
        <v>12264</v>
      </c>
      <c r="K331" s="3">
        <v>128397</v>
      </c>
      <c r="L331" s="3" t="s">
        <v>20</v>
      </c>
      <c r="M331" s="4">
        <v>8.7174933993784898E-2</v>
      </c>
    </row>
    <row r="332" spans="1:13" x14ac:dyDescent="0.3">
      <c r="A332" s="3" t="s">
        <v>69</v>
      </c>
      <c r="B332" s="3" t="s">
        <v>40</v>
      </c>
      <c r="C332" s="2">
        <v>45912</v>
      </c>
      <c r="D332" s="3" t="s">
        <v>23</v>
      </c>
      <c r="E332" s="3" t="s">
        <v>357</v>
      </c>
      <c r="F332" s="3">
        <v>17158</v>
      </c>
      <c r="G332" s="3">
        <v>1192</v>
      </c>
      <c r="H332" s="3">
        <v>262</v>
      </c>
      <c r="I332" s="3">
        <v>2016</v>
      </c>
      <c r="J332" s="3">
        <v>28771</v>
      </c>
      <c r="K332" s="3">
        <v>216037</v>
      </c>
      <c r="L332" s="3" t="s">
        <v>20</v>
      </c>
      <c r="M332" s="4">
        <v>8.6151909163708074E-2</v>
      </c>
    </row>
    <row r="333" spans="1:13" x14ac:dyDescent="0.3">
      <c r="A333" s="3" t="s">
        <v>69</v>
      </c>
      <c r="B333" s="3" t="s">
        <v>40</v>
      </c>
      <c r="C333" s="2">
        <v>45912</v>
      </c>
      <c r="D333" s="3" t="s">
        <v>23</v>
      </c>
      <c r="E333" s="3" t="s">
        <v>358</v>
      </c>
      <c r="F333" s="3">
        <v>17158</v>
      </c>
      <c r="G333" s="3">
        <v>1192</v>
      </c>
      <c r="H333" s="3">
        <v>262</v>
      </c>
      <c r="I333" s="3">
        <v>2016</v>
      </c>
      <c r="J333" s="3">
        <v>28771</v>
      </c>
      <c r="K333" s="3">
        <v>216037</v>
      </c>
      <c r="L333" s="3" t="s">
        <v>20</v>
      </c>
      <c r="M333" s="4">
        <v>8.6151909163708074E-2</v>
      </c>
    </row>
    <row r="334" spans="1:13" x14ac:dyDescent="0.3">
      <c r="A334" s="3" t="s">
        <v>99</v>
      </c>
      <c r="B334" s="3" t="s">
        <v>22</v>
      </c>
      <c r="C334" s="2">
        <v>45521</v>
      </c>
      <c r="D334" s="3" t="s">
        <v>27</v>
      </c>
      <c r="E334" s="3" t="s">
        <v>32</v>
      </c>
      <c r="F334" s="3">
        <v>19154</v>
      </c>
      <c r="G334" s="3">
        <v>1064</v>
      </c>
      <c r="H334" s="3">
        <v>650</v>
      </c>
      <c r="I334" s="3">
        <v>747</v>
      </c>
      <c r="J334" s="3">
        <v>42667</v>
      </c>
      <c r="K334" s="3">
        <v>242332</v>
      </c>
      <c r="L334" s="3" t="s">
        <v>25</v>
      </c>
      <c r="M334" s="4">
        <v>8.6113266097750191E-2</v>
      </c>
    </row>
    <row r="335" spans="1:13" x14ac:dyDescent="0.3">
      <c r="A335" s="3" t="s">
        <v>90</v>
      </c>
      <c r="B335" s="3" t="s">
        <v>13</v>
      </c>
      <c r="C335" s="2">
        <v>45460</v>
      </c>
      <c r="D335" s="3" t="s">
        <v>34</v>
      </c>
      <c r="E335" s="3" t="s">
        <v>353</v>
      </c>
      <c r="F335" s="3">
        <v>6976</v>
      </c>
      <c r="G335" s="3">
        <v>1320</v>
      </c>
      <c r="H335" s="3">
        <v>393</v>
      </c>
      <c r="I335" s="3">
        <v>2285</v>
      </c>
      <c r="J335" s="3">
        <v>14049</v>
      </c>
      <c r="K335" s="3">
        <v>101367</v>
      </c>
      <c r="L335" s="3" t="s">
        <v>45</v>
      </c>
      <c r="M335" s="4">
        <v>8.5718231771681114E-2</v>
      </c>
    </row>
    <row r="336" spans="1:13" x14ac:dyDescent="0.3">
      <c r="A336" s="3" t="s">
        <v>90</v>
      </c>
      <c r="B336" s="3" t="s">
        <v>13</v>
      </c>
      <c r="C336" s="2">
        <v>45460</v>
      </c>
      <c r="D336" s="3" t="s">
        <v>34</v>
      </c>
      <c r="E336" s="3" t="s">
        <v>354</v>
      </c>
      <c r="F336" s="3">
        <v>6976</v>
      </c>
      <c r="G336" s="3">
        <v>1320</v>
      </c>
      <c r="H336" s="3">
        <v>393</v>
      </c>
      <c r="I336" s="3">
        <v>2285</v>
      </c>
      <c r="J336" s="3">
        <v>14049</v>
      </c>
      <c r="K336" s="3">
        <v>101367</v>
      </c>
      <c r="L336" s="3" t="s">
        <v>45</v>
      </c>
      <c r="M336" s="4">
        <v>8.5718231771681114E-2</v>
      </c>
    </row>
    <row r="337" spans="1:13" x14ac:dyDescent="0.3">
      <c r="A337" s="3" t="s">
        <v>295</v>
      </c>
      <c r="B337" s="3" t="s">
        <v>18</v>
      </c>
      <c r="C337" s="2">
        <v>45698</v>
      </c>
      <c r="D337" s="3" t="s">
        <v>34</v>
      </c>
      <c r="E337" s="3" t="s">
        <v>355</v>
      </c>
      <c r="F337" s="3">
        <v>16309</v>
      </c>
      <c r="G337" s="3">
        <v>1449</v>
      </c>
      <c r="H337" s="3">
        <v>838</v>
      </c>
      <c r="I337" s="3">
        <v>2434</v>
      </c>
      <c r="J337" s="3">
        <v>2940</v>
      </c>
      <c r="K337" s="3">
        <v>217953</v>
      </c>
      <c r="L337" s="3" t="s">
        <v>29</v>
      </c>
      <c r="M337" s="4">
        <v>8.5321147219813445E-2</v>
      </c>
    </row>
    <row r="338" spans="1:13" x14ac:dyDescent="0.3">
      <c r="A338" s="3" t="s">
        <v>295</v>
      </c>
      <c r="B338" s="3" t="s">
        <v>18</v>
      </c>
      <c r="C338" s="2">
        <v>45698</v>
      </c>
      <c r="D338" s="3" t="s">
        <v>34</v>
      </c>
      <c r="E338" s="3" t="s">
        <v>356</v>
      </c>
      <c r="F338" s="3">
        <v>16309</v>
      </c>
      <c r="G338" s="3">
        <v>1449</v>
      </c>
      <c r="H338" s="3">
        <v>838</v>
      </c>
      <c r="I338" s="3">
        <v>2434</v>
      </c>
      <c r="J338" s="3">
        <v>2940</v>
      </c>
      <c r="K338" s="3">
        <v>217953</v>
      </c>
      <c r="L338" s="3" t="s">
        <v>29</v>
      </c>
      <c r="M338" s="4">
        <v>8.5321147219813445E-2</v>
      </c>
    </row>
    <row r="339" spans="1:13" x14ac:dyDescent="0.3">
      <c r="A339" s="3" t="s">
        <v>59</v>
      </c>
      <c r="B339" s="3" t="s">
        <v>18</v>
      </c>
      <c r="C339" s="2">
        <v>45909</v>
      </c>
      <c r="D339" s="3" t="s">
        <v>27</v>
      </c>
      <c r="E339" s="3" t="s">
        <v>363</v>
      </c>
      <c r="F339" s="3">
        <v>15772</v>
      </c>
      <c r="G339" s="3">
        <v>288</v>
      </c>
      <c r="H339" s="3">
        <v>520</v>
      </c>
      <c r="I339" s="3">
        <v>1585</v>
      </c>
      <c r="J339" s="3">
        <v>59182</v>
      </c>
      <c r="K339" s="3">
        <v>194351</v>
      </c>
      <c r="L339" s="3" t="s">
        <v>20</v>
      </c>
      <c r="M339" s="4">
        <v>8.5309568769905988E-2</v>
      </c>
    </row>
    <row r="340" spans="1:13" x14ac:dyDescent="0.3">
      <c r="A340" s="3" t="s">
        <v>59</v>
      </c>
      <c r="B340" s="3" t="s">
        <v>18</v>
      </c>
      <c r="C340" s="2">
        <v>45909</v>
      </c>
      <c r="D340" s="3" t="s">
        <v>27</v>
      </c>
      <c r="E340" s="3" t="s">
        <v>364</v>
      </c>
      <c r="F340" s="3">
        <v>15772</v>
      </c>
      <c r="G340" s="3">
        <v>288</v>
      </c>
      <c r="H340" s="3">
        <v>520</v>
      </c>
      <c r="I340" s="3">
        <v>1585</v>
      </c>
      <c r="J340" s="3">
        <v>59182</v>
      </c>
      <c r="K340" s="3">
        <v>194351</v>
      </c>
      <c r="L340" s="3" t="s">
        <v>20</v>
      </c>
      <c r="M340" s="4">
        <v>8.5309568769905988E-2</v>
      </c>
    </row>
    <row r="341" spans="1:13" x14ac:dyDescent="0.3">
      <c r="A341" s="3" t="s">
        <v>249</v>
      </c>
      <c r="B341" s="3" t="s">
        <v>22</v>
      </c>
      <c r="C341" s="2">
        <v>45778</v>
      </c>
      <c r="D341" s="3" t="s">
        <v>23</v>
      </c>
      <c r="E341" s="3" t="s">
        <v>365</v>
      </c>
      <c r="F341" s="3">
        <v>10258</v>
      </c>
      <c r="G341" s="3">
        <v>527</v>
      </c>
      <c r="H341" s="3">
        <v>854</v>
      </c>
      <c r="I341" s="3">
        <v>2068</v>
      </c>
      <c r="J341" s="3">
        <v>45632</v>
      </c>
      <c r="K341" s="3">
        <v>136546</v>
      </c>
      <c r="L341" s="3" t="s">
        <v>45</v>
      </c>
      <c r="M341" s="4">
        <v>8.5238674146441498E-2</v>
      </c>
    </row>
    <row r="342" spans="1:13" x14ac:dyDescent="0.3">
      <c r="A342" s="3" t="s">
        <v>249</v>
      </c>
      <c r="B342" s="3" t="s">
        <v>22</v>
      </c>
      <c r="C342" s="2">
        <v>45778</v>
      </c>
      <c r="D342" s="3" t="s">
        <v>23</v>
      </c>
      <c r="E342" s="3" t="s">
        <v>359</v>
      </c>
      <c r="F342" s="3">
        <v>10258</v>
      </c>
      <c r="G342" s="3">
        <v>527</v>
      </c>
      <c r="H342" s="3">
        <v>854</v>
      </c>
      <c r="I342" s="3">
        <v>2068</v>
      </c>
      <c r="J342" s="3">
        <v>45632</v>
      </c>
      <c r="K342" s="3">
        <v>136546</v>
      </c>
      <c r="L342" s="3" t="s">
        <v>45</v>
      </c>
      <c r="M342" s="4">
        <v>8.5238674146441498E-2</v>
      </c>
    </row>
    <row r="343" spans="1:13" x14ac:dyDescent="0.3">
      <c r="A343" s="3" t="s">
        <v>291</v>
      </c>
      <c r="B343" s="3" t="s">
        <v>22</v>
      </c>
      <c r="C343" s="2">
        <v>45750</v>
      </c>
      <c r="D343" s="3" t="s">
        <v>14</v>
      </c>
      <c r="E343" s="3" t="s">
        <v>368</v>
      </c>
      <c r="F343" s="3">
        <v>10837</v>
      </c>
      <c r="G343" s="3">
        <v>1004</v>
      </c>
      <c r="H343" s="3">
        <v>922</v>
      </c>
      <c r="I343" s="3">
        <v>1108</v>
      </c>
      <c r="J343" s="3">
        <v>36807</v>
      </c>
      <c r="K343" s="3">
        <v>150350</v>
      </c>
      <c r="L343" s="3" t="s">
        <v>25</v>
      </c>
      <c r="M343" s="4">
        <v>8.4888593282341204E-2</v>
      </c>
    </row>
    <row r="344" spans="1:13" x14ac:dyDescent="0.3">
      <c r="A344" s="3" t="s">
        <v>291</v>
      </c>
      <c r="B344" s="3" t="s">
        <v>22</v>
      </c>
      <c r="C344" s="2">
        <v>45750</v>
      </c>
      <c r="D344" s="3" t="s">
        <v>14</v>
      </c>
      <c r="E344" s="3" t="s">
        <v>369</v>
      </c>
      <c r="F344" s="3">
        <v>10837</v>
      </c>
      <c r="G344" s="3">
        <v>1004</v>
      </c>
      <c r="H344" s="3">
        <v>922</v>
      </c>
      <c r="I344" s="3">
        <v>1108</v>
      </c>
      <c r="J344" s="3">
        <v>36807</v>
      </c>
      <c r="K344" s="3">
        <v>150350</v>
      </c>
      <c r="L344" s="3" t="s">
        <v>25</v>
      </c>
      <c r="M344" s="4">
        <v>8.4888593282341204E-2</v>
      </c>
    </row>
    <row r="345" spans="1:13" x14ac:dyDescent="0.3">
      <c r="A345" s="3" t="s">
        <v>36</v>
      </c>
      <c r="B345" s="3" t="s">
        <v>22</v>
      </c>
      <c r="C345" s="2">
        <v>45486</v>
      </c>
      <c r="D345" s="3" t="s">
        <v>27</v>
      </c>
      <c r="E345" s="3" t="s">
        <v>363</v>
      </c>
      <c r="F345" s="3">
        <v>18639</v>
      </c>
      <c r="G345" s="3">
        <v>1360</v>
      </c>
      <c r="H345" s="3">
        <v>898</v>
      </c>
      <c r="I345" s="3">
        <v>2011</v>
      </c>
      <c r="J345" s="3">
        <v>42841</v>
      </c>
      <c r="K345" s="3">
        <v>247779</v>
      </c>
      <c r="L345" s="3" t="s">
        <v>29</v>
      </c>
      <c r="M345" s="4">
        <v>8.4337252148083575E-2</v>
      </c>
    </row>
    <row r="346" spans="1:13" x14ac:dyDescent="0.3">
      <c r="A346" s="3" t="s">
        <v>36</v>
      </c>
      <c r="B346" s="3" t="s">
        <v>22</v>
      </c>
      <c r="C346" s="2">
        <v>45486</v>
      </c>
      <c r="D346" s="3" t="s">
        <v>27</v>
      </c>
      <c r="E346" s="3" t="s">
        <v>364</v>
      </c>
      <c r="F346" s="3">
        <v>18639</v>
      </c>
      <c r="G346" s="3">
        <v>1360</v>
      </c>
      <c r="H346" s="3">
        <v>898</v>
      </c>
      <c r="I346" s="3">
        <v>2011</v>
      </c>
      <c r="J346" s="3">
        <v>42841</v>
      </c>
      <c r="K346" s="3">
        <v>247779</v>
      </c>
      <c r="L346" s="3" t="s">
        <v>29</v>
      </c>
      <c r="M346" s="4">
        <v>8.4337252148083575E-2</v>
      </c>
    </row>
    <row r="347" spans="1:13" x14ac:dyDescent="0.3">
      <c r="A347" s="3" t="s">
        <v>251</v>
      </c>
      <c r="B347" s="3" t="s">
        <v>13</v>
      </c>
      <c r="C347" s="2">
        <v>45925</v>
      </c>
      <c r="D347" s="3" t="s">
        <v>27</v>
      </c>
      <c r="E347" s="3" t="s">
        <v>367</v>
      </c>
      <c r="F347" s="3">
        <v>8371</v>
      </c>
      <c r="G347" s="3">
        <v>960</v>
      </c>
      <c r="H347" s="3">
        <v>548</v>
      </c>
      <c r="I347" s="3">
        <v>2936</v>
      </c>
      <c r="J347" s="3">
        <v>82543</v>
      </c>
      <c r="K347" s="3">
        <v>119973</v>
      </c>
      <c r="L347" s="3" t="s">
        <v>20</v>
      </c>
      <c r="M347" s="4">
        <v>8.2343527293641069E-2</v>
      </c>
    </row>
    <row r="348" spans="1:13" x14ac:dyDescent="0.3">
      <c r="A348" s="3" t="s">
        <v>251</v>
      </c>
      <c r="B348" s="3" t="s">
        <v>13</v>
      </c>
      <c r="C348" s="2">
        <v>45925</v>
      </c>
      <c r="D348" s="3" t="s">
        <v>27</v>
      </c>
      <c r="E348" s="3" t="s">
        <v>32</v>
      </c>
      <c r="F348" s="3">
        <v>8371</v>
      </c>
      <c r="G348" s="3">
        <v>960</v>
      </c>
      <c r="H348" s="3">
        <v>548</v>
      </c>
      <c r="I348" s="3">
        <v>2936</v>
      </c>
      <c r="J348" s="3">
        <v>82543</v>
      </c>
      <c r="K348" s="3">
        <v>119973</v>
      </c>
      <c r="L348" s="3" t="s">
        <v>20</v>
      </c>
      <c r="M348" s="4">
        <v>8.2343527293641069E-2</v>
      </c>
    </row>
    <row r="349" spans="1:13" x14ac:dyDescent="0.3">
      <c r="A349" s="3" t="s">
        <v>153</v>
      </c>
      <c r="B349" s="3" t="s">
        <v>22</v>
      </c>
      <c r="C349" s="2">
        <v>45600</v>
      </c>
      <c r="D349" s="3" t="s">
        <v>14</v>
      </c>
      <c r="E349" s="3" t="s">
        <v>359</v>
      </c>
      <c r="F349" s="3">
        <v>14015</v>
      </c>
      <c r="G349" s="3">
        <v>978</v>
      </c>
      <c r="H349" s="3">
        <v>196</v>
      </c>
      <c r="I349" s="3">
        <v>2744</v>
      </c>
      <c r="J349" s="3">
        <v>20190</v>
      </c>
      <c r="K349" s="3">
        <v>186470</v>
      </c>
      <c r="L349" s="3" t="s">
        <v>25</v>
      </c>
      <c r="M349" s="4">
        <v>8.1455462004611998E-2</v>
      </c>
    </row>
    <row r="350" spans="1:13" x14ac:dyDescent="0.3">
      <c r="A350" s="3" t="s">
        <v>153</v>
      </c>
      <c r="B350" s="3" t="s">
        <v>22</v>
      </c>
      <c r="C350" s="2">
        <v>45600</v>
      </c>
      <c r="D350" s="3" t="s">
        <v>14</v>
      </c>
      <c r="E350" s="3" t="s">
        <v>366</v>
      </c>
      <c r="F350" s="3">
        <v>14015</v>
      </c>
      <c r="G350" s="3">
        <v>978</v>
      </c>
      <c r="H350" s="3">
        <v>196</v>
      </c>
      <c r="I350" s="3">
        <v>2744</v>
      </c>
      <c r="J350" s="3">
        <v>20190</v>
      </c>
      <c r="K350" s="3">
        <v>186470</v>
      </c>
      <c r="L350" s="3" t="s">
        <v>25</v>
      </c>
      <c r="M350" s="4">
        <v>8.1455462004611998E-2</v>
      </c>
    </row>
    <row r="351" spans="1:13" x14ac:dyDescent="0.3">
      <c r="A351" s="3" t="s">
        <v>212</v>
      </c>
      <c r="B351" s="3" t="s">
        <v>40</v>
      </c>
      <c r="C351" s="2">
        <v>45939</v>
      </c>
      <c r="D351" s="3" t="s">
        <v>34</v>
      </c>
      <c r="E351" s="3" t="s">
        <v>357</v>
      </c>
      <c r="F351" s="3">
        <v>18748</v>
      </c>
      <c r="G351" s="3">
        <v>634</v>
      </c>
      <c r="H351" s="3">
        <v>400</v>
      </c>
      <c r="I351" s="3">
        <v>1667</v>
      </c>
      <c r="J351" s="3">
        <v>75813</v>
      </c>
      <c r="K351" s="3">
        <v>244456</v>
      </c>
      <c r="L351" s="3" t="s">
        <v>20</v>
      </c>
      <c r="M351" s="4">
        <v>8.0922538207284747E-2</v>
      </c>
    </row>
    <row r="352" spans="1:13" x14ac:dyDescent="0.3">
      <c r="A352" s="3" t="s">
        <v>212</v>
      </c>
      <c r="B352" s="3" t="s">
        <v>40</v>
      </c>
      <c r="C352" s="2">
        <v>45939</v>
      </c>
      <c r="D352" s="3" t="s">
        <v>34</v>
      </c>
      <c r="E352" s="3" t="s">
        <v>358</v>
      </c>
      <c r="F352" s="3">
        <v>18748</v>
      </c>
      <c r="G352" s="3">
        <v>634</v>
      </c>
      <c r="H352" s="3">
        <v>400</v>
      </c>
      <c r="I352" s="3">
        <v>1667</v>
      </c>
      <c r="J352" s="3">
        <v>75813</v>
      </c>
      <c r="K352" s="3">
        <v>244456</v>
      </c>
      <c r="L352" s="3" t="s">
        <v>20</v>
      </c>
      <c r="M352" s="4">
        <v>8.0922538207284747E-2</v>
      </c>
    </row>
    <row r="353" spans="1:13" x14ac:dyDescent="0.3">
      <c r="A353" s="3" t="s">
        <v>211</v>
      </c>
      <c r="B353" s="3" t="s">
        <v>18</v>
      </c>
      <c r="C353" s="2">
        <v>45938</v>
      </c>
      <c r="D353" s="3" t="s">
        <v>23</v>
      </c>
      <c r="E353" s="3" t="s">
        <v>359</v>
      </c>
      <c r="F353" s="3">
        <v>17745</v>
      </c>
      <c r="G353" s="3">
        <v>414</v>
      </c>
      <c r="H353" s="3">
        <v>563</v>
      </c>
      <c r="I353" s="3">
        <v>2733</v>
      </c>
      <c r="J353" s="3">
        <v>995</v>
      </c>
      <c r="K353" s="3">
        <v>231648</v>
      </c>
      <c r="L353" s="3" t="s">
        <v>20</v>
      </c>
      <c r="M353" s="4">
        <v>8.0820900676889074E-2</v>
      </c>
    </row>
    <row r="354" spans="1:13" x14ac:dyDescent="0.3">
      <c r="A354" s="3" t="s">
        <v>211</v>
      </c>
      <c r="B354" s="3" t="s">
        <v>18</v>
      </c>
      <c r="C354" s="2">
        <v>45938</v>
      </c>
      <c r="D354" s="3" t="s">
        <v>23</v>
      </c>
      <c r="E354" s="3" t="s">
        <v>366</v>
      </c>
      <c r="F354" s="3">
        <v>17745</v>
      </c>
      <c r="G354" s="3">
        <v>414</v>
      </c>
      <c r="H354" s="3">
        <v>563</v>
      </c>
      <c r="I354" s="3">
        <v>2733</v>
      </c>
      <c r="J354" s="3">
        <v>995</v>
      </c>
      <c r="K354" s="3">
        <v>231648</v>
      </c>
      <c r="L354" s="3" t="s">
        <v>20</v>
      </c>
      <c r="M354" s="4">
        <v>8.0820900676889074E-2</v>
      </c>
    </row>
    <row r="355" spans="1:13" x14ac:dyDescent="0.3">
      <c r="A355" s="3" t="s">
        <v>248</v>
      </c>
      <c r="B355" s="3" t="s">
        <v>13</v>
      </c>
      <c r="C355" s="2">
        <v>45719</v>
      </c>
      <c r="D355" s="3" t="s">
        <v>27</v>
      </c>
      <c r="E355" s="3" t="s">
        <v>353</v>
      </c>
      <c r="F355" s="3">
        <v>9561</v>
      </c>
      <c r="G355" s="3">
        <v>642</v>
      </c>
      <c r="H355" s="3">
        <v>581</v>
      </c>
      <c r="I355" s="3">
        <v>2572</v>
      </c>
      <c r="J355" s="3">
        <v>38552</v>
      </c>
      <c r="K355" s="3">
        <v>133680</v>
      </c>
      <c r="L355" s="3" t="s">
        <v>16</v>
      </c>
      <c r="M355" s="4">
        <v>8.0670257330939563E-2</v>
      </c>
    </row>
    <row r="356" spans="1:13" x14ac:dyDescent="0.3">
      <c r="A356" s="3" t="s">
        <v>248</v>
      </c>
      <c r="B356" s="3" t="s">
        <v>13</v>
      </c>
      <c r="C356" s="2">
        <v>45719</v>
      </c>
      <c r="D356" s="3" t="s">
        <v>27</v>
      </c>
      <c r="E356" s="3" t="s">
        <v>354</v>
      </c>
      <c r="F356" s="3">
        <v>9561</v>
      </c>
      <c r="G356" s="3">
        <v>642</v>
      </c>
      <c r="H356" s="3">
        <v>581</v>
      </c>
      <c r="I356" s="3">
        <v>2572</v>
      </c>
      <c r="J356" s="3">
        <v>38552</v>
      </c>
      <c r="K356" s="3">
        <v>133680</v>
      </c>
      <c r="L356" s="3" t="s">
        <v>16</v>
      </c>
      <c r="M356" s="4">
        <v>8.0670257330939563E-2</v>
      </c>
    </row>
    <row r="357" spans="1:13" x14ac:dyDescent="0.3">
      <c r="A357" s="3" t="s">
        <v>208</v>
      </c>
      <c r="B357" s="3" t="s">
        <v>22</v>
      </c>
      <c r="C357" s="2">
        <v>45518</v>
      </c>
      <c r="D357" s="3" t="s">
        <v>34</v>
      </c>
      <c r="E357" s="3" t="s">
        <v>368</v>
      </c>
      <c r="F357" s="3">
        <v>10150</v>
      </c>
      <c r="G357" s="3">
        <v>526</v>
      </c>
      <c r="H357" s="3">
        <v>888</v>
      </c>
      <c r="I357" s="3">
        <v>1313</v>
      </c>
      <c r="J357" s="3">
        <v>51605</v>
      </c>
      <c r="K357" s="3">
        <v>143409</v>
      </c>
      <c r="L357" s="3" t="s">
        <v>16</v>
      </c>
      <c r="M357" s="4">
        <v>8.0636501195880311E-2</v>
      </c>
    </row>
    <row r="358" spans="1:13" x14ac:dyDescent="0.3">
      <c r="A358" s="3" t="s">
        <v>208</v>
      </c>
      <c r="B358" s="3" t="s">
        <v>22</v>
      </c>
      <c r="C358" s="2">
        <v>45518</v>
      </c>
      <c r="D358" s="3" t="s">
        <v>34</v>
      </c>
      <c r="E358" s="3" t="s">
        <v>369</v>
      </c>
      <c r="F358" s="3">
        <v>10150</v>
      </c>
      <c r="G358" s="3">
        <v>526</v>
      </c>
      <c r="H358" s="3">
        <v>888</v>
      </c>
      <c r="I358" s="3">
        <v>1313</v>
      </c>
      <c r="J358" s="3">
        <v>51605</v>
      </c>
      <c r="K358" s="3">
        <v>143409</v>
      </c>
      <c r="L358" s="3" t="s">
        <v>16</v>
      </c>
      <c r="M358" s="4">
        <v>8.0636501195880311E-2</v>
      </c>
    </row>
    <row r="359" spans="1:13" x14ac:dyDescent="0.3">
      <c r="A359" s="3" t="s">
        <v>227</v>
      </c>
      <c r="B359" s="3" t="s">
        <v>13</v>
      </c>
      <c r="C359" s="2">
        <v>45944</v>
      </c>
      <c r="D359" s="3" t="s">
        <v>34</v>
      </c>
      <c r="E359" s="3" t="s">
        <v>367</v>
      </c>
      <c r="F359" s="3">
        <v>9673</v>
      </c>
      <c r="G359" s="3">
        <v>393</v>
      </c>
      <c r="H359" s="3">
        <v>846</v>
      </c>
      <c r="I359" s="3">
        <v>1028</v>
      </c>
      <c r="J359" s="3">
        <v>55556</v>
      </c>
      <c r="K359" s="3">
        <v>136652</v>
      </c>
      <c r="L359" s="3" t="s">
        <v>20</v>
      </c>
      <c r="M359" s="4">
        <v>7.9852471972601938E-2</v>
      </c>
    </row>
    <row r="360" spans="1:13" x14ac:dyDescent="0.3">
      <c r="A360" s="3" t="s">
        <v>227</v>
      </c>
      <c r="B360" s="3" t="s">
        <v>13</v>
      </c>
      <c r="C360" s="2">
        <v>45944</v>
      </c>
      <c r="D360" s="3" t="s">
        <v>34</v>
      </c>
      <c r="E360" s="3" t="s">
        <v>32</v>
      </c>
      <c r="F360" s="3">
        <v>9673</v>
      </c>
      <c r="G360" s="3">
        <v>393</v>
      </c>
      <c r="H360" s="3">
        <v>846</v>
      </c>
      <c r="I360" s="3">
        <v>1028</v>
      </c>
      <c r="J360" s="3">
        <v>55556</v>
      </c>
      <c r="K360" s="3">
        <v>136652</v>
      </c>
      <c r="L360" s="3" t="s">
        <v>20</v>
      </c>
      <c r="M360" s="4">
        <v>7.9852471972601938E-2</v>
      </c>
    </row>
    <row r="361" spans="1:13" x14ac:dyDescent="0.3">
      <c r="A361" s="3" t="s">
        <v>263</v>
      </c>
      <c r="B361" s="3" t="s">
        <v>22</v>
      </c>
      <c r="C361" s="2">
        <v>45455</v>
      </c>
      <c r="D361" s="3" t="s">
        <v>23</v>
      </c>
      <c r="E361" s="3" t="s">
        <v>355</v>
      </c>
      <c r="F361" s="3">
        <v>17679</v>
      </c>
      <c r="G361" s="3">
        <v>690</v>
      </c>
      <c r="H361" s="3">
        <v>451</v>
      </c>
      <c r="I361" s="3">
        <v>2195</v>
      </c>
      <c r="J361" s="3">
        <v>4390</v>
      </c>
      <c r="K361" s="3">
        <v>235804</v>
      </c>
      <c r="L361" s="3" t="s">
        <v>45</v>
      </c>
      <c r="M361" s="4">
        <v>7.9812047293514959E-2</v>
      </c>
    </row>
    <row r="362" spans="1:13" x14ac:dyDescent="0.3">
      <c r="A362" s="3" t="s">
        <v>263</v>
      </c>
      <c r="B362" s="3" t="s">
        <v>22</v>
      </c>
      <c r="C362" s="2">
        <v>45455</v>
      </c>
      <c r="D362" s="3" t="s">
        <v>23</v>
      </c>
      <c r="E362" s="3" t="s">
        <v>356</v>
      </c>
      <c r="F362" s="3">
        <v>17679</v>
      </c>
      <c r="G362" s="3">
        <v>690</v>
      </c>
      <c r="H362" s="3">
        <v>451</v>
      </c>
      <c r="I362" s="3">
        <v>2195</v>
      </c>
      <c r="J362" s="3">
        <v>4390</v>
      </c>
      <c r="K362" s="3">
        <v>235804</v>
      </c>
      <c r="L362" s="3" t="s">
        <v>45</v>
      </c>
      <c r="M362" s="4">
        <v>7.9812047293514959E-2</v>
      </c>
    </row>
    <row r="363" spans="1:13" x14ac:dyDescent="0.3">
      <c r="A363" s="3" t="s">
        <v>303</v>
      </c>
      <c r="B363" s="3" t="s">
        <v>18</v>
      </c>
      <c r="C363" s="2">
        <v>45569</v>
      </c>
      <c r="D363" s="3" t="s">
        <v>27</v>
      </c>
      <c r="E363" s="3" t="s">
        <v>359</v>
      </c>
      <c r="F363" s="3">
        <v>15746</v>
      </c>
      <c r="G363" s="3">
        <v>258</v>
      </c>
      <c r="H363" s="3">
        <v>839</v>
      </c>
      <c r="I363" s="3">
        <v>2656</v>
      </c>
      <c r="J363" s="3">
        <v>66614</v>
      </c>
      <c r="K363" s="3">
        <v>213724</v>
      </c>
      <c r="L363" s="3" t="s">
        <v>25</v>
      </c>
      <c r="M363" s="4">
        <v>7.8807246729426739E-2</v>
      </c>
    </row>
    <row r="364" spans="1:13" x14ac:dyDescent="0.3">
      <c r="A364" s="3" t="s">
        <v>303</v>
      </c>
      <c r="B364" s="3" t="s">
        <v>18</v>
      </c>
      <c r="C364" s="2">
        <v>45569</v>
      </c>
      <c r="D364" s="3" t="s">
        <v>27</v>
      </c>
      <c r="E364" s="3" t="s">
        <v>366</v>
      </c>
      <c r="F364" s="3">
        <v>15746</v>
      </c>
      <c r="G364" s="3">
        <v>258</v>
      </c>
      <c r="H364" s="3">
        <v>839</v>
      </c>
      <c r="I364" s="3">
        <v>2656</v>
      </c>
      <c r="J364" s="3">
        <v>66614</v>
      </c>
      <c r="K364" s="3">
        <v>213724</v>
      </c>
      <c r="L364" s="3" t="s">
        <v>25</v>
      </c>
      <c r="M364" s="4">
        <v>7.8807246729426739E-2</v>
      </c>
    </row>
    <row r="365" spans="1:13" x14ac:dyDescent="0.3">
      <c r="A365" s="3" t="s">
        <v>94</v>
      </c>
      <c r="B365" s="3" t="s">
        <v>13</v>
      </c>
      <c r="C365" s="2">
        <v>45465</v>
      </c>
      <c r="D365" s="3" t="s">
        <v>14</v>
      </c>
      <c r="E365" s="3" t="s">
        <v>363</v>
      </c>
      <c r="F365" s="3">
        <v>16430</v>
      </c>
      <c r="G365" s="3">
        <v>488</v>
      </c>
      <c r="H365" s="3">
        <v>514</v>
      </c>
      <c r="I365" s="3">
        <v>1436</v>
      </c>
      <c r="J365" s="3">
        <v>30059</v>
      </c>
      <c r="K365" s="3">
        <v>223305</v>
      </c>
      <c r="L365" s="3" t="s">
        <v>29</v>
      </c>
      <c r="M365" s="4">
        <v>7.8063634938760881E-2</v>
      </c>
    </row>
    <row r="366" spans="1:13" x14ac:dyDescent="0.3">
      <c r="A366" s="3" t="s">
        <v>94</v>
      </c>
      <c r="B366" s="3" t="s">
        <v>13</v>
      </c>
      <c r="C366" s="2">
        <v>45465</v>
      </c>
      <c r="D366" s="3" t="s">
        <v>14</v>
      </c>
      <c r="E366" s="3" t="s">
        <v>364</v>
      </c>
      <c r="F366" s="3">
        <v>16430</v>
      </c>
      <c r="G366" s="3">
        <v>488</v>
      </c>
      <c r="H366" s="3">
        <v>514</v>
      </c>
      <c r="I366" s="3">
        <v>1436</v>
      </c>
      <c r="J366" s="3">
        <v>30059</v>
      </c>
      <c r="K366" s="3">
        <v>223305</v>
      </c>
      <c r="L366" s="3" t="s">
        <v>29</v>
      </c>
      <c r="M366" s="4">
        <v>7.8063634938760881E-2</v>
      </c>
    </row>
    <row r="367" spans="1:13" x14ac:dyDescent="0.3">
      <c r="A367" s="3" t="s">
        <v>160</v>
      </c>
      <c r="B367" s="3" t="s">
        <v>13</v>
      </c>
      <c r="C367" s="2">
        <v>45753</v>
      </c>
      <c r="D367" s="3" t="s">
        <v>23</v>
      </c>
      <c r="E367" s="3" t="s">
        <v>367</v>
      </c>
      <c r="F367" s="3">
        <v>8238</v>
      </c>
      <c r="G367" s="3">
        <v>766</v>
      </c>
      <c r="H367" s="3">
        <v>235</v>
      </c>
      <c r="I367" s="3">
        <v>1273</v>
      </c>
      <c r="J367" s="3">
        <v>4706</v>
      </c>
      <c r="K367" s="3">
        <v>119141</v>
      </c>
      <c r="L367" s="3" t="s">
        <v>29</v>
      </c>
      <c r="M367" s="4">
        <v>7.7546772311798629E-2</v>
      </c>
    </row>
    <row r="368" spans="1:13" x14ac:dyDescent="0.3">
      <c r="A368" s="3" t="s">
        <v>160</v>
      </c>
      <c r="B368" s="3" t="s">
        <v>13</v>
      </c>
      <c r="C368" s="2">
        <v>45753</v>
      </c>
      <c r="D368" s="3" t="s">
        <v>23</v>
      </c>
      <c r="E368" s="3" t="s">
        <v>32</v>
      </c>
      <c r="F368" s="3">
        <v>8238</v>
      </c>
      <c r="G368" s="3">
        <v>766</v>
      </c>
      <c r="H368" s="3">
        <v>235</v>
      </c>
      <c r="I368" s="3">
        <v>1273</v>
      </c>
      <c r="J368" s="3">
        <v>4706</v>
      </c>
      <c r="K368" s="3">
        <v>119141</v>
      </c>
      <c r="L368" s="3" t="s">
        <v>29</v>
      </c>
      <c r="M368" s="4">
        <v>7.7546772311798629E-2</v>
      </c>
    </row>
    <row r="369" spans="1:13" x14ac:dyDescent="0.3">
      <c r="A369" s="3" t="s">
        <v>137</v>
      </c>
      <c r="B369" s="3" t="s">
        <v>13</v>
      </c>
      <c r="C369" s="2">
        <v>45583</v>
      </c>
      <c r="D369" s="3" t="s">
        <v>34</v>
      </c>
      <c r="E369" s="3" t="s">
        <v>355</v>
      </c>
      <c r="F369" s="3">
        <v>6892</v>
      </c>
      <c r="G369" s="3">
        <v>1184</v>
      </c>
      <c r="H369" s="3">
        <v>925</v>
      </c>
      <c r="I369" s="3">
        <v>1062</v>
      </c>
      <c r="J369" s="3">
        <v>75008</v>
      </c>
      <c r="K369" s="3">
        <v>116260</v>
      </c>
      <c r="L369" s="3" t="s">
        <v>45</v>
      </c>
      <c r="M369" s="4">
        <v>7.7421297092723204E-2</v>
      </c>
    </row>
    <row r="370" spans="1:13" x14ac:dyDescent="0.3">
      <c r="A370" s="3" t="s">
        <v>137</v>
      </c>
      <c r="B370" s="3" t="s">
        <v>13</v>
      </c>
      <c r="C370" s="2">
        <v>45583</v>
      </c>
      <c r="D370" s="3" t="s">
        <v>34</v>
      </c>
      <c r="E370" s="3" t="s">
        <v>356</v>
      </c>
      <c r="F370" s="3">
        <v>6892</v>
      </c>
      <c r="G370" s="3">
        <v>1184</v>
      </c>
      <c r="H370" s="3">
        <v>925</v>
      </c>
      <c r="I370" s="3">
        <v>1062</v>
      </c>
      <c r="J370" s="3">
        <v>75008</v>
      </c>
      <c r="K370" s="3">
        <v>116260</v>
      </c>
      <c r="L370" s="3" t="s">
        <v>45</v>
      </c>
      <c r="M370" s="4">
        <v>7.7421297092723204E-2</v>
      </c>
    </row>
    <row r="371" spans="1:13" x14ac:dyDescent="0.3">
      <c r="A371" s="3" t="s">
        <v>314</v>
      </c>
      <c r="B371" s="3" t="s">
        <v>40</v>
      </c>
      <c r="C371" s="2">
        <v>45622</v>
      </c>
      <c r="D371" s="3" t="s">
        <v>27</v>
      </c>
      <c r="E371" s="3" t="s">
        <v>361</v>
      </c>
      <c r="F371" s="3">
        <v>14607</v>
      </c>
      <c r="G371" s="3">
        <v>1458</v>
      </c>
      <c r="H371" s="3">
        <v>478</v>
      </c>
      <c r="I371" s="3">
        <v>334</v>
      </c>
      <c r="J371" s="3">
        <v>49257</v>
      </c>
      <c r="K371" s="3">
        <v>214668</v>
      </c>
      <c r="L371" s="3" t="s">
        <v>29</v>
      </c>
      <c r="M371" s="4">
        <v>7.7063185942944451E-2</v>
      </c>
    </row>
    <row r="372" spans="1:13" x14ac:dyDescent="0.3">
      <c r="A372" s="3" t="s">
        <v>314</v>
      </c>
      <c r="B372" s="3" t="s">
        <v>40</v>
      </c>
      <c r="C372" s="2">
        <v>45622</v>
      </c>
      <c r="D372" s="3" t="s">
        <v>27</v>
      </c>
      <c r="E372" s="3" t="s">
        <v>362</v>
      </c>
      <c r="F372" s="3">
        <v>14607</v>
      </c>
      <c r="G372" s="3">
        <v>1458</v>
      </c>
      <c r="H372" s="3">
        <v>478</v>
      </c>
      <c r="I372" s="3">
        <v>334</v>
      </c>
      <c r="J372" s="3">
        <v>49257</v>
      </c>
      <c r="K372" s="3">
        <v>214668</v>
      </c>
      <c r="L372" s="3" t="s">
        <v>29</v>
      </c>
      <c r="M372" s="4">
        <v>7.7063185942944451E-2</v>
      </c>
    </row>
    <row r="373" spans="1:13" x14ac:dyDescent="0.3">
      <c r="A373" s="3" t="s">
        <v>42</v>
      </c>
      <c r="B373" s="3" t="s">
        <v>13</v>
      </c>
      <c r="C373" s="2">
        <v>45690</v>
      </c>
      <c r="D373" s="3" t="s">
        <v>34</v>
      </c>
      <c r="E373" s="3" t="s">
        <v>359</v>
      </c>
      <c r="F373" s="3">
        <v>12136</v>
      </c>
      <c r="G373" s="3">
        <v>1117</v>
      </c>
      <c r="H373" s="3">
        <v>834</v>
      </c>
      <c r="I373" s="3">
        <v>892</v>
      </c>
      <c r="J373" s="3">
        <v>24675</v>
      </c>
      <c r="K373" s="3">
        <v>183273</v>
      </c>
      <c r="L373" s="3" t="s">
        <v>25</v>
      </c>
      <c r="M373" s="4">
        <v>7.6863476889667326E-2</v>
      </c>
    </row>
    <row r="374" spans="1:13" x14ac:dyDescent="0.3">
      <c r="A374" s="3" t="s">
        <v>42</v>
      </c>
      <c r="B374" s="3" t="s">
        <v>13</v>
      </c>
      <c r="C374" s="2">
        <v>45690</v>
      </c>
      <c r="D374" s="3" t="s">
        <v>34</v>
      </c>
      <c r="E374" s="3" t="s">
        <v>360</v>
      </c>
      <c r="F374" s="3">
        <v>12136</v>
      </c>
      <c r="G374" s="3">
        <v>1117</v>
      </c>
      <c r="H374" s="3">
        <v>834</v>
      </c>
      <c r="I374" s="3">
        <v>892</v>
      </c>
      <c r="J374" s="3">
        <v>24675</v>
      </c>
      <c r="K374" s="3">
        <v>183273</v>
      </c>
      <c r="L374" s="3" t="s">
        <v>25</v>
      </c>
      <c r="M374" s="4">
        <v>7.6863476889667326E-2</v>
      </c>
    </row>
    <row r="375" spans="1:13" x14ac:dyDescent="0.3">
      <c r="A375" s="3" t="s">
        <v>313</v>
      </c>
      <c r="B375" s="3" t="s">
        <v>22</v>
      </c>
      <c r="C375" s="2">
        <v>45753</v>
      </c>
      <c r="D375" s="3" t="s">
        <v>14</v>
      </c>
      <c r="E375" s="3" t="s">
        <v>64</v>
      </c>
      <c r="F375" s="3">
        <v>14941</v>
      </c>
      <c r="G375" s="3">
        <v>1424</v>
      </c>
      <c r="H375" s="3">
        <v>238</v>
      </c>
      <c r="I375" s="3">
        <v>1054</v>
      </c>
      <c r="J375" s="3">
        <v>20516</v>
      </c>
      <c r="K375" s="3">
        <v>216048</v>
      </c>
      <c r="L375" s="3" t="s">
        <v>45</v>
      </c>
      <c r="M375" s="4">
        <v>7.6848663260016298E-2</v>
      </c>
    </row>
    <row r="376" spans="1:13" x14ac:dyDescent="0.3">
      <c r="A376" s="3" t="s">
        <v>152</v>
      </c>
      <c r="B376" s="3" t="s">
        <v>18</v>
      </c>
      <c r="C376" s="2">
        <v>45734</v>
      </c>
      <c r="D376" s="3" t="s">
        <v>14</v>
      </c>
      <c r="E376" s="3" t="s">
        <v>363</v>
      </c>
      <c r="F376" s="3">
        <v>5818</v>
      </c>
      <c r="G376" s="3">
        <v>1252</v>
      </c>
      <c r="H376" s="3">
        <v>687</v>
      </c>
      <c r="I376" s="3">
        <v>2300</v>
      </c>
      <c r="J376" s="3">
        <v>25081</v>
      </c>
      <c r="K376" s="3">
        <v>101212</v>
      </c>
      <c r="L376" s="3" t="s">
        <v>45</v>
      </c>
      <c r="M376" s="4">
        <v>7.6641109749832043E-2</v>
      </c>
    </row>
    <row r="377" spans="1:13" x14ac:dyDescent="0.3">
      <c r="A377" s="3" t="s">
        <v>152</v>
      </c>
      <c r="B377" s="3" t="s">
        <v>18</v>
      </c>
      <c r="C377" s="2">
        <v>45734</v>
      </c>
      <c r="D377" s="3" t="s">
        <v>14</v>
      </c>
      <c r="E377" s="3" t="s">
        <v>364</v>
      </c>
      <c r="F377" s="3">
        <v>5818</v>
      </c>
      <c r="G377" s="3">
        <v>1252</v>
      </c>
      <c r="H377" s="3">
        <v>687</v>
      </c>
      <c r="I377" s="3">
        <v>2300</v>
      </c>
      <c r="J377" s="3">
        <v>25081</v>
      </c>
      <c r="K377" s="3">
        <v>101212</v>
      </c>
      <c r="L377" s="3" t="s">
        <v>45</v>
      </c>
      <c r="M377" s="4">
        <v>7.6641109749832043E-2</v>
      </c>
    </row>
    <row r="378" spans="1:13" x14ac:dyDescent="0.3">
      <c r="A378" s="3" t="s">
        <v>148</v>
      </c>
      <c r="B378" s="3" t="s">
        <v>13</v>
      </c>
      <c r="C378" s="2">
        <v>45570</v>
      </c>
      <c r="D378" s="3" t="s">
        <v>34</v>
      </c>
      <c r="E378" s="3" t="s">
        <v>355</v>
      </c>
      <c r="F378" s="3">
        <v>16388</v>
      </c>
      <c r="G378" s="3">
        <v>1208</v>
      </c>
      <c r="H378" s="3">
        <v>417</v>
      </c>
      <c r="I378" s="3">
        <v>2306</v>
      </c>
      <c r="J378" s="3">
        <v>16865</v>
      </c>
      <c r="K378" s="3">
        <v>236733</v>
      </c>
      <c r="L378" s="3" t="s">
        <v>16</v>
      </c>
      <c r="M378" s="4">
        <v>7.6089940988370866E-2</v>
      </c>
    </row>
    <row r="379" spans="1:13" x14ac:dyDescent="0.3">
      <c r="A379" s="3" t="s">
        <v>148</v>
      </c>
      <c r="B379" s="3" t="s">
        <v>13</v>
      </c>
      <c r="C379" s="2">
        <v>45570</v>
      </c>
      <c r="D379" s="3" t="s">
        <v>34</v>
      </c>
      <c r="E379" s="3" t="s">
        <v>356</v>
      </c>
      <c r="F379" s="3">
        <v>16388</v>
      </c>
      <c r="G379" s="3">
        <v>1208</v>
      </c>
      <c r="H379" s="3">
        <v>417</v>
      </c>
      <c r="I379" s="3">
        <v>2306</v>
      </c>
      <c r="J379" s="3">
        <v>16865</v>
      </c>
      <c r="K379" s="3">
        <v>236733</v>
      </c>
      <c r="L379" s="3" t="s">
        <v>16</v>
      </c>
      <c r="M379" s="4">
        <v>7.6089940988370866E-2</v>
      </c>
    </row>
    <row r="380" spans="1:13" x14ac:dyDescent="0.3">
      <c r="A380" s="3" t="s">
        <v>247</v>
      </c>
      <c r="B380" s="3" t="s">
        <v>13</v>
      </c>
      <c r="C380" s="2">
        <v>45924</v>
      </c>
      <c r="D380" s="3" t="s">
        <v>14</v>
      </c>
      <c r="E380" s="3" t="s">
        <v>64</v>
      </c>
      <c r="F380" s="3">
        <v>11795</v>
      </c>
      <c r="G380" s="3">
        <v>958</v>
      </c>
      <c r="H380" s="3">
        <v>814</v>
      </c>
      <c r="I380" s="3">
        <v>301</v>
      </c>
      <c r="J380" s="3">
        <v>12564</v>
      </c>
      <c r="K380" s="3">
        <v>179999</v>
      </c>
      <c r="L380" s="3" t="s">
        <v>20</v>
      </c>
      <c r="M380" s="4">
        <v>7.5372640959116444E-2</v>
      </c>
    </row>
    <row r="381" spans="1:13" x14ac:dyDescent="0.3">
      <c r="A381" s="3" t="s">
        <v>269</v>
      </c>
      <c r="B381" s="3" t="s">
        <v>18</v>
      </c>
      <c r="C381" s="2">
        <v>45724</v>
      </c>
      <c r="D381" s="3" t="s">
        <v>14</v>
      </c>
      <c r="E381" s="3" t="s">
        <v>353</v>
      </c>
      <c r="F381" s="3">
        <v>5812</v>
      </c>
      <c r="G381" s="3">
        <v>934</v>
      </c>
      <c r="H381" s="3">
        <v>302</v>
      </c>
      <c r="I381" s="3">
        <v>2356</v>
      </c>
      <c r="J381" s="3">
        <v>37437</v>
      </c>
      <c r="K381" s="3">
        <v>93551</v>
      </c>
      <c r="L381" s="3" t="s">
        <v>16</v>
      </c>
      <c r="M381" s="4">
        <v>7.5338585370546551E-2</v>
      </c>
    </row>
    <row r="382" spans="1:13" x14ac:dyDescent="0.3">
      <c r="A382" s="3" t="s">
        <v>269</v>
      </c>
      <c r="B382" s="3" t="s">
        <v>18</v>
      </c>
      <c r="C382" s="2">
        <v>45724</v>
      </c>
      <c r="D382" s="3" t="s">
        <v>14</v>
      </c>
      <c r="E382" s="3" t="s">
        <v>354</v>
      </c>
      <c r="F382" s="3">
        <v>5812</v>
      </c>
      <c r="G382" s="3">
        <v>934</v>
      </c>
      <c r="H382" s="3">
        <v>302</v>
      </c>
      <c r="I382" s="3">
        <v>2356</v>
      </c>
      <c r="J382" s="3">
        <v>37437</v>
      </c>
      <c r="K382" s="3">
        <v>93551</v>
      </c>
      <c r="L382" s="3" t="s">
        <v>16</v>
      </c>
      <c r="M382" s="4">
        <v>7.5338585370546551E-2</v>
      </c>
    </row>
    <row r="383" spans="1:13" x14ac:dyDescent="0.3">
      <c r="A383" s="3" t="s">
        <v>275</v>
      </c>
      <c r="B383" s="3" t="s">
        <v>13</v>
      </c>
      <c r="C383" s="2">
        <v>45910</v>
      </c>
      <c r="D383" s="3" t="s">
        <v>14</v>
      </c>
      <c r="E383" s="3" t="s">
        <v>355</v>
      </c>
      <c r="F383" s="3">
        <v>13613</v>
      </c>
      <c r="G383" s="3">
        <v>350</v>
      </c>
      <c r="H383" s="3">
        <v>809</v>
      </c>
      <c r="I383" s="3">
        <v>2013</v>
      </c>
      <c r="J383" s="3">
        <v>20471</v>
      </c>
      <c r="K383" s="3">
        <v>198038</v>
      </c>
      <c r="L383" s="3" t="s">
        <v>20</v>
      </c>
      <c r="M383" s="4">
        <v>7.4591745018632791E-2</v>
      </c>
    </row>
    <row r="384" spans="1:13" x14ac:dyDescent="0.3">
      <c r="A384" s="3" t="s">
        <v>275</v>
      </c>
      <c r="B384" s="3" t="s">
        <v>13</v>
      </c>
      <c r="C384" s="2">
        <v>45910</v>
      </c>
      <c r="D384" s="3" t="s">
        <v>14</v>
      </c>
      <c r="E384" s="3" t="s">
        <v>356</v>
      </c>
      <c r="F384" s="3">
        <v>13613</v>
      </c>
      <c r="G384" s="3">
        <v>350</v>
      </c>
      <c r="H384" s="3">
        <v>809</v>
      </c>
      <c r="I384" s="3">
        <v>2013</v>
      </c>
      <c r="J384" s="3">
        <v>20471</v>
      </c>
      <c r="K384" s="3">
        <v>198038</v>
      </c>
      <c r="L384" s="3" t="s">
        <v>20</v>
      </c>
      <c r="M384" s="4">
        <v>7.4591745018632791E-2</v>
      </c>
    </row>
    <row r="385" spans="1:13" x14ac:dyDescent="0.3">
      <c r="A385" s="3" t="s">
        <v>49</v>
      </c>
      <c r="B385" s="3" t="s">
        <v>18</v>
      </c>
      <c r="C385" s="2">
        <v>45782</v>
      </c>
      <c r="D385" s="3" t="s">
        <v>23</v>
      </c>
      <c r="E385" s="3" t="s">
        <v>359</v>
      </c>
      <c r="F385" s="3">
        <v>10415</v>
      </c>
      <c r="G385" s="3">
        <v>1388</v>
      </c>
      <c r="H385" s="3">
        <v>725</v>
      </c>
      <c r="I385" s="3">
        <v>2462</v>
      </c>
      <c r="J385" s="3">
        <v>53082</v>
      </c>
      <c r="K385" s="3">
        <v>168267</v>
      </c>
      <c r="L385" s="3" t="s">
        <v>45</v>
      </c>
      <c r="M385" s="4">
        <v>7.4453101321114656E-2</v>
      </c>
    </row>
    <row r="386" spans="1:13" x14ac:dyDescent="0.3">
      <c r="A386" s="3" t="s">
        <v>49</v>
      </c>
      <c r="B386" s="3" t="s">
        <v>18</v>
      </c>
      <c r="C386" s="2">
        <v>45782</v>
      </c>
      <c r="D386" s="3" t="s">
        <v>23</v>
      </c>
      <c r="E386" s="3" t="s">
        <v>366</v>
      </c>
      <c r="F386" s="3">
        <v>10415</v>
      </c>
      <c r="G386" s="3">
        <v>1388</v>
      </c>
      <c r="H386" s="3">
        <v>725</v>
      </c>
      <c r="I386" s="3">
        <v>2462</v>
      </c>
      <c r="J386" s="3">
        <v>53082</v>
      </c>
      <c r="K386" s="3">
        <v>168267</v>
      </c>
      <c r="L386" s="3" t="s">
        <v>45</v>
      </c>
      <c r="M386" s="4">
        <v>7.4453101321114656E-2</v>
      </c>
    </row>
    <row r="387" spans="1:13" x14ac:dyDescent="0.3">
      <c r="A387" s="3" t="s">
        <v>288</v>
      </c>
      <c r="B387" s="3" t="s">
        <v>22</v>
      </c>
      <c r="C387" s="2">
        <v>45775</v>
      </c>
      <c r="D387" s="3" t="s">
        <v>34</v>
      </c>
      <c r="E387" s="3" t="s">
        <v>359</v>
      </c>
      <c r="F387" s="3">
        <v>10659</v>
      </c>
      <c r="G387" s="3">
        <v>1342</v>
      </c>
      <c r="H387" s="3">
        <v>408</v>
      </c>
      <c r="I387" s="3">
        <v>709</v>
      </c>
      <c r="J387" s="3">
        <v>16309</v>
      </c>
      <c r="K387" s="3">
        <v>168803</v>
      </c>
      <c r="L387" s="3" t="s">
        <v>25</v>
      </c>
      <c r="M387" s="4">
        <v>7.3511726687321907E-2</v>
      </c>
    </row>
    <row r="388" spans="1:13" x14ac:dyDescent="0.3">
      <c r="A388" s="3" t="s">
        <v>288</v>
      </c>
      <c r="B388" s="3" t="s">
        <v>22</v>
      </c>
      <c r="C388" s="2">
        <v>45775</v>
      </c>
      <c r="D388" s="3" t="s">
        <v>34</v>
      </c>
      <c r="E388" s="3" t="s">
        <v>366</v>
      </c>
      <c r="F388" s="3">
        <v>10659</v>
      </c>
      <c r="G388" s="3">
        <v>1342</v>
      </c>
      <c r="H388" s="3">
        <v>408</v>
      </c>
      <c r="I388" s="3">
        <v>709</v>
      </c>
      <c r="J388" s="3">
        <v>16309</v>
      </c>
      <c r="K388" s="3">
        <v>168803</v>
      </c>
      <c r="L388" s="3" t="s">
        <v>25</v>
      </c>
      <c r="M388" s="4">
        <v>7.3511726687321907E-2</v>
      </c>
    </row>
    <row r="389" spans="1:13" x14ac:dyDescent="0.3">
      <c r="A389" s="3" t="s">
        <v>245</v>
      </c>
      <c r="B389" s="3" t="s">
        <v>40</v>
      </c>
      <c r="C389" s="2">
        <v>45735</v>
      </c>
      <c r="D389" s="3" t="s">
        <v>34</v>
      </c>
      <c r="E389" s="3" t="s">
        <v>359</v>
      </c>
      <c r="F389" s="3">
        <v>13475</v>
      </c>
      <c r="G389" s="3">
        <v>1032</v>
      </c>
      <c r="H389" s="3">
        <v>295</v>
      </c>
      <c r="I389" s="3">
        <v>541</v>
      </c>
      <c r="J389" s="3">
        <v>43666</v>
      </c>
      <c r="K389" s="3">
        <v>202396</v>
      </c>
      <c r="L389" s="3" t="s">
        <v>45</v>
      </c>
      <c r="M389" s="4">
        <v>7.3133856400324118E-2</v>
      </c>
    </row>
    <row r="390" spans="1:13" x14ac:dyDescent="0.3">
      <c r="A390" s="3" t="s">
        <v>245</v>
      </c>
      <c r="B390" s="3" t="s">
        <v>40</v>
      </c>
      <c r="C390" s="2">
        <v>45735</v>
      </c>
      <c r="D390" s="3" t="s">
        <v>34</v>
      </c>
      <c r="E390" s="3" t="s">
        <v>360</v>
      </c>
      <c r="F390" s="3">
        <v>13475</v>
      </c>
      <c r="G390" s="3">
        <v>1032</v>
      </c>
      <c r="H390" s="3">
        <v>295</v>
      </c>
      <c r="I390" s="3">
        <v>541</v>
      </c>
      <c r="J390" s="3">
        <v>43666</v>
      </c>
      <c r="K390" s="3">
        <v>202396</v>
      </c>
      <c r="L390" s="3" t="s">
        <v>45</v>
      </c>
      <c r="M390" s="4">
        <v>7.3133856400324118E-2</v>
      </c>
    </row>
    <row r="391" spans="1:13" x14ac:dyDescent="0.3">
      <c r="A391" s="3" t="s">
        <v>51</v>
      </c>
      <c r="B391" s="3" t="s">
        <v>18</v>
      </c>
      <c r="C391" s="2">
        <v>45523</v>
      </c>
      <c r="D391" s="3" t="s">
        <v>14</v>
      </c>
      <c r="E391" s="3" t="s">
        <v>363</v>
      </c>
      <c r="F391" s="3">
        <v>15550</v>
      </c>
      <c r="G391" s="3">
        <v>204</v>
      </c>
      <c r="H391" s="3">
        <v>279</v>
      </c>
      <c r="I391" s="3">
        <v>1646</v>
      </c>
      <c r="J391" s="3">
        <v>35819</v>
      </c>
      <c r="K391" s="3">
        <v>219436</v>
      </c>
      <c r="L391" s="3" t="s">
        <v>16</v>
      </c>
      <c r="M391" s="4">
        <v>7.306458375107093E-2</v>
      </c>
    </row>
    <row r="392" spans="1:13" x14ac:dyDescent="0.3">
      <c r="A392" s="3" t="s">
        <v>51</v>
      </c>
      <c r="B392" s="3" t="s">
        <v>18</v>
      </c>
      <c r="C392" s="2">
        <v>45523</v>
      </c>
      <c r="D392" s="3" t="s">
        <v>14</v>
      </c>
      <c r="E392" s="3" t="s">
        <v>364</v>
      </c>
      <c r="F392" s="3">
        <v>15550</v>
      </c>
      <c r="G392" s="3">
        <v>204</v>
      </c>
      <c r="H392" s="3">
        <v>279</v>
      </c>
      <c r="I392" s="3">
        <v>1646</v>
      </c>
      <c r="J392" s="3">
        <v>35819</v>
      </c>
      <c r="K392" s="3">
        <v>219436</v>
      </c>
      <c r="L392" s="3" t="s">
        <v>16</v>
      </c>
      <c r="M392" s="4">
        <v>7.306458375107093E-2</v>
      </c>
    </row>
    <row r="393" spans="1:13" x14ac:dyDescent="0.3">
      <c r="A393" s="3" t="s">
        <v>265</v>
      </c>
      <c r="B393" s="3" t="s">
        <v>22</v>
      </c>
      <c r="C393" s="2">
        <v>45476</v>
      </c>
      <c r="D393" s="3" t="s">
        <v>27</v>
      </c>
      <c r="E393" s="3" t="s">
        <v>355</v>
      </c>
      <c r="F393" s="3">
        <v>12167</v>
      </c>
      <c r="G393" s="3">
        <v>364</v>
      </c>
      <c r="H393" s="3">
        <v>160</v>
      </c>
      <c r="I393" s="3">
        <v>616</v>
      </c>
      <c r="J393" s="3">
        <v>42228</v>
      </c>
      <c r="K393" s="3">
        <v>175832</v>
      </c>
      <c r="L393" s="3" t="s">
        <v>25</v>
      </c>
      <c r="M393" s="4">
        <v>7.2176850630146963E-2</v>
      </c>
    </row>
    <row r="394" spans="1:13" x14ac:dyDescent="0.3">
      <c r="A394" s="3" t="s">
        <v>265</v>
      </c>
      <c r="B394" s="3" t="s">
        <v>22</v>
      </c>
      <c r="C394" s="2">
        <v>45476</v>
      </c>
      <c r="D394" s="3" t="s">
        <v>27</v>
      </c>
      <c r="E394" s="3" t="s">
        <v>356</v>
      </c>
      <c r="F394" s="3">
        <v>12167</v>
      </c>
      <c r="G394" s="3">
        <v>364</v>
      </c>
      <c r="H394" s="3">
        <v>160</v>
      </c>
      <c r="I394" s="3">
        <v>616</v>
      </c>
      <c r="J394" s="3">
        <v>42228</v>
      </c>
      <c r="K394" s="3">
        <v>175832</v>
      </c>
      <c r="L394" s="3" t="s">
        <v>25</v>
      </c>
      <c r="M394" s="4">
        <v>7.2176850630146963E-2</v>
      </c>
    </row>
    <row r="395" spans="1:13" x14ac:dyDescent="0.3">
      <c r="A395" s="3" t="s">
        <v>125</v>
      </c>
      <c r="B395" s="3" t="s">
        <v>18</v>
      </c>
      <c r="C395" s="2">
        <v>45923</v>
      </c>
      <c r="D395" s="3" t="s">
        <v>14</v>
      </c>
      <c r="E395" s="3" t="s">
        <v>368</v>
      </c>
      <c r="F395" s="3">
        <v>10017</v>
      </c>
      <c r="G395" s="3">
        <v>1357</v>
      </c>
      <c r="H395" s="3">
        <v>966</v>
      </c>
      <c r="I395" s="3">
        <v>2871</v>
      </c>
      <c r="J395" s="3">
        <v>14800</v>
      </c>
      <c r="K395" s="3">
        <v>171691</v>
      </c>
      <c r="L395" s="3" t="s">
        <v>20</v>
      </c>
      <c r="M395" s="4">
        <v>7.1873307278774071E-2</v>
      </c>
    </row>
    <row r="396" spans="1:13" x14ac:dyDescent="0.3">
      <c r="A396" s="3" t="s">
        <v>125</v>
      </c>
      <c r="B396" s="3" t="s">
        <v>18</v>
      </c>
      <c r="C396" s="2">
        <v>45923</v>
      </c>
      <c r="D396" s="3" t="s">
        <v>14</v>
      </c>
      <c r="E396" s="3" t="s">
        <v>369</v>
      </c>
      <c r="F396" s="3">
        <v>10017</v>
      </c>
      <c r="G396" s="3">
        <v>1357</v>
      </c>
      <c r="H396" s="3">
        <v>966</v>
      </c>
      <c r="I396" s="3">
        <v>2871</v>
      </c>
      <c r="J396" s="3">
        <v>14800</v>
      </c>
      <c r="K396" s="3">
        <v>171691</v>
      </c>
      <c r="L396" s="3" t="s">
        <v>20</v>
      </c>
      <c r="M396" s="4">
        <v>7.1873307278774071E-2</v>
      </c>
    </row>
    <row r="397" spans="1:13" x14ac:dyDescent="0.3">
      <c r="A397" s="3" t="s">
        <v>213</v>
      </c>
      <c r="B397" s="3" t="s">
        <v>13</v>
      </c>
      <c r="C397" s="2">
        <v>45483</v>
      </c>
      <c r="D397" s="3" t="s">
        <v>14</v>
      </c>
      <c r="E397" s="3" t="s">
        <v>367</v>
      </c>
      <c r="F397" s="3">
        <v>8809</v>
      </c>
      <c r="G397" s="3">
        <v>1151</v>
      </c>
      <c r="H397" s="3">
        <v>908</v>
      </c>
      <c r="I397" s="3">
        <v>883</v>
      </c>
      <c r="J397" s="3">
        <v>42921</v>
      </c>
      <c r="K397" s="3">
        <v>151279</v>
      </c>
      <c r="L397" s="3" t="s">
        <v>45</v>
      </c>
      <c r="M397" s="4">
        <v>7.1840771025720687E-2</v>
      </c>
    </row>
    <row r="398" spans="1:13" x14ac:dyDescent="0.3">
      <c r="A398" s="3" t="s">
        <v>213</v>
      </c>
      <c r="B398" s="3" t="s">
        <v>13</v>
      </c>
      <c r="C398" s="2">
        <v>45483</v>
      </c>
      <c r="D398" s="3" t="s">
        <v>14</v>
      </c>
      <c r="E398" s="3" t="s">
        <v>32</v>
      </c>
      <c r="F398" s="3">
        <v>8809</v>
      </c>
      <c r="G398" s="3">
        <v>1151</v>
      </c>
      <c r="H398" s="3">
        <v>908</v>
      </c>
      <c r="I398" s="3">
        <v>883</v>
      </c>
      <c r="J398" s="3">
        <v>42921</v>
      </c>
      <c r="K398" s="3">
        <v>151279</v>
      </c>
      <c r="L398" s="3" t="s">
        <v>45</v>
      </c>
      <c r="M398" s="4">
        <v>7.1840771025720687E-2</v>
      </c>
    </row>
    <row r="399" spans="1:13" x14ac:dyDescent="0.3">
      <c r="A399" s="3" t="s">
        <v>228</v>
      </c>
      <c r="B399" s="3" t="s">
        <v>13</v>
      </c>
      <c r="C399" s="2">
        <v>45945</v>
      </c>
      <c r="D399" s="3" t="s">
        <v>14</v>
      </c>
      <c r="E399" s="3" t="s">
        <v>363</v>
      </c>
      <c r="F399" s="3">
        <v>8882</v>
      </c>
      <c r="G399" s="3">
        <v>701</v>
      </c>
      <c r="H399" s="3">
        <v>421</v>
      </c>
      <c r="I399" s="3">
        <v>2343</v>
      </c>
      <c r="J399" s="3">
        <v>13588</v>
      </c>
      <c r="K399" s="3">
        <v>139304</v>
      </c>
      <c r="L399" s="3" t="s">
        <v>20</v>
      </c>
      <c r="M399" s="4">
        <v>7.1814161833113191E-2</v>
      </c>
    </row>
    <row r="400" spans="1:13" x14ac:dyDescent="0.3">
      <c r="A400" s="3" t="s">
        <v>228</v>
      </c>
      <c r="B400" s="3" t="s">
        <v>13</v>
      </c>
      <c r="C400" s="2">
        <v>45945</v>
      </c>
      <c r="D400" s="3" t="s">
        <v>14</v>
      </c>
      <c r="E400" s="3" t="s">
        <v>364</v>
      </c>
      <c r="F400" s="3">
        <v>8882</v>
      </c>
      <c r="G400" s="3">
        <v>701</v>
      </c>
      <c r="H400" s="3">
        <v>421</v>
      </c>
      <c r="I400" s="3">
        <v>2343</v>
      </c>
      <c r="J400" s="3">
        <v>13588</v>
      </c>
      <c r="K400" s="3">
        <v>139304</v>
      </c>
      <c r="L400" s="3" t="s">
        <v>20</v>
      </c>
      <c r="M400" s="4">
        <v>7.1814161833113191E-2</v>
      </c>
    </row>
    <row r="401" spans="1:13" x14ac:dyDescent="0.3">
      <c r="A401" s="3" t="s">
        <v>151</v>
      </c>
      <c r="B401" s="3" t="s">
        <v>13</v>
      </c>
      <c r="C401" s="2">
        <v>45930</v>
      </c>
      <c r="D401" s="3" t="s">
        <v>23</v>
      </c>
      <c r="E401" s="3" t="s">
        <v>353</v>
      </c>
      <c r="F401" s="3">
        <v>8269</v>
      </c>
      <c r="G401" s="3">
        <v>250</v>
      </c>
      <c r="H401" s="3">
        <v>638</v>
      </c>
      <c r="I401" s="3">
        <v>815</v>
      </c>
      <c r="J401" s="3">
        <v>41991</v>
      </c>
      <c r="K401" s="3">
        <v>129393</v>
      </c>
      <c r="L401" s="3" t="s">
        <v>20</v>
      </c>
      <c r="M401" s="4">
        <v>7.0768897853825175E-2</v>
      </c>
    </row>
    <row r="402" spans="1:13" x14ac:dyDescent="0.3">
      <c r="A402" s="3" t="s">
        <v>151</v>
      </c>
      <c r="B402" s="3" t="s">
        <v>13</v>
      </c>
      <c r="C402" s="2">
        <v>45930</v>
      </c>
      <c r="D402" s="3" t="s">
        <v>23</v>
      </c>
      <c r="E402" s="3" t="s">
        <v>354</v>
      </c>
      <c r="F402" s="3">
        <v>8269</v>
      </c>
      <c r="G402" s="3">
        <v>250</v>
      </c>
      <c r="H402" s="3">
        <v>638</v>
      </c>
      <c r="I402" s="3">
        <v>815</v>
      </c>
      <c r="J402" s="3">
        <v>41991</v>
      </c>
      <c r="K402" s="3">
        <v>129393</v>
      </c>
      <c r="L402" s="3" t="s">
        <v>20</v>
      </c>
      <c r="M402" s="4">
        <v>7.0768897853825175E-2</v>
      </c>
    </row>
    <row r="403" spans="1:13" x14ac:dyDescent="0.3">
      <c r="A403" s="3" t="s">
        <v>293</v>
      </c>
      <c r="B403" s="3" t="s">
        <v>13</v>
      </c>
      <c r="C403" s="2">
        <v>45753</v>
      </c>
      <c r="D403" s="3" t="s">
        <v>34</v>
      </c>
      <c r="E403" s="3" t="s">
        <v>359</v>
      </c>
      <c r="F403" s="3">
        <v>15917</v>
      </c>
      <c r="G403" s="3">
        <v>1479</v>
      </c>
      <c r="H403" s="3">
        <v>196</v>
      </c>
      <c r="I403" s="3">
        <v>313</v>
      </c>
      <c r="J403" s="3">
        <v>48524</v>
      </c>
      <c r="K403" s="3">
        <v>249684</v>
      </c>
      <c r="L403" s="3" t="s">
        <v>29</v>
      </c>
      <c r="M403" s="4">
        <v>7.0457057720959296E-2</v>
      </c>
    </row>
    <row r="404" spans="1:13" x14ac:dyDescent="0.3">
      <c r="A404" s="3" t="s">
        <v>293</v>
      </c>
      <c r="B404" s="3" t="s">
        <v>13</v>
      </c>
      <c r="C404" s="2">
        <v>45753</v>
      </c>
      <c r="D404" s="3" t="s">
        <v>34</v>
      </c>
      <c r="E404" s="3" t="s">
        <v>366</v>
      </c>
      <c r="F404" s="3">
        <v>15917</v>
      </c>
      <c r="G404" s="3">
        <v>1479</v>
      </c>
      <c r="H404" s="3">
        <v>196</v>
      </c>
      <c r="I404" s="3">
        <v>313</v>
      </c>
      <c r="J404" s="3">
        <v>48524</v>
      </c>
      <c r="K404" s="3">
        <v>249684</v>
      </c>
      <c r="L404" s="3" t="s">
        <v>29</v>
      </c>
      <c r="M404" s="4">
        <v>7.0457057720959296E-2</v>
      </c>
    </row>
    <row r="405" spans="1:13" x14ac:dyDescent="0.3">
      <c r="A405" s="3" t="s">
        <v>327</v>
      </c>
      <c r="B405" s="3" t="s">
        <v>22</v>
      </c>
      <c r="C405" s="2">
        <v>45602</v>
      </c>
      <c r="D405" s="3" t="s">
        <v>14</v>
      </c>
      <c r="E405" s="3" t="s">
        <v>361</v>
      </c>
      <c r="F405" s="3">
        <v>11865</v>
      </c>
      <c r="G405" s="3">
        <v>241</v>
      </c>
      <c r="H405" s="3">
        <v>319</v>
      </c>
      <c r="I405" s="3">
        <v>703</v>
      </c>
      <c r="J405" s="3">
        <v>69596</v>
      </c>
      <c r="K405" s="3">
        <v>177513</v>
      </c>
      <c r="L405" s="3" t="s">
        <v>29</v>
      </c>
      <c r="M405" s="4">
        <v>6.999487361489018E-2</v>
      </c>
    </row>
    <row r="406" spans="1:13" x14ac:dyDescent="0.3">
      <c r="A406" s="3" t="s">
        <v>327</v>
      </c>
      <c r="B406" s="3" t="s">
        <v>22</v>
      </c>
      <c r="C406" s="2">
        <v>45602</v>
      </c>
      <c r="D406" s="3" t="s">
        <v>14</v>
      </c>
      <c r="E406" s="3" t="s">
        <v>362</v>
      </c>
      <c r="F406" s="3">
        <v>11865</v>
      </c>
      <c r="G406" s="3">
        <v>241</v>
      </c>
      <c r="H406" s="3">
        <v>319</v>
      </c>
      <c r="I406" s="3">
        <v>703</v>
      </c>
      <c r="J406" s="3">
        <v>69596</v>
      </c>
      <c r="K406" s="3">
        <v>177513</v>
      </c>
      <c r="L406" s="3" t="s">
        <v>29</v>
      </c>
      <c r="M406" s="4">
        <v>6.999487361489018E-2</v>
      </c>
    </row>
    <row r="407" spans="1:13" x14ac:dyDescent="0.3">
      <c r="A407" s="3" t="s">
        <v>335</v>
      </c>
      <c r="B407" s="3" t="s">
        <v>22</v>
      </c>
      <c r="C407" s="2">
        <v>45925</v>
      </c>
      <c r="D407" s="3" t="s">
        <v>34</v>
      </c>
      <c r="E407" s="3" t="s">
        <v>367</v>
      </c>
      <c r="F407" s="3">
        <v>12568</v>
      </c>
      <c r="G407" s="3">
        <v>541</v>
      </c>
      <c r="H407" s="3">
        <v>273</v>
      </c>
      <c r="I407" s="3">
        <v>2767</v>
      </c>
      <c r="J407" s="3">
        <v>22331</v>
      </c>
      <c r="K407" s="3">
        <v>192747</v>
      </c>
      <c r="L407" s="3" t="s">
        <v>20</v>
      </c>
      <c r="M407" s="4">
        <v>6.9427799135654514E-2</v>
      </c>
    </row>
    <row r="408" spans="1:13" x14ac:dyDescent="0.3">
      <c r="A408" s="3" t="s">
        <v>335</v>
      </c>
      <c r="B408" s="3" t="s">
        <v>22</v>
      </c>
      <c r="C408" s="2">
        <v>45925</v>
      </c>
      <c r="D408" s="3" t="s">
        <v>34</v>
      </c>
      <c r="E408" s="3" t="s">
        <v>32</v>
      </c>
      <c r="F408" s="3">
        <v>12568</v>
      </c>
      <c r="G408" s="3">
        <v>541</v>
      </c>
      <c r="H408" s="3">
        <v>273</v>
      </c>
      <c r="I408" s="3">
        <v>2767</v>
      </c>
      <c r="J408" s="3">
        <v>22331</v>
      </c>
      <c r="K408" s="3">
        <v>192747</v>
      </c>
      <c r="L408" s="3" t="s">
        <v>20</v>
      </c>
      <c r="M408" s="4">
        <v>6.9427799135654514E-2</v>
      </c>
    </row>
    <row r="409" spans="1:13" x14ac:dyDescent="0.3">
      <c r="A409" s="3" t="s">
        <v>80</v>
      </c>
      <c r="B409" s="3" t="s">
        <v>18</v>
      </c>
      <c r="C409" s="2">
        <v>45917</v>
      </c>
      <c r="D409" s="3" t="s">
        <v>23</v>
      </c>
      <c r="E409" s="3" t="s">
        <v>361</v>
      </c>
      <c r="F409" s="3">
        <v>15456</v>
      </c>
      <c r="G409" s="3">
        <v>590</v>
      </c>
      <c r="H409" s="3">
        <v>555</v>
      </c>
      <c r="I409" s="3">
        <v>2882</v>
      </c>
      <c r="J409" s="3">
        <v>49816</v>
      </c>
      <c r="K409" s="3">
        <v>240422</v>
      </c>
      <c r="L409" s="3" t="s">
        <v>20</v>
      </c>
      <c r="M409" s="4">
        <v>6.9049421433978589E-2</v>
      </c>
    </row>
    <row r="410" spans="1:13" x14ac:dyDescent="0.3">
      <c r="A410" s="3" t="s">
        <v>80</v>
      </c>
      <c r="B410" s="3" t="s">
        <v>18</v>
      </c>
      <c r="C410" s="2">
        <v>45917</v>
      </c>
      <c r="D410" s="3" t="s">
        <v>23</v>
      </c>
      <c r="E410" s="3" t="s">
        <v>362</v>
      </c>
      <c r="F410" s="3">
        <v>15456</v>
      </c>
      <c r="G410" s="3">
        <v>590</v>
      </c>
      <c r="H410" s="3">
        <v>555</v>
      </c>
      <c r="I410" s="3">
        <v>2882</v>
      </c>
      <c r="J410" s="3">
        <v>49816</v>
      </c>
      <c r="K410" s="3">
        <v>240422</v>
      </c>
      <c r="L410" s="3" t="s">
        <v>20</v>
      </c>
      <c r="M410" s="4">
        <v>6.9049421433978589E-2</v>
      </c>
    </row>
    <row r="411" spans="1:13" x14ac:dyDescent="0.3">
      <c r="A411" s="3" t="s">
        <v>72</v>
      </c>
      <c r="B411" s="3" t="s">
        <v>18</v>
      </c>
      <c r="C411" s="2">
        <v>45663</v>
      </c>
      <c r="D411" s="3" t="s">
        <v>14</v>
      </c>
      <c r="E411" s="3" t="s">
        <v>357</v>
      </c>
      <c r="F411" s="3">
        <v>11860</v>
      </c>
      <c r="G411" s="3">
        <v>1448</v>
      </c>
      <c r="H411" s="3">
        <v>893</v>
      </c>
      <c r="I411" s="3">
        <v>490</v>
      </c>
      <c r="J411" s="3">
        <v>23518</v>
      </c>
      <c r="K411" s="3">
        <v>206205</v>
      </c>
      <c r="L411" s="3" t="s">
        <v>16</v>
      </c>
      <c r="M411" s="4">
        <v>6.8868359157149436E-2</v>
      </c>
    </row>
    <row r="412" spans="1:13" x14ac:dyDescent="0.3">
      <c r="A412" s="3" t="s">
        <v>72</v>
      </c>
      <c r="B412" s="3" t="s">
        <v>18</v>
      </c>
      <c r="C412" s="2">
        <v>45663</v>
      </c>
      <c r="D412" s="3" t="s">
        <v>14</v>
      </c>
      <c r="E412" s="3" t="s">
        <v>358</v>
      </c>
      <c r="F412" s="3">
        <v>11860</v>
      </c>
      <c r="G412" s="3">
        <v>1448</v>
      </c>
      <c r="H412" s="3">
        <v>893</v>
      </c>
      <c r="I412" s="3">
        <v>490</v>
      </c>
      <c r="J412" s="3">
        <v>23518</v>
      </c>
      <c r="K412" s="3">
        <v>206205</v>
      </c>
      <c r="L412" s="3" t="s">
        <v>16</v>
      </c>
      <c r="M412" s="4">
        <v>6.8868359157149436E-2</v>
      </c>
    </row>
    <row r="413" spans="1:13" x14ac:dyDescent="0.3">
      <c r="A413" s="3" t="s">
        <v>198</v>
      </c>
      <c r="B413" s="3" t="s">
        <v>22</v>
      </c>
      <c r="C413" s="2">
        <v>45748</v>
      </c>
      <c r="D413" s="3" t="s">
        <v>14</v>
      </c>
      <c r="E413" s="3" t="s">
        <v>361</v>
      </c>
      <c r="F413" s="3">
        <v>6432</v>
      </c>
      <c r="G413" s="3">
        <v>1272</v>
      </c>
      <c r="H413" s="3">
        <v>498</v>
      </c>
      <c r="I413" s="3">
        <v>677</v>
      </c>
      <c r="J413" s="3">
        <v>47305</v>
      </c>
      <c r="K413" s="3">
        <v>119134</v>
      </c>
      <c r="L413" s="3" t="s">
        <v>16</v>
      </c>
      <c r="M413" s="4">
        <v>6.8846844729464299E-2</v>
      </c>
    </row>
    <row r="414" spans="1:13" x14ac:dyDescent="0.3">
      <c r="A414" s="3" t="s">
        <v>198</v>
      </c>
      <c r="B414" s="3" t="s">
        <v>22</v>
      </c>
      <c r="C414" s="2">
        <v>45748</v>
      </c>
      <c r="D414" s="3" t="s">
        <v>14</v>
      </c>
      <c r="E414" s="3" t="s">
        <v>362</v>
      </c>
      <c r="F414" s="3">
        <v>6432</v>
      </c>
      <c r="G414" s="3">
        <v>1272</v>
      </c>
      <c r="H414" s="3">
        <v>498</v>
      </c>
      <c r="I414" s="3">
        <v>677</v>
      </c>
      <c r="J414" s="3">
        <v>47305</v>
      </c>
      <c r="K414" s="3">
        <v>119134</v>
      </c>
      <c r="L414" s="3" t="s">
        <v>16</v>
      </c>
      <c r="M414" s="4">
        <v>6.8846844729464299E-2</v>
      </c>
    </row>
    <row r="415" spans="1:13" x14ac:dyDescent="0.3">
      <c r="A415" s="3" t="s">
        <v>315</v>
      </c>
      <c r="B415" s="3" t="s">
        <v>22</v>
      </c>
      <c r="C415" s="2">
        <v>45537</v>
      </c>
      <c r="D415" s="3" t="s">
        <v>27</v>
      </c>
      <c r="E415" s="3" t="s">
        <v>359</v>
      </c>
      <c r="F415" s="3">
        <v>11765</v>
      </c>
      <c r="G415" s="3">
        <v>693</v>
      </c>
      <c r="H415" s="3">
        <v>729</v>
      </c>
      <c r="I415" s="3">
        <v>744</v>
      </c>
      <c r="J415" s="3">
        <v>97772</v>
      </c>
      <c r="K415" s="3">
        <v>194243</v>
      </c>
      <c r="L415" s="3" t="s">
        <v>16</v>
      </c>
      <c r="M415" s="4">
        <v>6.7889190344053579E-2</v>
      </c>
    </row>
    <row r="416" spans="1:13" x14ac:dyDescent="0.3">
      <c r="A416" s="3" t="s">
        <v>315</v>
      </c>
      <c r="B416" s="3" t="s">
        <v>22</v>
      </c>
      <c r="C416" s="2">
        <v>45537</v>
      </c>
      <c r="D416" s="3" t="s">
        <v>27</v>
      </c>
      <c r="E416" s="3" t="s">
        <v>360</v>
      </c>
      <c r="F416" s="3">
        <v>11765</v>
      </c>
      <c r="G416" s="3">
        <v>693</v>
      </c>
      <c r="H416" s="3">
        <v>729</v>
      </c>
      <c r="I416" s="3">
        <v>744</v>
      </c>
      <c r="J416" s="3">
        <v>97772</v>
      </c>
      <c r="K416" s="3">
        <v>194243</v>
      </c>
      <c r="L416" s="3" t="s">
        <v>16</v>
      </c>
      <c r="M416" s="4">
        <v>6.7889190344053579E-2</v>
      </c>
    </row>
    <row r="417" spans="1:13" x14ac:dyDescent="0.3">
      <c r="A417" s="3" t="s">
        <v>277</v>
      </c>
      <c r="B417" s="3" t="s">
        <v>40</v>
      </c>
      <c r="C417" s="2">
        <v>45675</v>
      </c>
      <c r="D417" s="3" t="s">
        <v>23</v>
      </c>
      <c r="E417" s="3" t="s">
        <v>367</v>
      </c>
      <c r="F417" s="3">
        <v>12589</v>
      </c>
      <c r="G417" s="3">
        <v>346</v>
      </c>
      <c r="H417" s="3">
        <v>459</v>
      </c>
      <c r="I417" s="3">
        <v>1407</v>
      </c>
      <c r="J417" s="3">
        <v>29254</v>
      </c>
      <c r="K417" s="3">
        <v>198059</v>
      </c>
      <c r="L417" s="3" t="s">
        <v>25</v>
      </c>
      <c r="M417" s="4">
        <v>6.7626313371268162E-2</v>
      </c>
    </row>
    <row r="418" spans="1:13" x14ac:dyDescent="0.3">
      <c r="A418" s="3" t="s">
        <v>277</v>
      </c>
      <c r="B418" s="3" t="s">
        <v>40</v>
      </c>
      <c r="C418" s="2">
        <v>45675</v>
      </c>
      <c r="D418" s="3" t="s">
        <v>23</v>
      </c>
      <c r="E418" s="3" t="s">
        <v>32</v>
      </c>
      <c r="F418" s="3">
        <v>12589</v>
      </c>
      <c r="G418" s="3">
        <v>346</v>
      </c>
      <c r="H418" s="3">
        <v>459</v>
      </c>
      <c r="I418" s="3">
        <v>1407</v>
      </c>
      <c r="J418" s="3">
        <v>29254</v>
      </c>
      <c r="K418" s="3">
        <v>198059</v>
      </c>
      <c r="L418" s="3" t="s">
        <v>25</v>
      </c>
      <c r="M418" s="4">
        <v>6.7626313371268162E-2</v>
      </c>
    </row>
    <row r="419" spans="1:13" x14ac:dyDescent="0.3">
      <c r="A419" s="3" t="s">
        <v>147</v>
      </c>
      <c r="B419" s="3" t="s">
        <v>18</v>
      </c>
      <c r="C419" s="2">
        <v>45619</v>
      </c>
      <c r="D419" s="3" t="s">
        <v>23</v>
      </c>
      <c r="E419" s="3" t="s">
        <v>32</v>
      </c>
      <c r="F419" s="3">
        <v>9941</v>
      </c>
      <c r="G419" s="3">
        <v>1329</v>
      </c>
      <c r="H419" s="3">
        <v>238</v>
      </c>
      <c r="I419" s="3">
        <v>869</v>
      </c>
      <c r="J419" s="3">
        <v>40281</v>
      </c>
      <c r="K419" s="3">
        <v>172311</v>
      </c>
      <c r="L419" s="3" t="s">
        <v>25</v>
      </c>
      <c r="M419" s="4">
        <v>6.6786217943137702E-2</v>
      </c>
    </row>
    <row r="420" spans="1:13" x14ac:dyDescent="0.3">
      <c r="A420" s="3" t="s">
        <v>135</v>
      </c>
      <c r="B420" s="3" t="s">
        <v>40</v>
      </c>
      <c r="C420" s="2">
        <v>45475</v>
      </c>
      <c r="D420" s="3" t="s">
        <v>34</v>
      </c>
      <c r="E420" s="3" t="s">
        <v>361</v>
      </c>
      <c r="F420" s="3">
        <v>12320</v>
      </c>
      <c r="G420" s="3">
        <v>1157</v>
      </c>
      <c r="H420" s="3">
        <v>365</v>
      </c>
      <c r="I420" s="3">
        <v>584</v>
      </c>
      <c r="J420" s="3">
        <v>66634</v>
      </c>
      <c r="K420" s="3">
        <v>210102</v>
      </c>
      <c r="L420" s="3" t="s">
        <v>29</v>
      </c>
      <c r="M420" s="4">
        <v>6.5882285746922925E-2</v>
      </c>
    </row>
    <row r="421" spans="1:13" x14ac:dyDescent="0.3">
      <c r="A421" s="3" t="s">
        <v>135</v>
      </c>
      <c r="B421" s="3" t="s">
        <v>40</v>
      </c>
      <c r="C421" s="2">
        <v>45475</v>
      </c>
      <c r="D421" s="3" t="s">
        <v>34</v>
      </c>
      <c r="E421" s="3" t="s">
        <v>362</v>
      </c>
      <c r="F421" s="3">
        <v>12320</v>
      </c>
      <c r="G421" s="3">
        <v>1157</v>
      </c>
      <c r="H421" s="3">
        <v>365</v>
      </c>
      <c r="I421" s="3">
        <v>584</v>
      </c>
      <c r="J421" s="3">
        <v>66634</v>
      </c>
      <c r="K421" s="3">
        <v>210102</v>
      </c>
      <c r="L421" s="3" t="s">
        <v>29</v>
      </c>
      <c r="M421" s="4">
        <v>6.5882285746922925E-2</v>
      </c>
    </row>
    <row r="422" spans="1:13" x14ac:dyDescent="0.3">
      <c r="A422" s="3" t="s">
        <v>258</v>
      </c>
      <c r="B422" s="3" t="s">
        <v>13</v>
      </c>
      <c r="C422" s="2">
        <v>45573</v>
      </c>
      <c r="D422" s="3" t="s">
        <v>23</v>
      </c>
      <c r="E422" s="3" t="s">
        <v>64</v>
      </c>
      <c r="F422" s="3">
        <v>8738</v>
      </c>
      <c r="G422" s="3">
        <v>295</v>
      </c>
      <c r="H422" s="3">
        <v>529</v>
      </c>
      <c r="I422" s="3">
        <v>442</v>
      </c>
      <c r="J422" s="3">
        <v>25286</v>
      </c>
      <c r="K422" s="3">
        <v>147522</v>
      </c>
      <c r="L422" s="3" t="s">
        <v>29</v>
      </c>
      <c r="M422" s="4">
        <v>6.4817450956467515E-2</v>
      </c>
    </row>
    <row r="423" spans="1:13" x14ac:dyDescent="0.3">
      <c r="A423" s="3" t="s">
        <v>89</v>
      </c>
      <c r="B423" s="3" t="s">
        <v>18</v>
      </c>
      <c r="C423" s="2">
        <v>45729</v>
      </c>
      <c r="D423" s="3" t="s">
        <v>34</v>
      </c>
      <c r="E423" s="3" t="s">
        <v>357</v>
      </c>
      <c r="F423" s="3">
        <v>6544</v>
      </c>
      <c r="G423" s="3">
        <v>749</v>
      </c>
      <c r="H423" s="3">
        <v>888</v>
      </c>
      <c r="I423" s="3">
        <v>594</v>
      </c>
      <c r="J423" s="3">
        <v>18171</v>
      </c>
      <c r="K423" s="3">
        <v>126475</v>
      </c>
      <c r="L423" s="3" t="s">
        <v>25</v>
      </c>
      <c r="M423" s="4">
        <v>6.4684720300454635E-2</v>
      </c>
    </row>
    <row r="424" spans="1:13" x14ac:dyDescent="0.3">
      <c r="A424" s="3" t="s">
        <v>89</v>
      </c>
      <c r="B424" s="3" t="s">
        <v>18</v>
      </c>
      <c r="C424" s="2">
        <v>45729</v>
      </c>
      <c r="D424" s="3" t="s">
        <v>34</v>
      </c>
      <c r="E424" s="3" t="s">
        <v>358</v>
      </c>
      <c r="F424" s="3">
        <v>6544</v>
      </c>
      <c r="G424" s="3">
        <v>749</v>
      </c>
      <c r="H424" s="3">
        <v>888</v>
      </c>
      <c r="I424" s="3">
        <v>594</v>
      </c>
      <c r="J424" s="3">
        <v>18171</v>
      </c>
      <c r="K424" s="3">
        <v>126475</v>
      </c>
      <c r="L424" s="3" t="s">
        <v>25</v>
      </c>
      <c r="M424" s="4">
        <v>6.4684720300454635E-2</v>
      </c>
    </row>
    <row r="425" spans="1:13" x14ac:dyDescent="0.3">
      <c r="A425" s="3" t="s">
        <v>254</v>
      </c>
      <c r="B425" s="3" t="s">
        <v>22</v>
      </c>
      <c r="C425" s="2">
        <v>45454</v>
      </c>
      <c r="D425" s="3" t="s">
        <v>27</v>
      </c>
      <c r="E425" s="3" t="s">
        <v>64</v>
      </c>
      <c r="F425" s="3">
        <v>14910</v>
      </c>
      <c r="G425" s="3">
        <v>778</v>
      </c>
      <c r="H425" s="3">
        <v>289</v>
      </c>
      <c r="I425" s="3">
        <v>2541</v>
      </c>
      <c r="J425" s="3">
        <v>14309</v>
      </c>
      <c r="K425" s="3">
        <v>247815</v>
      </c>
      <c r="L425" s="3" t="s">
        <v>25</v>
      </c>
      <c r="M425" s="4">
        <v>6.4471480741682297E-2</v>
      </c>
    </row>
    <row r="426" spans="1:13" x14ac:dyDescent="0.3">
      <c r="A426" s="3" t="s">
        <v>190</v>
      </c>
      <c r="B426" s="3" t="s">
        <v>13</v>
      </c>
      <c r="C426" s="2">
        <v>45574</v>
      </c>
      <c r="D426" s="3" t="s">
        <v>27</v>
      </c>
      <c r="E426" s="3" t="s">
        <v>365</v>
      </c>
      <c r="F426" s="3">
        <v>7240</v>
      </c>
      <c r="G426" s="3">
        <v>1384</v>
      </c>
      <c r="H426" s="3">
        <v>954</v>
      </c>
      <c r="I426" s="3">
        <v>2335</v>
      </c>
      <c r="J426" s="3">
        <v>6757</v>
      </c>
      <c r="K426" s="3">
        <v>150448</v>
      </c>
      <c r="L426" s="3" t="s">
        <v>25</v>
      </c>
      <c r="M426" s="4">
        <v>6.3663192598106988E-2</v>
      </c>
    </row>
    <row r="427" spans="1:13" x14ac:dyDescent="0.3">
      <c r="A427" s="3" t="s">
        <v>190</v>
      </c>
      <c r="B427" s="3" t="s">
        <v>13</v>
      </c>
      <c r="C427" s="2">
        <v>45574</v>
      </c>
      <c r="D427" s="3" t="s">
        <v>27</v>
      </c>
      <c r="E427" s="3" t="s">
        <v>359</v>
      </c>
      <c r="F427" s="3">
        <v>7240</v>
      </c>
      <c r="G427" s="3">
        <v>1384</v>
      </c>
      <c r="H427" s="3">
        <v>954</v>
      </c>
      <c r="I427" s="3">
        <v>2335</v>
      </c>
      <c r="J427" s="3">
        <v>6757</v>
      </c>
      <c r="K427" s="3">
        <v>150448</v>
      </c>
      <c r="L427" s="3" t="s">
        <v>25</v>
      </c>
      <c r="M427" s="4">
        <v>6.3663192598106988E-2</v>
      </c>
    </row>
    <row r="428" spans="1:13" x14ac:dyDescent="0.3">
      <c r="A428" s="3" t="s">
        <v>246</v>
      </c>
      <c r="B428" s="3" t="s">
        <v>22</v>
      </c>
      <c r="C428" s="2">
        <v>45707</v>
      </c>
      <c r="D428" s="3" t="s">
        <v>27</v>
      </c>
      <c r="E428" s="3" t="s">
        <v>365</v>
      </c>
      <c r="F428" s="3">
        <v>8168</v>
      </c>
      <c r="G428" s="3">
        <v>512</v>
      </c>
      <c r="H428" s="3">
        <v>442</v>
      </c>
      <c r="I428" s="3">
        <v>2343</v>
      </c>
      <c r="J428" s="3">
        <v>2753</v>
      </c>
      <c r="K428" s="3">
        <v>143896</v>
      </c>
      <c r="L428" s="3" t="s">
        <v>45</v>
      </c>
      <c r="M428" s="4">
        <v>6.3393006059932172E-2</v>
      </c>
    </row>
    <row r="429" spans="1:13" x14ac:dyDescent="0.3">
      <c r="A429" s="3" t="s">
        <v>246</v>
      </c>
      <c r="B429" s="3" t="s">
        <v>22</v>
      </c>
      <c r="C429" s="2">
        <v>45707</v>
      </c>
      <c r="D429" s="3" t="s">
        <v>27</v>
      </c>
      <c r="E429" s="3" t="s">
        <v>359</v>
      </c>
      <c r="F429" s="3">
        <v>8168</v>
      </c>
      <c r="G429" s="3">
        <v>512</v>
      </c>
      <c r="H429" s="3">
        <v>442</v>
      </c>
      <c r="I429" s="3">
        <v>2343</v>
      </c>
      <c r="J429" s="3">
        <v>2753</v>
      </c>
      <c r="K429" s="3">
        <v>143896</v>
      </c>
      <c r="L429" s="3" t="s">
        <v>45</v>
      </c>
      <c r="M429" s="4">
        <v>6.3393006059932172E-2</v>
      </c>
    </row>
    <row r="430" spans="1:13" x14ac:dyDescent="0.3">
      <c r="A430" s="3" t="s">
        <v>185</v>
      </c>
      <c r="B430" s="3" t="s">
        <v>22</v>
      </c>
      <c r="C430" s="2">
        <v>45459</v>
      </c>
      <c r="D430" s="3" t="s">
        <v>23</v>
      </c>
      <c r="E430" s="3" t="s">
        <v>353</v>
      </c>
      <c r="F430" s="3">
        <v>12160</v>
      </c>
      <c r="G430" s="3">
        <v>1405</v>
      </c>
      <c r="H430" s="3">
        <v>769</v>
      </c>
      <c r="I430" s="3">
        <v>1980</v>
      </c>
      <c r="J430" s="3">
        <v>33174</v>
      </c>
      <c r="K430" s="3">
        <v>226481</v>
      </c>
      <c r="L430" s="3" t="s">
        <v>16</v>
      </c>
      <c r="M430" s="4">
        <v>6.329007731332871E-2</v>
      </c>
    </row>
    <row r="431" spans="1:13" x14ac:dyDescent="0.3">
      <c r="A431" s="3" t="s">
        <v>185</v>
      </c>
      <c r="B431" s="3" t="s">
        <v>22</v>
      </c>
      <c r="C431" s="2">
        <v>45459</v>
      </c>
      <c r="D431" s="3" t="s">
        <v>23</v>
      </c>
      <c r="E431" s="3" t="s">
        <v>354</v>
      </c>
      <c r="F431" s="3">
        <v>12160</v>
      </c>
      <c r="G431" s="3">
        <v>1405</v>
      </c>
      <c r="H431" s="3">
        <v>769</v>
      </c>
      <c r="I431" s="3">
        <v>1980</v>
      </c>
      <c r="J431" s="3">
        <v>33174</v>
      </c>
      <c r="K431" s="3">
        <v>226481</v>
      </c>
      <c r="L431" s="3" t="s">
        <v>16</v>
      </c>
      <c r="M431" s="4">
        <v>6.329007731332871E-2</v>
      </c>
    </row>
    <row r="432" spans="1:13" x14ac:dyDescent="0.3">
      <c r="A432" s="3" t="s">
        <v>331</v>
      </c>
      <c r="B432" s="3" t="s">
        <v>40</v>
      </c>
      <c r="C432" s="2">
        <v>45783</v>
      </c>
      <c r="D432" s="3" t="s">
        <v>34</v>
      </c>
      <c r="E432" s="3" t="s">
        <v>353</v>
      </c>
      <c r="F432" s="3">
        <v>7287</v>
      </c>
      <c r="G432" s="3">
        <v>1240</v>
      </c>
      <c r="H432" s="3">
        <v>686</v>
      </c>
      <c r="I432" s="3">
        <v>1255</v>
      </c>
      <c r="J432" s="3">
        <v>15403</v>
      </c>
      <c r="K432" s="3">
        <v>147971</v>
      </c>
      <c r="L432" s="3" t="s">
        <v>16</v>
      </c>
      <c r="M432" s="4">
        <v>6.2262200025680704E-2</v>
      </c>
    </row>
    <row r="433" spans="1:13" x14ac:dyDescent="0.3">
      <c r="A433" s="3" t="s">
        <v>331</v>
      </c>
      <c r="B433" s="3" t="s">
        <v>40</v>
      </c>
      <c r="C433" s="2">
        <v>45783</v>
      </c>
      <c r="D433" s="3" t="s">
        <v>34</v>
      </c>
      <c r="E433" s="3" t="s">
        <v>354</v>
      </c>
      <c r="F433" s="3">
        <v>7287</v>
      </c>
      <c r="G433" s="3">
        <v>1240</v>
      </c>
      <c r="H433" s="3">
        <v>686</v>
      </c>
      <c r="I433" s="3">
        <v>1255</v>
      </c>
      <c r="J433" s="3">
        <v>15403</v>
      </c>
      <c r="K433" s="3">
        <v>147971</v>
      </c>
      <c r="L433" s="3" t="s">
        <v>16</v>
      </c>
      <c r="M433" s="4">
        <v>6.2262200025680704E-2</v>
      </c>
    </row>
    <row r="434" spans="1:13" x14ac:dyDescent="0.3">
      <c r="A434" s="3" t="s">
        <v>121</v>
      </c>
      <c r="B434" s="3" t="s">
        <v>13</v>
      </c>
      <c r="C434" s="2">
        <v>45766</v>
      </c>
      <c r="D434" s="3" t="s">
        <v>14</v>
      </c>
      <c r="E434" s="3" t="s">
        <v>361</v>
      </c>
      <c r="F434" s="3">
        <v>8881</v>
      </c>
      <c r="G434" s="3">
        <v>210</v>
      </c>
      <c r="H434" s="3">
        <v>673</v>
      </c>
      <c r="I434" s="3">
        <v>1565</v>
      </c>
      <c r="J434" s="3">
        <v>24847</v>
      </c>
      <c r="K434" s="3">
        <v>156891</v>
      </c>
      <c r="L434" s="3" t="s">
        <v>25</v>
      </c>
      <c r="M434" s="4">
        <v>6.223429004850501E-2</v>
      </c>
    </row>
    <row r="435" spans="1:13" x14ac:dyDescent="0.3">
      <c r="A435" s="3" t="s">
        <v>121</v>
      </c>
      <c r="B435" s="3" t="s">
        <v>13</v>
      </c>
      <c r="C435" s="2">
        <v>45766</v>
      </c>
      <c r="D435" s="3" t="s">
        <v>14</v>
      </c>
      <c r="E435" s="3" t="s">
        <v>362</v>
      </c>
      <c r="F435" s="3">
        <v>8881</v>
      </c>
      <c r="G435" s="3">
        <v>210</v>
      </c>
      <c r="H435" s="3">
        <v>673</v>
      </c>
      <c r="I435" s="3">
        <v>1565</v>
      </c>
      <c r="J435" s="3">
        <v>24847</v>
      </c>
      <c r="K435" s="3">
        <v>156891</v>
      </c>
      <c r="L435" s="3" t="s">
        <v>25</v>
      </c>
      <c r="M435" s="4">
        <v>6.223429004850501E-2</v>
      </c>
    </row>
    <row r="436" spans="1:13" x14ac:dyDescent="0.3">
      <c r="A436" s="3" t="s">
        <v>192</v>
      </c>
      <c r="B436" s="3" t="s">
        <v>40</v>
      </c>
      <c r="C436" s="2">
        <v>45587</v>
      </c>
      <c r="D436" s="3" t="s">
        <v>23</v>
      </c>
      <c r="E436" s="3" t="s">
        <v>361</v>
      </c>
      <c r="F436" s="3">
        <v>12478</v>
      </c>
      <c r="G436" s="3">
        <v>484</v>
      </c>
      <c r="H436" s="3">
        <v>332</v>
      </c>
      <c r="I436" s="3">
        <v>2734</v>
      </c>
      <c r="J436" s="3">
        <v>43338</v>
      </c>
      <c r="K436" s="3">
        <v>213895</v>
      </c>
      <c r="L436" s="3" t="s">
        <v>29</v>
      </c>
      <c r="M436" s="4">
        <v>6.2151990462610156E-2</v>
      </c>
    </row>
    <row r="437" spans="1:13" x14ac:dyDescent="0.3">
      <c r="A437" s="3" t="s">
        <v>192</v>
      </c>
      <c r="B437" s="3" t="s">
        <v>40</v>
      </c>
      <c r="C437" s="2">
        <v>45587</v>
      </c>
      <c r="D437" s="3" t="s">
        <v>23</v>
      </c>
      <c r="E437" s="3" t="s">
        <v>362</v>
      </c>
      <c r="F437" s="3">
        <v>12478</v>
      </c>
      <c r="G437" s="3">
        <v>484</v>
      </c>
      <c r="H437" s="3">
        <v>332</v>
      </c>
      <c r="I437" s="3">
        <v>2734</v>
      </c>
      <c r="J437" s="3">
        <v>43338</v>
      </c>
      <c r="K437" s="3">
        <v>213895</v>
      </c>
      <c r="L437" s="3" t="s">
        <v>29</v>
      </c>
      <c r="M437" s="4">
        <v>6.2151990462610156E-2</v>
      </c>
    </row>
    <row r="438" spans="1:13" x14ac:dyDescent="0.3">
      <c r="A438" s="3" t="s">
        <v>306</v>
      </c>
      <c r="B438" s="3" t="s">
        <v>13</v>
      </c>
      <c r="C438" s="2">
        <v>45672</v>
      </c>
      <c r="D438" s="3" t="s">
        <v>23</v>
      </c>
      <c r="E438" s="3" t="s">
        <v>355</v>
      </c>
      <c r="F438" s="3">
        <v>11333</v>
      </c>
      <c r="G438" s="3">
        <v>920</v>
      </c>
      <c r="H438" s="3">
        <v>294</v>
      </c>
      <c r="I438" s="3">
        <v>606</v>
      </c>
      <c r="J438" s="3">
        <v>59490</v>
      </c>
      <c r="K438" s="3">
        <v>202082</v>
      </c>
      <c r="L438" s="3" t="s">
        <v>25</v>
      </c>
      <c r="M438" s="4">
        <v>6.2088657079799291E-2</v>
      </c>
    </row>
    <row r="439" spans="1:13" x14ac:dyDescent="0.3">
      <c r="A439" s="3" t="s">
        <v>306</v>
      </c>
      <c r="B439" s="3" t="s">
        <v>13</v>
      </c>
      <c r="C439" s="2">
        <v>45672</v>
      </c>
      <c r="D439" s="3" t="s">
        <v>23</v>
      </c>
      <c r="E439" s="3" t="s">
        <v>356</v>
      </c>
      <c r="F439" s="3">
        <v>11333</v>
      </c>
      <c r="G439" s="3">
        <v>920</v>
      </c>
      <c r="H439" s="3">
        <v>294</v>
      </c>
      <c r="I439" s="3">
        <v>606</v>
      </c>
      <c r="J439" s="3">
        <v>59490</v>
      </c>
      <c r="K439" s="3">
        <v>202082</v>
      </c>
      <c r="L439" s="3" t="s">
        <v>25</v>
      </c>
      <c r="M439" s="4">
        <v>6.2088657079799291E-2</v>
      </c>
    </row>
    <row r="440" spans="1:13" x14ac:dyDescent="0.3">
      <c r="A440" s="3" t="s">
        <v>205</v>
      </c>
      <c r="B440" s="3" t="s">
        <v>13</v>
      </c>
      <c r="C440" s="2">
        <v>45629</v>
      </c>
      <c r="D440" s="3" t="s">
        <v>14</v>
      </c>
      <c r="E440" s="3" t="s">
        <v>361</v>
      </c>
      <c r="F440" s="3">
        <v>2055</v>
      </c>
      <c r="G440" s="3">
        <v>675</v>
      </c>
      <c r="H440" s="3">
        <v>257</v>
      </c>
      <c r="I440" s="3">
        <v>820</v>
      </c>
      <c r="J440" s="3">
        <v>33534</v>
      </c>
      <c r="K440" s="3">
        <v>48125</v>
      </c>
      <c r="L440" s="3" t="s">
        <v>16</v>
      </c>
      <c r="M440" s="4">
        <v>6.2067532467532466E-2</v>
      </c>
    </row>
    <row r="441" spans="1:13" x14ac:dyDescent="0.3">
      <c r="A441" s="3" t="s">
        <v>205</v>
      </c>
      <c r="B441" s="3" t="s">
        <v>13</v>
      </c>
      <c r="C441" s="2">
        <v>45629</v>
      </c>
      <c r="D441" s="3" t="s">
        <v>14</v>
      </c>
      <c r="E441" s="3" t="s">
        <v>362</v>
      </c>
      <c r="F441" s="3">
        <v>2055</v>
      </c>
      <c r="G441" s="3">
        <v>675</v>
      </c>
      <c r="H441" s="3">
        <v>257</v>
      </c>
      <c r="I441" s="3">
        <v>820</v>
      </c>
      <c r="J441" s="3">
        <v>33534</v>
      </c>
      <c r="K441" s="3">
        <v>48125</v>
      </c>
      <c r="L441" s="3" t="s">
        <v>16</v>
      </c>
      <c r="M441" s="4">
        <v>6.2067532467532466E-2</v>
      </c>
    </row>
    <row r="442" spans="1:13" x14ac:dyDescent="0.3">
      <c r="A442" s="3" t="s">
        <v>117</v>
      </c>
      <c r="B442" s="3" t="s">
        <v>13</v>
      </c>
      <c r="C442" s="2">
        <v>45584</v>
      </c>
      <c r="D442" s="3" t="s">
        <v>34</v>
      </c>
      <c r="E442" s="3" t="s">
        <v>359</v>
      </c>
      <c r="F442" s="3">
        <v>6673</v>
      </c>
      <c r="G442" s="3">
        <v>826</v>
      </c>
      <c r="H442" s="3">
        <v>321</v>
      </c>
      <c r="I442" s="3">
        <v>577</v>
      </c>
      <c r="J442" s="3">
        <v>19262</v>
      </c>
      <c r="K442" s="3">
        <v>132324</v>
      </c>
      <c r="L442" s="3" t="s">
        <v>45</v>
      </c>
      <c r="M442" s="4">
        <v>5.9097367068710133E-2</v>
      </c>
    </row>
    <row r="443" spans="1:13" x14ac:dyDescent="0.3">
      <c r="A443" s="3" t="s">
        <v>117</v>
      </c>
      <c r="B443" s="3" t="s">
        <v>13</v>
      </c>
      <c r="C443" s="2">
        <v>45584</v>
      </c>
      <c r="D443" s="3" t="s">
        <v>34</v>
      </c>
      <c r="E443" s="3" t="s">
        <v>360</v>
      </c>
      <c r="F443" s="3">
        <v>6673</v>
      </c>
      <c r="G443" s="3">
        <v>826</v>
      </c>
      <c r="H443" s="3">
        <v>321</v>
      </c>
      <c r="I443" s="3">
        <v>577</v>
      </c>
      <c r="J443" s="3">
        <v>19262</v>
      </c>
      <c r="K443" s="3">
        <v>132324</v>
      </c>
      <c r="L443" s="3" t="s">
        <v>45</v>
      </c>
      <c r="M443" s="4">
        <v>5.9097367068710133E-2</v>
      </c>
    </row>
    <row r="444" spans="1:13" x14ac:dyDescent="0.3">
      <c r="A444" s="3" t="s">
        <v>83</v>
      </c>
      <c r="B444" s="3" t="s">
        <v>13</v>
      </c>
      <c r="C444" s="2">
        <v>45727</v>
      </c>
      <c r="D444" s="3" t="s">
        <v>34</v>
      </c>
      <c r="E444" s="3" t="s">
        <v>353</v>
      </c>
      <c r="F444" s="3">
        <v>7997</v>
      </c>
      <c r="G444" s="3">
        <v>1238</v>
      </c>
      <c r="H444" s="3">
        <v>438</v>
      </c>
      <c r="I444" s="3">
        <v>1874</v>
      </c>
      <c r="J444" s="3">
        <v>36272</v>
      </c>
      <c r="K444" s="3">
        <v>165818</v>
      </c>
      <c r="L444" s="3" t="s">
        <v>45</v>
      </c>
      <c r="M444" s="4">
        <v>5.8335042034037318E-2</v>
      </c>
    </row>
    <row r="445" spans="1:13" x14ac:dyDescent="0.3">
      <c r="A445" s="3" t="s">
        <v>83</v>
      </c>
      <c r="B445" s="3" t="s">
        <v>13</v>
      </c>
      <c r="C445" s="2">
        <v>45727</v>
      </c>
      <c r="D445" s="3" t="s">
        <v>34</v>
      </c>
      <c r="E445" s="3" t="s">
        <v>354</v>
      </c>
      <c r="F445" s="3">
        <v>7997</v>
      </c>
      <c r="G445" s="3">
        <v>1238</v>
      </c>
      <c r="H445" s="3">
        <v>438</v>
      </c>
      <c r="I445" s="3">
        <v>1874</v>
      </c>
      <c r="J445" s="3">
        <v>36272</v>
      </c>
      <c r="K445" s="3">
        <v>165818</v>
      </c>
      <c r="L445" s="3" t="s">
        <v>45</v>
      </c>
      <c r="M445" s="4">
        <v>5.8335042034037318E-2</v>
      </c>
    </row>
    <row r="446" spans="1:13" x14ac:dyDescent="0.3">
      <c r="A446" s="3" t="s">
        <v>47</v>
      </c>
      <c r="B446" s="3" t="s">
        <v>18</v>
      </c>
      <c r="C446" s="2">
        <v>45907</v>
      </c>
      <c r="D446" s="3" t="s">
        <v>23</v>
      </c>
      <c r="E446" s="3" t="s">
        <v>357</v>
      </c>
      <c r="F446" s="3">
        <v>3015</v>
      </c>
      <c r="G446" s="3">
        <v>997</v>
      </c>
      <c r="H446" s="3">
        <v>783</v>
      </c>
      <c r="I446" s="3">
        <v>617</v>
      </c>
      <c r="J446" s="3">
        <v>77167</v>
      </c>
      <c r="K446" s="3">
        <v>82229</v>
      </c>
      <c r="L446" s="3" t="s">
        <v>20</v>
      </c>
      <c r="M446" s="4">
        <v>5.8312760704860814E-2</v>
      </c>
    </row>
    <row r="447" spans="1:13" x14ac:dyDescent="0.3">
      <c r="A447" s="3" t="s">
        <v>47</v>
      </c>
      <c r="B447" s="3" t="s">
        <v>18</v>
      </c>
      <c r="C447" s="2">
        <v>45907</v>
      </c>
      <c r="D447" s="3" t="s">
        <v>23</v>
      </c>
      <c r="E447" s="3" t="s">
        <v>358</v>
      </c>
      <c r="F447" s="3">
        <v>3015</v>
      </c>
      <c r="G447" s="3">
        <v>997</v>
      </c>
      <c r="H447" s="3">
        <v>783</v>
      </c>
      <c r="I447" s="3">
        <v>617</v>
      </c>
      <c r="J447" s="3">
        <v>77167</v>
      </c>
      <c r="K447" s="3">
        <v>82229</v>
      </c>
      <c r="L447" s="3" t="s">
        <v>20</v>
      </c>
      <c r="M447" s="4">
        <v>5.8312760704860814E-2</v>
      </c>
    </row>
    <row r="448" spans="1:13" x14ac:dyDescent="0.3">
      <c r="A448" s="3" t="s">
        <v>324</v>
      </c>
      <c r="B448" s="3" t="s">
        <v>22</v>
      </c>
      <c r="C448" s="2">
        <v>45764</v>
      </c>
      <c r="D448" s="3" t="s">
        <v>23</v>
      </c>
      <c r="E448" s="3" t="s">
        <v>363</v>
      </c>
      <c r="F448" s="3">
        <v>2009</v>
      </c>
      <c r="G448" s="3">
        <v>1037</v>
      </c>
      <c r="H448" s="3">
        <v>344</v>
      </c>
      <c r="I448" s="3">
        <v>2277</v>
      </c>
      <c r="J448" s="3">
        <v>85743</v>
      </c>
      <c r="K448" s="3">
        <v>58743</v>
      </c>
      <c r="L448" s="3" t="s">
        <v>29</v>
      </c>
      <c r="M448" s="4">
        <v>5.7709003625963942E-2</v>
      </c>
    </row>
    <row r="449" spans="1:13" x14ac:dyDescent="0.3">
      <c r="A449" s="3" t="s">
        <v>324</v>
      </c>
      <c r="B449" s="3" t="s">
        <v>22</v>
      </c>
      <c r="C449" s="2">
        <v>45764</v>
      </c>
      <c r="D449" s="3" t="s">
        <v>23</v>
      </c>
      <c r="E449" s="3" t="s">
        <v>364</v>
      </c>
      <c r="F449" s="3">
        <v>2009</v>
      </c>
      <c r="G449" s="3">
        <v>1037</v>
      </c>
      <c r="H449" s="3">
        <v>344</v>
      </c>
      <c r="I449" s="3">
        <v>2277</v>
      </c>
      <c r="J449" s="3">
        <v>85743</v>
      </c>
      <c r="K449" s="3">
        <v>58743</v>
      </c>
      <c r="L449" s="3" t="s">
        <v>29</v>
      </c>
      <c r="M449" s="4">
        <v>5.7709003625963942E-2</v>
      </c>
    </row>
    <row r="450" spans="1:13" x14ac:dyDescent="0.3">
      <c r="A450" s="3" t="s">
        <v>67</v>
      </c>
      <c r="B450" s="3" t="s">
        <v>22</v>
      </c>
      <c r="C450" s="2">
        <v>45504</v>
      </c>
      <c r="D450" s="3" t="s">
        <v>14</v>
      </c>
      <c r="E450" s="3" t="s">
        <v>359</v>
      </c>
      <c r="F450" s="3">
        <v>2404</v>
      </c>
      <c r="G450" s="3">
        <v>774</v>
      </c>
      <c r="H450" s="3">
        <v>661</v>
      </c>
      <c r="I450" s="3">
        <v>662</v>
      </c>
      <c r="J450" s="3">
        <v>12676</v>
      </c>
      <c r="K450" s="3">
        <v>66916</v>
      </c>
      <c r="L450" s="3" t="s">
        <v>16</v>
      </c>
      <c r="M450" s="4">
        <v>5.7370434574690654E-2</v>
      </c>
    </row>
    <row r="451" spans="1:13" x14ac:dyDescent="0.3">
      <c r="A451" s="3" t="s">
        <v>67</v>
      </c>
      <c r="B451" s="3" t="s">
        <v>22</v>
      </c>
      <c r="C451" s="2">
        <v>45504</v>
      </c>
      <c r="D451" s="3" t="s">
        <v>14</v>
      </c>
      <c r="E451" s="3" t="s">
        <v>366</v>
      </c>
      <c r="F451" s="3">
        <v>2404</v>
      </c>
      <c r="G451" s="3">
        <v>774</v>
      </c>
      <c r="H451" s="3">
        <v>661</v>
      </c>
      <c r="I451" s="3">
        <v>662</v>
      </c>
      <c r="J451" s="3">
        <v>12676</v>
      </c>
      <c r="K451" s="3">
        <v>66916</v>
      </c>
      <c r="L451" s="3" t="s">
        <v>16</v>
      </c>
      <c r="M451" s="4">
        <v>5.7370434574690654E-2</v>
      </c>
    </row>
    <row r="452" spans="1:13" x14ac:dyDescent="0.3">
      <c r="A452" s="3" t="s">
        <v>169</v>
      </c>
      <c r="B452" s="3" t="s">
        <v>22</v>
      </c>
      <c r="C452" s="2">
        <v>45694</v>
      </c>
      <c r="D452" s="3" t="s">
        <v>14</v>
      </c>
      <c r="E452" s="3" t="s">
        <v>353</v>
      </c>
      <c r="F452" s="3">
        <v>2666</v>
      </c>
      <c r="G452" s="3">
        <v>1136</v>
      </c>
      <c r="H452" s="3">
        <v>989</v>
      </c>
      <c r="I452" s="3">
        <v>1710</v>
      </c>
      <c r="J452" s="3">
        <v>36467</v>
      </c>
      <c r="K452" s="3">
        <v>83753</v>
      </c>
      <c r="L452" s="3" t="s">
        <v>25</v>
      </c>
      <c r="M452" s="4">
        <v>5.7203921053574198E-2</v>
      </c>
    </row>
    <row r="453" spans="1:13" x14ac:dyDescent="0.3">
      <c r="A453" s="3" t="s">
        <v>169</v>
      </c>
      <c r="B453" s="3" t="s">
        <v>22</v>
      </c>
      <c r="C453" s="2">
        <v>45694</v>
      </c>
      <c r="D453" s="3" t="s">
        <v>14</v>
      </c>
      <c r="E453" s="3" t="s">
        <v>354</v>
      </c>
      <c r="F453" s="3">
        <v>2666</v>
      </c>
      <c r="G453" s="3">
        <v>1136</v>
      </c>
      <c r="H453" s="3">
        <v>989</v>
      </c>
      <c r="I453" s="3">
        <v>1710</v>
      </c>
      <c r="J453" s="3">
        <v>36467</v>
      </c>
      <c r="K453" s="3">
        <v>83753</v>
      </c>
      <c r="L453" s="3" t="s">
        <v>25</v>
      </c>
      <c r="M453" s="4">
        <v>5.7203921053574198E-2</v>
      </c>
    </row>
    <row r="454" spans="1:13" x14ac:dyDescent="0.3">
      <c r="A454" s="3" t="s">
        <v>62</v>
      </c>
      <c r="B454" s="3" t="s">
        <v>40</v>
      </c>
      <c r="C454" s="2">
        <v>45720</v>
      </c>
      <c r="D454" s="3" t="s">
        <v>23</v>
      </c>
      <c r="E454" s="3" t="s">
        <v>32</v>
      </c>
      <c r="F454" s="3">
        <v>12344</v>
      </c>
      <c r="G454" s="3">
        <v>815</v>
      </c>
      <c r="H454" s="3">
        <v>298</v>
      </c>
      <c r="I454" s="3">
        <v>2439</v>
      </c>
      <c r="J454" s="3">
        <v>6259</v>
      </c>
      <c r="K454" s="3">
        <v>237133</v>
      </c>
      <c r="L454" s="3" t="s">
        <v>29</v>
      </c>
      <c r="M454" s="4">
        <v>5.6748744375519224E-2</v>
      </c>
    </row>
    <row r="455" spans="1:13" x14ac:dyDescent="0.3">
      <c r="A455" s="3" t="s">
        <v>132</v>
      </c>
      <c r="B455" s="3" t="s">
        <v>40</v>
      </c>
      <c r="C455" s="2">
        <v>45545</v>
      </c>
      <c r="D455" s="3" t="s">
        <v>34</v>
      </c>
      <c r="E455" s="3" t="s">
        <v>363</v>
      </c>
      <c r="F455" s="3">
        <v>6637</v>
      </c>
      <c r="G455" s="3">
        <v>595</v>
      </c>
      <c r="H455" s="3">
        <v>161</v>
      </c>
      <c r="I455" s="3">
        <v>2653</v>
      </c>
      <c r="J455" s="3">
        <v>19334</v>
      </c>
      <c r="K455" s="3">
        <v>131155</v>
      </c>
      <c r="L455" s="3" t="s">
        <v>25</v>
      </c>
      <c r="M455" s="4">
        <v>5.6368419046166747E-2</v>
      </c>
    </row>
    <row r="456" spans="1:13" x14ac:dyDescent="0.3">
      <c r="A456" s="3" t="s">
        <v>132</v>
      </c>
      <c r="B456" s="3" t="s">
        <v>40</v>
      </c>
      <c r="C456" s="2">
        <v>45545</v>
      </c>
      <c r="D456" s="3" t="s">
        <v>34</v>
      </c>
      <c r="E456" s="3" t="s">
        <v>364</v>
      </c>
      <c r="F456" s="3">
        <v>6637</v>
      </c>
      <c r="G456" s="3">
        <v>595</v>
      </c>
      <c r="H456" s="3">
        <v>161</v>
      </c>
      <c r="I456" s="3">
        <v>2653</v>
      </c>
      <c r="J456" s="3">
        <v>19334</v>
      </c>
      <c r="K456" s="3">
        <v>131155</v>
      </c>
      <c r="L456" s="3" t="s">
        <v>25</v>
      </c>
      <c r="M456" s="4">
        <v>5.6368419046166747E-2</v>
      </c>
    </row>
    <row r="457" spans="1:13" x14ac:dyDescent="0.3">
      <c r="A457" s="3" t="s">
        <v>123</v>
      </c>
      <c r="B457" s="3" t="s">
        <v>40</v>
      </c>
      <c r="C457" s="2">
        <v>45449</v>
      </c>
      <c r="D457" s="3" t="s">
        <v>23</v>
      </c>
      <c r="E457" s="3" t="s">
        <v>365</v>
      </c>
      <c r="F457" s="3">
        <v>11521</v>
      </c>
      <c r="G457" s="3">
        <v>1071</v>
      </c>
      <c r="H457" s="3">
        <v>762</v>
      </c>
      <c r="I457" s="3">
        <v>2539</v>
      </c>
      <c r="J457" s="3">
        <v>12701</v>
      </c>
      <c r="K457" s="3">
        <v>238350</v>
      </c>
      <c r="L457" s="3" t="s">
        <v>25</v>
      </c>
      <c r="M457" s="4">
        <v>5.6026851269142017E-2</v>
      </c>
    </row>
    <row r="458" spans="1:13" x14ac:dyDescent="0.3">
      <c r="A458" s="3" t="s">
        <v>123</v>
      </c>
      <c r="B458" s="3" t="s">
        <v>40</v>
      </c>
      <c r="C458" s="2">
        <v>45449</v>
      </c>
      <c r="D458" s="3" t="s">
        <v>23</v>
      </c>
      <c r="E458" s="3" t="s">
        <v>359</v>
      </c>
      <c r="F458" s="3">
        <v>11521</v>
      </c>
      <c r="G458" s="3">
        <v>1071</v>
      </c>
      <c r="H458" s="3">
        <v>762</v>
      </c>
      <c r="I458" s="3">
        <v>2539</v>
      </c>
      <c r="J458" s="3">
        <v>12701</v>
      </c>
      <c r="K458" s="3">
        <v>238350</v>
      </c>
      <c r="L458" s="3" t="s">
        <v>25</v>
      </c>
      <c r="M458" s="4">
        <v>5.6026851269142017E-2</v>
      </c>
    </row>
    <row r="459" spans="1:13" x14ac:dyDescent="0.3">
      <c r="A459" s="3" t="s">
        <v>84</v>
      </c>
      <c r="B459" s="3" t="s">
        <v>40</v>
      </c>
      <c r="C459" s="2">
        <v>45918</v>
      </c>
      <c r="D459" s="3" t="s">
        <v>34</v>
      </c>
      <c r="E459" s="3" t="s">
        <v>359</v>
      </c>
      <c r="F459" s="3">
        <v>4048</v>
      </c>
      <c r="G459" s="3">
        <v>677</v>
      </c>
      <c r="H459" s="3">
        <v>911</v>
      </c>
      <c r="I459" s="3">
        <v>2429</v>
      </c>
      <c r="J459" s="3">
        <v>27361</v>
      </c>
      <c r="K459" s="3">
        <v>101272</v>
      </c>
      <c r="L459" s="3" t="s">
        <v>20</v>
      </c>
      <c r="M459" s="4">
        <v>5.5652105221581483E-2</v>
      </c>
    </row>
    <row r="460" spans="1:13" x14ac:dyDescent="0.3">
      <c r="A460" s="3" t="s">
        <v>84</v>
      </c>
      <c r="B460" s="3" t="s">
        <v>40</v>
      </c>
      <c r="C460" s="2">
        <v>45918</v>
      </c>
      <c r="D460" s="3" t="s">
        <v>34</v>
      </c>
      <c r="E460" s="3" t="s">
        <v>366</v>
      </c>
      <c r="F460" s="3">
        <v>4048</v>
      </c>
      <c r="G460" s="3">
        <v>677</v>
      </c>
      <c r="H460" s="3">
        <v>911</v>
      </c>
      <c r="I460" s="3">
        <v>2429</v>
      </c>
      <c r="J460" s="3">
        <v>27361</v>
      </c>
      <c r="K460" s="3">
        <v>101272</v>
      </c>
      <c r="L460" s="3" t="s">
        <v>20</v>
      </c>
      <c r="M460" s="4">
        <v>5.5652105221581483E-2</v>
      </c>
    </row>
    <row r="461" spans="1:13" x14ac:dyDescent="0.3">
      <c r="A461" s="3" t="s">
        <v>53</v>
      </c>
      <c r="B461" s="3" t="s">
        <v>13</v>
      </c>
      <c r="C461" s="2">
        <v>45544</v>
      </c>
      <c r="D461" s="3" t="s">
        <v>27</v>
      </c>
      <c r="E461" s="3" t="s">
        <v>357</v>
      </c>
      <c r="F461" s="3">
        <v>6158</v>
      </c>
      <c r="G461" s="3">
        <v>277</v>
      </c>
      <c r="H461" s="3">
        <v>512</v>
      </c>
      <c r="I461" s="3">
        <v>2189</v>
      </c>
      <c r="J461" s="3">
        <v>76881</v>
      </c>
      <c r="K461" s="3">
        <v>124878</v>
      </c>
      <c r="L461" s="3" t="s">
        <v>29</v>
      </c>
      <c r="M461" s="4">
        <v>5.563029516808405E-2</v>
      </c>
    </row>
    <row r="462" spans="1:13" x14ac:dyDescent="0.3">
      <c r="A462" s="3" t="s">
        <v>53</v>
      </c>
      <c r="B462" s="3" t="s">
        <v>13</v>
      </c>
      <c r="C462" s="2">
        <v>45544</v>
      </c>
      <c r="D462" s="3" t="s">
        <v>27</v>
      </c>
      <c r="E462" s="3" t="s">
        <v>358</v>
      </c>
      <c r="F462" s="3">
        <v>6158</v>
      </c>
      <c r="G462" s="3">
        <v>277</v>
      </c>
      <c r="H462" s="3">
        <v>512</v>
      </c>
      <c r="I462" s="3">
        <v>2189</v>
      </c>
      <c r="J462" s="3">
        <v>76881</v>
      </c>
      <c r="K462" s="3">
        <v>124878</v>
      </c>
      <c r="L462" s="3" t="s">
        <v>29</v>
      </c>
      <c r="M462" s="4">
        <v>5.563029516808405E-2</v>
      </c>
    </row>
    <row r="463" spans="1:13" x14ac:dyDescent="0.3">
      <c r="A463" s="3" t="s">
        <v>138</v>
      </c>
      <c r="B463" s="3" t="s">
        <v>40</v>
      </c>
      <c r="C463" s="2">
        <v>45926</v>
      </c>
      <c r="D463" s="3" t="s">
        <v>34</v>
      </c>
      <c r="E463" s="3" t="s">
        <v>32</v>
      </c>
      <c r="F463" s="3">
        <v>9043</v>
      </c>
      <c r="G463" s="3">
        <v>1192</v>
      </c>
      <c r="H463" s="3">
        <v>810</v>
      </c>
      <c r="I463" s="3">
        <v>1550</v>
      </c>
      <c r="J463" s="3">
        <v>5221</v>
      </c>
      <c r="K463" s="3">
        <v>199476</v>
      </c>
      <c r="L463" s="3" t="s">
        <v>20</v>
      </c>
      <c r="M463" s="4">
        <v>5.5370069582305642E-2</v>
      </c>
    </row>
    <row r="464" spans="1:13" x14ac:dyDescent="0.3">
      <c r="A464" s="3" t="s">
        <v>104</v>
      </c>
      <c r="B464" s="3" t="s">
        <v>18</v>
      </c>
      <c r="C464" s="2">
        <v>45724</v>
      </c>
      <c r="D464" s="3" t="s">
        <v>23</v>
      </c>
      <c r="E464" s="3" t="s">
        <v>363</v>
      </c>
      <c r="F464" s="3">
        <v>10580</v>
      </c>
      <c r="G464" s="3">
        <v>427</v>
      </c>
      <c r="H464" s="3">
        <v>790</v>
      </c>
      <c r="I464" s="3">
        <v>2814</v>
      </c>
      <c r="J464" s="3">
        <v>24916</v>
      </c>
      <c r="K464" s="3">
        <v>213312</v>
      </c>
      <c r="L464" s="3" t="s">
        <v>45</v>
      </c>
      <c r="M464" s="4">
        <v>5.530396789678968E-2</v>
      </c>
    </row>
    <row r="465" spans="1:13" x14ac:dyDescent="0.3">
      <c r="A465" s="3" t="s">
        <v>104</v>
      </c>
      <c r="B465" s="3" t="s">
        <v>18</v>
      </c>
      <c r="C465" s="2">
        <v>45724</v>
      </c>
      <c r="D465" s="3" t="s">
        <v>23</v>
      </c>
      <c r="E465" s="3" t="s">
        <v>364</v>
      </c>
      <c r="F465" s="3">
        <v>10580</v>
      </c>
      <c r="G465" s="3">
        <v>427</v>
      </c>
      <c r="H465" s="3">
        <v>790</v>
      </c>
      <c r="I465" s="3">
        <v>2814</v>
      </c>
      <c r="J465" s="3">
        <v>24916</v>
      </c>
      <c r="K465" s="3">
        <v>213312</v>
      </c>
      <c r="L465" s="3" t="s">
        <v>45</v>
      </c>
      <c r="M465" s="4">
        <v>5.530396789678968E-2</v>
      </c>
    </row>
    <row r="466" spans="1:13" x14ac:dyDescent="0.3">
      <c r="A466" s="3" t="s">
        <v>156</v>
      </c>
      <c r="B466" s="3" t="s">
        <v>22</v>
      </c>
      <c r="C466" s="2">
        <v>45586</v>
      </c>
      <c r="D466" s="3" t="s">
        <v>27</v>
      </c>
      <c r="E466" s="3" t="s">
        <v>359</v>
      </c>
      <c r="F466" s="3">
        <v>8254</v>
      </c>
      <c r="G466" s="3">
        <v>1405</v>
      </c>
      <c r="H466" s="3">
        <v>165</v>
      </c>
      <c r="I466" s="3">
        <v>2504</v>
      </c>
      <c r="J466" s="3">
        <v>8081</v>
      </c>
      <c r="K466" s="3">
        <v>177710</v>
      </c>
      <c r="L466" s="3" t="s">
        <v>16</v>
      </c>
      <c r="M466" s="4">
        <v>5.5281075910190762E-2</v>
      </c>
    </row>
    <row r="467" spans="1:13" x14ac:dyDescent="0.3">
      <c r="A467" s="3" t="s">
        <v>156</v>
      </c>
      <c r="B467" s="3" t="s">
        <v>22</v>
      </c>
      <c r="C467" s="2">
        <v>45586</v>
      </c>
      <c r="D467" s="3" t="s">
        <v>27</v>
      </c>
      <c r="E467" s="3" t="s">
        <v>360</v>
      </c>
      <c r="F467" s="3">
        <v>8254</v>
      </c>
      <c r="G467" s="3">
        <v>1405</v>
      </c>
      <c r="H467" s="3">
        <v>165</v>
      </c>
      <c r="I467" s="3">
        <v>2504</v>
      </c>
      <c r="J467" s="3">
        <v>8081</v>
      </c>
      <c r="K467" s="3">
        <v>177710</v>
      </c>
      <c r="L467" s="3" t="s">
        <v>16</v>
      </c>
      <c r="M467" s="4">
        <v>5.5281075910190762E-2</v>
      </c>
    </row>
    <row r="468" spans="1:13" x14ac:dyDescent="0.3">
      <c r="A468" s="3" t="s">
        <v>329</v>
      </c>
      <c r="B468" s="3" t="s">
        <v>22</v>
      </c>
      <c r="C468" s="2">
        <v>45791</v>
      </c>
      <c r="D468" s="3" t="s">
        <v>14</v>
      </c>
      <c r="E468" s="3" t="s">
        <v>359</v>
      </c>
      <c r="F468" s="3">
        <v>9041</v>
      </c>
      <c r="G468" s="3">
        <v>1133</v>
      </c>
      <c r="H468" s="3">
        <v>612</v>
      </c>
      <c r="I468" s="3">
        <v>1687</v>
      </c>
      <c r="J468" s="3">
        <v>28102</v>
      </c>
      <c r="K468" s="3">
        <v>195683</v>
      </c>
      <c r="L468" s="3" t="s">
        <v>29</v>
      </c>
      <c r="M468" s="4">
        <v>5.5119760020032396E-2</v>
      </c>
    </row>
    <row r="469" spans="1:13" x14ac:dyDescent="0.3">
      <c r="A469" s="3" t="s">
        <v>329</v>
      </c>
      <c r="B469" s="3" t="s">
        <v>22</v>
      </c>
      <c r="C469" s="2">
        <v>45791</v>
      </c>
      <c r="D469" s="3" t="s">
        <v>14</v>
      </c>
      <c r="E469" s="3" t="s">
        <v>366</v>
      </c>
      <c r="F469" s="3">
        <v>9041</v>
      </c>
      <c r="G469" s="3">
        <v>1133</v>
      </c>
      <c r="H469" s="3">
        <v>612</v>
      </c>
      <c r="I469" s="3">
        <v>1687</v>
      </c>
      <c r="J469" s="3">
        <v>28102</v>
      </c>
      <c r="K469" s="3">
        <v>195683</v>
      </c>
      <c r="L469" s="3" t="s">
        <v>29</v>
      </c>
      <c r="M469" s="4">
        <v>5.5119760020032396E-2</v>
      </c>
    </row>
    <row r="470" spans="1:13" x14ac:dyDescent="0.3">
      <c r="A470" s="3" t="s">
        <v>149</v>
      </c>
      <c r="B470" s="3" t="s">
        <v>18</v>
      </c>
      <c r="C470" s="2">
        <v>45929</v>
      </c>
      <c r="D470" s="3" t="s">
        <v>27</v>
      </c>
      <c r="E470" s="3" t="s">
        <v>367</v>
      </c>
      <c r="F470" s="3">
        <v>7569</v>
      </c>
      <c r="G470" s="3">
        <v>803</v>
      </c>
      <c r="H470" s="3">
        <v>804</v>
      </c>
      <c r="I470" s="3">
        <v>1753</v>
      </c>
      <c r="J470" s="3">
        <v>43582</v>
      </c>
      <c r="K470" s="3">
        <v>166945</v>
      </c>
      <c r="L470" s="3" t="s">
        <v>20</v>
      </c>
      <c r="M470" s="4">
        <v>5.4964209769684629E-2</v>
      </c>
    </row>
    <row r="471" spans="1:13" x14ac:dyDescent="0.3">
      <c r="A471" s="3" t="s">
        <v>149</v>
      </c>
      <c r="B471" s="3" t="s">
        <v>18</v>
      </c>
      <c r="C471" s="2">
        <v>45929</v>
      </c>
      <c r="D471" s="3" t="s">
        <v>27</v>
      </c>
      <c r="E471" s="3" t="s">
        <v>32</v>
      </c>
      <c r="F471" s="3">
        <v>7569</v>
      </c>
      <c r="G471" s="3">
        <v>803</v>
      </c>
      <c r="H471" s="3">
        <v>804</v>
      </c>
      <c r="I471" s="3">
        <v>1753</v>
      </c>
      <c r="J471" s="3">
        <v>43582</v>
      </c>
      <c r="K471" s="3">
        <v>166945</v>
      </c>
      <c r="L471" s="3" t="s">
        <v>20</v>
      </c>
      <c r="M471" s="4">
        <v>5.4964209769684629E-2</v>
      </c>
    </row>
    <row r="472" spans="1:13" x14ac:dyDescent="0.3">
      <c r="A472" s="3" t="s">
        <v>233</v>
      </c>
      <c r="B472" s="3" t="s">
        <v>40</v>
      </c>
      <c r="C472" s="2">
        <v>45587</v>
      </c>
      <c r="D472" s="3" t="s">
        <v>23</v>
      </c>
      <c r="E472" s="3" t="s">
        <v>357</v>
      </c>
      <c r="F472" s="3">
        <v>7750</v>
      </c>
      <c r="G472" s="3">
        <v>1146</v>
      </c>
      <c r="H472" s="3">
        <v>415</v>
      </c>
      <c r="I472" s="3">
        <v>1411</v>
      </c>
      <c r="J472" s="3">
        <v>85339</v>
      </c>
      <c r="K472" s="3">
        <v>172439</v>
      </c>
      <c r="L472" s="3" t="s">
        <v>25</v>
      </c>
      <c r="M472" s="4">
        <v>5.3995905798572247E-2</v>
      </c>
    </row>
    <row r="473" spans="1:13" x14ac:dyDescent="0.3">
      <c r="A473" s="3" t="s">
        <v>233</v>
      </c>
      <c r="B473" s="3" t="s">
        <v>40</v>
      </c>
      <c r="C473" s="2">
        <v>45587</v>
      </c>
      <c r="D473" s="3" t="s">
        <v>23</v>
      </c>
      <c r="E473" s="3" t="s">
        <v>358</v>
      </c>
      <c r="F473" s="3">
        <v>7750</v>
      </c>
      <c r="G473" s="3">
        <v>1146</v>
      </c>
      <c r="H473" s="3">
        <v>415</v>
      </c>
      <c r="I473" s="3">
        <v>1411</v>
      </c>
      <c r="J473" s="3">
        <v>85339</v>
      </c>
      <c r="K473" s="3">
        <v>172439</v>
      </c>
      <c r="L473" s="3" t="s">
        <v>25</v>
      </c>
      <c r="M473" s="4">
        <v>5.3995905798572247E-2</v>
      </c>
    </row>
    <row r="474" spans="1:13" x14ac:dyDescent="0.3">
      <c r="A474" s="3" t="s">
        <v>130</v>
      </c>
      <c r="B474" s="3" t="s">
        <v>40</v>
      </c>
      <c r="C474" s="2">
        <v>45603</v>
      </c>
      <c r="D474" s="3" t="s">
        <v>34</v>
      </c>
      <c r="E474" s="3" t="s">
        <v>365</v>
      </c>
      <c r="F474" s="3">
        <v>11550</v>
      </c>
      <c r="G474" s="3">
        <v>501</v>
      </c>
      <c r="H474" s="3">
        <v>646</v>
      </c>
      <c r="I474" s="3">
        <v>773</v>
      </c>
      <c r="J474" s="3">
        <v>17841</v>
      </c>
      <c r="K474" s="3">
        <v>237576</v>
      </c>
      <c r="L474" s="3" t="s">
        <v>29</v>
      </c>
      <c r="M474" s="4">
        <v>5.3443950567397383E-2</v>
      </c>
    </row>
    <row r="475" spans="1:13" x14ac:dyDescent="0.3">
      <c r="A475" s="3" t="s">
        <v>130</v>
      </c>
      <c r="B475" s="3" t="s">
        <v>40</v>
      </c>
      <c r="C475" s="2">
        <v>45603</v>
      </c>
      <c r="D475" s="3" t="s">
        <v>34</v>
      </c>
      <c r="E475" s="3" t="s">
        <v>359</v>
      </c>
      <c r="F475" s="3">
        <v>11550</v>
      </c>
      <c r="G475" s="3">
        <v>501</v>
      </c>
      <c r="H475" s="3">
        <v>646</v>
      </c>
      <c r="I475" s="3">
        <v>773</v>
      </c>
      <c r="J475" s="3">
        <v>17841</v>
      </c>
      <c r="K475" s="3">
        <v>237576</v>
      </c>
      <c r="L475" s="3" t="s">
        <v>29</v>
      </c>
      <c r="M475" s="4">
        <v>5.3443950567397383E-2</v>
      </c>
    </row>
    <row r="476" spans="1:13" x14ac:dyDescent="0.3">
      <c r="A476" s="3" t="s">
        <v>65</v>
      </c>
      <c r="B476" s="3" t="s">
        <v>18</v>
      </c>
      <c r="C476" s="2">
        <v>45713</v>
      </c>
      <c r="D476" s="3" t="s">
        <v>34</v>
      </c>
      <c r="E476" s="3" t="s">
        <v>367</v>
      </c>
      <c r="F476" s="3">
        <v>10702</v>
      </c>
      <c r="G476" s="3">
        <v>621</v>
      </c>
      <c r="H476" s="3">
        <v>445</v>
      </c>
      <c r="I476" s="3">
        <v>2918</v>
      </c>
      <c r="J476" s="3">
        <v>54808</v>
      </c>
      <c r="K476" s="3">
        <v>220225</v>
      </c>
      <c r="L476" s="3" t="s">
        <v>16</v>
      </c>
      <c r="M476" s="4">
        <v>5.3436258372119426E-2</v>
      </c>
    </row>
    <row r="477" spans="1:13" x14ac:dyDescent="0.3">
      <c r="A477" s="3" t="s">
        <v>65</v>
      </c>
      <c r="B477" s="3" t="s">
        <v>18</v>
      </c>
      <c r="C477" s="2">
        <v>45713</v>
      </c>
      <c r="D477" s="3" t="s">
        <v>34</v>
      </c>
      <c r="E477" s="3" t="s">
        <v>32</v>
      </c>
      <c r="F477" s="3">
        <v>10702</v>
      </c>
      <c r="G477" s="3">
        <v>621</v>
      </c>
      <c r="H477" s="3">
        <v>445</v>
      </c>
      <c r="I477" s="3">
        <v>2918</v>
      </c>
      <c r="J477" s="3">
        <v>54808</v>
      </c>
      <c r="K477" s="3">
        <v>220225</v>
      </c>
      <c r="L477" s="3" t="s">
        <v>16</v>
      </c>
      <c r="M477" s="4">
        <v>5.3436258372119426E-2</v>
      </c>
    </row>
    <row r="478" spans="1:13" x14ac:dyDescent="0.3">
      <c r="A478" s="3" t="s">
        <v>43</v>
      </c>
      <c r="B478" s="3" t="s">
        <v>13</v>
      </c>
      <c r="C478" s="2">
        <v>45494</v>
      </c>
      <c r="D478" s="3" t="s">
        <v>23</v>
      </c>
      <c r="E478" s="3" t="s">
        <v>355</v>
      </c>
      <c r="F478" s="3">
        <v>2009</v>
      </c>
      <c r="G478" s="3">
        <v>1072</v>
      </c>
      <c r="H478" s="3">
        <v>550</v>
      </c>
      <c r="I478" s="3">
        <v>1437</v>
      </c>
      <c r="J478" s="3">
        <v>22982</v>
      </c>
      <c r="K478" s="3">
        <v>69426</v>
      </c>
      <c r="L478" s="3" t="s">
        <v>29</v>
      </c>
      <c r="M478" s="4">
        <v>5.2300290957278256E-2</v>
      </c>
    </row>
    <row r="479" spans="1:13" x14ac:dyDescent="0.3">
      <c r="A479" s="3" t="s">
        <v>43</v>
      </c>
      <c r="B479" s="3" t="s">
        <v>13</v>
      </c>
      <c r="C479" s="2">
        <v>45494</v>
      </c>
      <c r="D479" s="3" t="s">
        <v>23</v>
      </c>
      <c r="E479" s="3" t="s">
        <v>356</v>
      </c>
      <c r="F479" s="3">
        <v>2009</v>
      </c>
      <c r="G479" s="3">
        <v>1072</v>
      </c>
      <c r="H479" s="3">
        <v>550</v>
      </c>
      <c r="I479" s="3">
        <v>1437</v>
      </c>
      <c r="J479" s="3">
        <v>22982</v>
      </c>
      <c r="K479" s="3">
        <v>69426</v>
      </c>
      <c r="L479" s="3" t="s">
        <v>29</v>
      </c>
      <c r="M479" s="4">
        <v>5.2300290957278256E-2</v>
      </c>
    </row>
    <row r="480" spans="1:13" x14ac:dyDescent="0.3">
      <c r="A480" s="3" t="s">
        <v>305</v>
      </c>
      <c r="B480" s="3" t="s">
        <v>13</v>
      </c>
      <c r="C480" s="2">
        <v>45601</v>
      </c>
      <c r="D480" s="3" t="s">
        <v>23</v>
      </c>
      <c r="E480" s="3" t="s">
        <v>64</v>
      </c>
      <c r="F480" s="3">
        <v>8469</v>
      </c>
      <c r="G480" s="3">
        <v>935</v>
      </c>
      <c r="H480" s="3">
        <v>211</v>
      </c>
      <c r="I480" s="3">
        <v>2635</v>
      </c>
      <c r="J480" s="3">
        <v>21890</v>
      </c>
      <c r="K480" s="3">
        <v>184539</v>
      </c>
      <c r="L480" s="3" t="s">
        <v>45</v>
      </c>
      <c r="M480" s="4">
        <v>5.2102807536618279E-2</v>
      </c>
    </row>
    <row r="481" spans="1:13" x14ac:dyDescent="0.3">
      <c r="A481" s="3" t="s">
        <v>38</v>
      </c>
      <c r="B481" s="3" t="s">
        <v>13</v>
      </c>
      <c r="C481" s="2">
        <v>45534</v>
      </c>
      <c r="D481" s="3" t="s">
        <v>34</v>
      </c>
      <c r="E481" s="3" t="s">
        <v>355</v>
      </c>
      <c r="F481" s="3">
        <v>6804</v>
      </c>
      <c r="G481" s="3">
        <v>787</v>
      </c>
      <c r="H481" s="3">
        <v>970</v>
      </c>
      <c r="I481" s="3">
        <v>1095</v>
      </c>
      <c r="J481" s="3">
        <v>56343</v>
      </c>
      <c r="K481" s="3">
        <v>164677</v>
      </c>
      <c r="L481" s="3" t="s">
        <v>16</v>
      </c>
      <c r="M481" s="4">
        <v>5.1986616224487935E-2</v>
      </c>
    </row>
    <row r="482" spans="1:13" x14ac:dyDescent="0.3">
      <c r="A482" s="3" t="s">
        <v>38</v>
      </c>
      <c r="B482" s="3" t="s">
        <v>13</v>
      </c>
      <c r="C482" s="2">
        <v>45534</v>
      </c>
      <c r="D482" s="3" t="s">
        <v>34</v>
      </c>
      <c r="E482" s="3" t="s">
        <v>356</v>
      </c>
      <c r="F482" s="3">
        <v>6804</v>
      </c>
      <c r="G482" s="3">
        <v>787</v>
      </c>
      <c r="H482" s="3">
        <v>970</v>
      </c>
      <c r="I482" s="3">
        <v>1095</v>
      </c>
      <c r="J482" s="3">
        <v>56343</v>
      </c>
      <c r="K482" s="3">
        <v>164677</v>
      </c>
      <c r="L482" s="3" t="s">
        <v>16</v>
      </c>
      <c r="M482" s="4">
        <v>5.1986616224487935E-2</v>
      </c>
    </row>
    <row r="483" spans="1:13" x14ac:dyDescent="0.3">
      <c r="A483" s="3" t="s">
        <v>66</v>
      </c>
      <c r="B483" s="3" t="s">
        <v>22</v>
      </c>
      <c r="C483" s="2">
        <v>45642</v>
      </c>
      <c r="D483" s="3" t="s">
        <v>14</v>
      </c>
      <c r="E483" s="3" t="s">
        <v>359</v>
      </c>
      <c r="F483" s="3">
        <v>2384</v>
      </c>
      <c r="G483" s="3">
        <v>1246</v>
      </c>
      <c r="H483" s="3">
        <v>160</v>
      </c>
      <c r="I483" s="3">
        <v>2004</v>
      </c>
      <c r="J483" s="3">
        <v>2701</v>
      </c>
      <c r="K483" s="3">
        <v>73142</v>
      </c>
      <c r="L483" s="3" t="s">
        <v>16</v>
      </c>
      <c r="M483" s="4">
        <v>5.1817013480626728E-2</v>
      </c>
    </row>
    <row r="484" spans="1:13" x14ac:dyDescent="0.3">
      <c r="A484" s="3" t="s">
        <v>66</v>
      </c>
      <c r="B484" s="3" t="s">
        <v>22</v>
      </c>
      <c r="C484" s="2">
        <v>45642</v>
      </c>
      <c r="D484" s="3" t="s">
        <v>14</v>
      </c>
      <c r="E484" s="3" t="s">
        <v>360</v>
      </c>
      <c r="F484" s="3">
        <v>2384</v>
      </c>
      <c r="G484" s="3">
        <v>1246</v>
      </c>
      <c r="H484" s="3">
        <v>160</v>
      </c>
      <c r="I484" s="3">
        <v>2004</v>
      </c>
      <c r="J484" s="3">
        <v>2701</v>
      </c>
      <c r="K484" s="3">
        <v>73142</v>
      </c>
      <c r="L484" s="3" t="s">
        <v>16</v>
      </c>
      <c r="M484" s="4">
        <v>5.1817013480626728E-2</v>
      </c>
    </row>
    <row r="485" spans="1:13" x14ac:dyDescent="0.3">
      <c r="A485" s="3" t="s">
        <v>56</v>
      </c>
      <c r="B485" s="3" t="s">
        <v>22</v>
      </c>
      <c r="C485" s="2">
        <v>45715</v>
      </c>
      <c r="D485" s="3" t="s">
        <v>14</v>
      </c>
      <c r="E485" s="3" t="s">
        <v>361</v>
      </c>
      <c r="F485" s="3">
        <v>8970</v>
      </c>
      <c r="G485" s="3">
        <v>331</v>
      </c>
      <c r="H485" s="3">
        <v>968</v>
      </c>
      <c r="I485" s="3">
        <v>2296</v>
      </c>
      <c r="J485" s="3">
        <v>24613</v>
      </c>
      <c r="K485" s="3">
        <v>198562</v>
      </c>
      <c r="L485" s="3" t="s">
        <v>29</v>
      </c>
      <c r="M485" s="4">
        <v>5.1716844109144754E-2</v>
      </c>
    </row>
    <row r="486" spans="1:13" x14ac:dyDescent="0.3">
      <c r="A486" s="3" t="s">
        <v>56</v>
      </c>
      <c r="B486" s="3" t="s">
        <v>22</v>
      </c>
      <c r="C486" s="2">
        <v>45715</v>
      </c>
      <c r="D486" s="3" t="s">
        <v>14</v>
      </c>
      <c r="E486" s="3" t="s">
        <v>362</v>
      </c>
      <c r="F486" s="3">
        <v>8970</v>
      </c>
      <c r="G486" s="3">
        <v>331</v>
      </c>
      <c r="H486" s="3">
        <v>968</v>
      </c>
      <c r="I486" s="3">
        <v>2296</v>
      </c>
      <c r="J486" s="3">
        <v>24613</v>
      </c>
      <c r="K486" s="3">
        <v>198562</v>
      </c>
      <c r="L486" s="3" t="s">
        <v>29</v>
      </c>
      <c r="M486" s="4">
        <v>5.1716844109144754E-2</v>
      </c>
    </row>
    <row r="487" spans="1:13" x14ac:dyDescent="0.3">
      <c r="A487" s="3" t="s">
        <v>236</v>
      </c>
      <c r="B487" s="3" t="s">
        <v>13</v>
      </c>
      <c r="C487" s="2">
        <v>45754</v>
      </c>
      <c r="D487" s="3" t="s">
        <v>34</v>
      </c>
      <c r="E487" s="3" t="s">
        <v>367</v>
      </c>
      <c r="F487" s="3">
        <v>3062</v>
      </c>
      <c r="G487" s="3">
        <v>1124</v>
      </c>
      <c r="H487" s="3">
        <v>538</v>
      </c>
      <c r="I487" s="3">
        <v>2935</v>
      </c>
      <c r="J487" s="3">
        <v>69749</v>
      </c>
      <c r="K487" s="3">
        <v>91924</v>
      </c>
      <c r="L487" s="3" t="s">
        <v>29</v>
      </c>
      <c r="M487" s="4">
        <v>5.1390278926069365E-2</v>
      </c>
    </row>
    <row r="488" spans="1:13" x14ac:dyDescent="0.3">
      <c r="A488" s="3" t="s">
        <v>236</v>
      </c>
      <c r="B488" s="3" t="s">
        <v>13</v>
      </c>
      <c r="C488" s="2">
        <v>45754</v>
      </c>
      <c r="D488" s="3" t="s">
        <v>34</v>
      </c>
      <c r="E488" s="3" t="s">
        <v>32</v>
      </c>
      <c r="F488" s="3">
        <v>3062</v>
      </c>
      <c r="G488" s="3">
        <v>1124</v>
      </c>
      <c r="H488" s="3">
        <v>538</v>
      </c>
      <c r="I488" s="3">
        <v>2935</v>
      </c>
      <c r="J488" s="3">
        <v>69749</v>
      </c>
      <c r="K488" s="3">
        <v>91924</v>
      </c>
      <c r="L488" s="3" t="s">
        <v>29</v>
      </c>
      <c r="M488" s="4">
        <v>5.1390278926069365E-2</v>
      </c>
    </row>
    <row r="489" spans="1:13" x14ac:dyDescent="0.3">
      <c r="A489" s="3" t="s">
        <v>297</v>
      </c>
      <c r="B489" s="3" t="s">
        <v>22</v>
      </c>
      <c r="C489" s="2">
        <v>45592</v>
      </c>
      <c r="D489" s="3" t="s">
        <v>34</v>
      </c>
      <c r="E489" s="3" t="s">
        <v>353</v>
      </c>
      <c r="F489" s="3">
        <v>7560</v>
      </c>
      <c r="G489" s="3">
        <v>1139</v>
      </c>
      <c r="H489" s="3">
        <v>248</v>
      </c>
      <c r="I489" s="3">
        <v>1624</v>
      </c>
      <c r="J489" s="3">
        <v>72237</v>
      </c>
      <c r="K489" s="3">
        <v>177084</v>
      </c>
      <c r="L489" s="3" t="s">
        <v>25</v>
      </c>
      <c r="M489" s="4">
        <v>5.0524045085947912E-2</v>
      </c>
    </row>
    <row r="490" spans="1:13" x14ac:dyDescent="0.3">
      <c r="A490" s="3" t="s">
        <v>297</v>
      </c>
      <c r="B490" s="3" t="s">
        <v>22</v>
      </c>
      <c r="C490" s="2">
        <v>45592</v>
      </c>
      <c r="D490" s="3" t="s">
        <v>34</v>
      </c>
      <c r="E490" s="3" t="s">
        <v>354</v>
      </c>
      <c r="F490" s="3">
        <v>7560</v>
      </c>
      <c r="G490" s="3">
        <v>1139</v>
      </c>
      <c r="H490" s="3">
        <v>248</v>
      </c>
      <c r="I490" s="3">
        <v>1624</v>
      </c>
      <c r="J490" s="3">
        <v>72237</v>
      </c>
      <c r="K490" s="3">
        <v>177084</v>
      </c>
      <c r="L490" s="3" t="s">
        <v>25</v>
      </c>
      <c r="M490" s="4">
        <v>5.0524045085947912E-2</v>
      </c>
    </row>
    <row r="491" spans="1:13" x14ac:dyDescent="0.3">
      <c r="A491" s="3" t="s">
        <v>255</v>
      </c>
      <c r="B491" s="3" t="s">
        <v>18</v>
      </c>
      <c r="C491" s="2">
        <v>45685</v>
      </c>
      <c r="D491" s="3" t="s">
        <v>34</v>
      </c>
      <c r="E491" s="3" t="s">
        <v>361</v>
      </c>
      <c r="F491" s="3">
        <v>9943</v>
      </c>
      <c r="G491" s="3">
        <v>1274</v>
      </c>
      <c r="H491" s="3">
        <v>336</v>
      </c>
      <c r="I491" s="3">
        <v>389</v>
      </c>
      <c r="J491" s="3">
        <v>6145</v>
      </c>
      <c r="K491" s="3">
        <v>231305</v>
      </c>
      <c r="L491" s="3" t="s">
        <v>16</v>
      </c>
      <c r="M491" s="4">
        <v>4.9947039623008581E-2</v>
      </c>
    </row>
    <row r="492" spans="1:13" x14ac:dyDescent="0.3">
      <c r="A492" s="3" t="s">
        <v>255</v>
      </c>
      <c r="B492" s="3" t="s">
        <v>18</v>
      </c>
      <c r="C492" s="2">
        <v>45685</v>
      </c>
      <c r="D492" s="3" t="s">
        <v>34</v>
      </c>
      <c r="E492" s="3" t="s">
        <v>362</v>
      </c>
      <c r="F492" s="3">
        <v>9943</v>
      </c>
      <c r="G492" s="3">
        <v>1274</v>
      </c>
      <c r="H492" s="3">
        <v>336</v>
      </c>
      <c r="I492" s="3">
        <v>389</v>
      </c>
      <c r="J492" s="3">
        <v>6145</v>
      </c>
      <c r="K492" s="3">
        <v>231305</v>
      </c>
      <c r="L492" s="3" t="s">
        <v>16</v>
      </c>
      <c r="M492" s="4">
        <v>4.9947039623008581E-2</v>
      </c>
    </row>
    <row r="493" spans="1:13" x14ac:dyDescent="0.3">
      <c r="A493" s="3" t="s">
        <v>207</v>
      </c>
      <c r="B493" s="3" t="s">
        <v>18</v>
      </c>
      <c r="C493" s="2">
        <v>45657</v>
      </c>
      <c r="D493" s="3" t="s">
        <v>14</v>
      </c>
      <c r="E493" s="3" t="s">
        <v>353</v>
      </c>
      <c r="F493" s="3">
        <v>10717</v>
      </c>
      <c r="G493" s="3">
        <v>760</v>
      </c>
      <c r="H493" s="3">
        <v>460</v>
      </c>
      <c r="I493" s="3">
        <v>1316</v>
      </c>
      <c r="J493" s="3">
        <v>18164</v>
      </c>
      <c r="K493" s="3">
        <v>240641</v>
      </c>
      <c r="L493" s="3" t="s">
        <v>45</v>
      </c>
      <c r="M493" s="4">
        <v>4.9605013277039242E-2</v>
      </c>
    </row>
    <row r="494" spans="1:13" x14ac:dyDescent="0.3">
      <c r="A494" s="3" t="s">
        <v>207</v>
      </c>
      <c r="B494" s="3" t="s">
        <v>18</v>
      </c>
      <c r="C494" s="2">
        <v>45657</v>
      </c>
      <c r="D494" s="3" t="s">
        <v>14</v>
      </c>
      <c r="E494" s="3" t="s">
        <v>354</v>
      </c>
      <c r="F494" s="3">
        <v>10717</v>
      </c>
      <c r="G494" s="3">
        <v>760</v>
      </c>
      <c r="H494" s="3">
        <v>460</v>
      </c>
      <c r="I494" s="3">
        <v>1316</v>
      </c>
      <c r="J494" s="3">
        <v>18164</v>
      </c>
      <c r="K494" s="3">
        <v>240641</v>
      </c>
      <c r="L494" s="3" t="s">
        <v>45</v>
      </c>
      <c r="M494" s="4">
        <v>4.9605013277039242E-2</v>
      </c>
    </row>
    <row r="495" spans="1:13" x14ac:dyDescent="0.3">
      <c r="A495" s="3" t="s">
        <v>100</v>
      </c>
      <c r="B495" s="3" t="s">
        <v>13</v>
      </c>
      <c r="C495" s="2">
        <v>45744</v>
      </c>
      <c r="D495" s="3" t="s">
        <v>23</v>
      </c>
      <c r="E495" s="3" t="s">
        <v>353</v>
      </c>
      <c r="F495" s="3">
        <v>6363</v>
      </c>
      <c r="G495" s="3">
        <v>1341</v>
      </c>
      <c r="H495" s="3">
        <v>222</v>
      </c>
      <c r="I495" s="3">
        <v>2712</v>
      </c>
      <c r="J495" s="3">
        <v>19987</v>
      </c>
      <c r="K495" s="3">
        <v>160585</v>
      </c>
      <c r="L495" s="3" t="s">
        <v>25</v>
      </c>
      <c r="M495" s="4">
        <v>4.9357038328611019E-2</v>
      </c>
    </row>
    <row r="496" spans="1:13" x14ac:dyDescent="0.3">
      <c r="A496" s="3" t="s">
        <v>100</v>
      </c>
      <c r="B496" s="3" t="s">
        <v>13</v>
      </c>
      <c r="C496" s="2">
        <v>45744</v>
      </c>
      <c r="D496" s="3" t="s">
        <v>23</v>
      </c>
      <c r="E496" s="3" t="s">
        <v>354</v>
      </c>
      <c r="F496" s="3">
        <v>6363</v>
      </c>
      <c r="G496" s="3">
        <v>1341</v>
      </c>
      <c r="H496" s="3">
        <v>222</v>
      </c>
      <c r="I496" s="3">
        <v>2712</v>
      </c>
      <c r="J496" s="3">
        <v>19987</v>
      </c>
      <c r="K496" s="3">
        <v>160585</v>
      </c>
      <c r="L496" s="3" t="s">
        <v>25</v>
      </c>
      <c r="M496" s="4">
        <v>4.9357038328611019E-2</v>
      </c>
    </row>
    <row r="497" spans="1:13" x14ac:dyDescent="0.3">
      <c r="A497" s="3" t="s">
        <v>166</v>
      </c>
      <c r="B497" s="3" t="s">
        <v>18</v>
      </c>
      <c r="C497" s="2">
        <v>45564</v>
      </c>
      <c r="D497" s="3" t="s">
        <v>34</v>
      </c>
      <c r="E497" s="3" t="s">
        <v>355</v>
      </c>
      <c r="F497" s="3">
        <v>10472</v>
      </c>
      <c r="G497" s="3">
        <v>401</v>
      </c>
      <c r="H497" s="3">
        <v>668</v>
      </c>
      <c r="I497" s="3">
        <v>383</v>
      </c>
      <c r="J497" s="3">
        <v>37571</v>
      </c>
      <c r="K497" s="3">
        <v>249203</v>
      </c>
      <c r="L497" s="3" t="s">
        <v>25</v>
      </c>
      <c r="M497" s="4">
        <v>4.6311641513143903E-2</v>
      </c>
    </row>
    <row r="498" spans="1:13" x14ac:dyDescent="0.3">
      <c r="A498" s="3" t="s">
        <v>166</v>
      </c>
      <c r="B498" s="3" t="s">
        <v>18</v>
      </c>
      <c r="C498" s="2">
        <v>45564</v>
      </c>
      <c r="D498" s="3" t="s">
        <v>34</v>
      </c>
      <c r="E498" s="3" t="s">
        <v>356</v>
      </c>
      <c r="F498" s="3">
        <v>10472</v>
      </c>
      <c r="G498" s="3">
        <v>401</v>
      </c>
      <c r="H498" s="3">
        <v>668</v>
      </c>
      <c r="I498" s="3">
        <v>383</v>
      </c>
      <c r="J498" s="3">
        <v>37571</v>
      </c>
      <c r="K498" s="3">
        <v>249203</v>
      </c>
      <c r="L498" s="3" t="s">
        <v>25</v>
      </c>
      <c r="M498" s="4">
        <v>4.6311641513143903E-2</v>
      </c>
    </row>
    <row r="499" spans="1:13" x14ac:dyDescent="0.3">
      <c r="A499" s="3" t="s">
        <v>48</v>
      </c>
      <c r="B499" s="3" t="s">
        <v>22</v>
      </c>
      <c r="C499" s="2">
        <v>45530</v>
      </c>
      <c r="D499" s="3" t="s">
        <v>34</v>
      </c>
      <c r="E499" s="3" t="s">
        <v>363</v>
      </c>
      <c r="F499" s="3">
        <v>4193</v>
      </c>
      <c r="G499" s="3">
        <v>924</v>
      </c>
      <c r="H499" s="3">
        <v>707</v>
      </c>
      <c r="I499" s="3">
        <v>2696</v>
      </c>
      <c r="J499" s="3">
        <v>55075</v>
      </c>
      <c r="K499" s="3">
        <v>126652</v>
      </c>
      <c r="L499" s="3" t="s">
        <v>29</v>
      </c>
      <c r="M499" s="4">
        <v>4.5984271863057827E-2</v>
      </c>
    </row>
    <row r="500" spans="1:13" x14ac:dyDescent="0.3">
      <c r="A500" s="3" t="s">
        <v>48</v>
      </c>
      <c r="B500" s="3" t="s">
        <v>22</v>
      </c>
      <c r="C500" s="2">
        <v>45530</v>
      </c>
      <c r="D500" s="3" t="s">
        <v>34</v>
      </c>
      <c r="E500" s="3" t="s">
        <v>364</v>
      </c>
      <c r="F500" s="3">
        <v>4193</v>
      </c>
      <c r="G500" s="3">
        <v>924</v>
      </c>
      <c r="H500" s="3">
        <v>707</v>
      </c>
      <c r="I500" s="3">
        <v>2696</v>
      </c>
      <c r="J500" s="3">
        <v>55075</v>
      </c>
      <c r="K500" s="3">
        <v>126652</v>
      </c>
      <c r="L500" s="3" t="s">
        <v>29</v>
      </c>
      <c r="M500" s="4">
        <v>4.5984271863057827E-2</v>
      </c>
    </row>
    <row r="501" spans="1:13" x14ac:dyDescent="0.3">
      <c r="A501" s="3" t="s">
        <v>93</v>
      </c>
      <c r="B501" s="3" t="s">
        <v>22</v>
      </c>
      <c r="C501" s="2">
        <v>45762</v>
      </c>
      <c r="D501" s="3" t="s">
        <v>34</v>
      </c>
      <c r="E501" s="3" t="s">
        <v>357</v>
      </c>
      <c r="F501" s="3">
        <v>5419</v>
      </c>
      <c r="G501" s="3">
        <v>1150</v>
      </c>
      <c r="H501" s="3">
        <v>656</v>
      </c>
      <c r="I501" s="3">
        <v>1990</v>
      </c>
      <c r="J501" s="3">
        <v>410</v>
      </c>
      <c r="K501" s="3">
        <v>158154</v>
      </c>
      <c r="L501" s="3" t="s">
        <v>25</v>
      </c>
      <c r="M501" s="4">
        <v>4.5683321319726342E-2</v>
      </c>
    </row>
    <row r="502" spans="1:13" x14ac:dyDescent="0.3">
      <c r="A502" s="3" t="s">
        <v>93</v>
      </c>
      <c r="B502" s="3" t="s">
        <v>22</v>
      </c>
      <c r="C502" s="2">
        <v>45762</v>
      </c>
      <c r="D502" s="3" t="s">
        <v>34</v>
      </c>
      <c r="E502" s="3" t="s">
        <v>358</v>
      </c>
      <c r="F502" s="3">
        <v>5419</v>
      </c>
      <c r="G502" s="3">
        <v>1150</v>
      </c>
      <c r="H502" s="3">
        <v>656</v>
      </c>
      <c r="I502" s="3">
        <v>1990</v>
      </c>
      <c r="J502" s="3">
        <v>410</v>
      </c>
      <c r="K502" s="3">
        <v>158154</v>
      </c>
      <c r="L502" s="3" t="s">
        <v>25</v>
      </c>
      <c r="M502" s="4">
        <v>4.5683321319726342E-2</v>
      </c>
    </row>
    <row r="503" spans="1:13" x14ac:dyDescent="0.3">
      <c r="A503" s="3" t="s">
        <v>181</v>
      </c>
      <c r="B503" s="3" t="s">
        <v>18</v>
      </c>
      <c r="C503" s="2">
        <v>45516</v>
      </c>
      <c r="D503" s="3" t="s">
        <v>34</v>
      </c>
      <c r="E503" s="3" t="s">
        <v>355</v>
      </c>
      <c r="F503" s="3">
        <v>8376</v>
      </c>
      <c r="G503" s="3">
        <v>1154</v>
      </c>
      <c r="H503" s="3">
        <v>422</v>
      </c>
      <c r="I503" s="3">
        <v>1907</v>
      </c>
      <c r="J503" s="3">
        <v>36874</v>
      </c>
      <c r="K503" s="3">
        <v>218486</v>
      </c>
      <c r="L503" s="3" t="s">
        <v>25</v>
      </c>
      <c r="M503" s="4">
        <v>4.5549829279679245E-2</v>
      </c>
    </row>
    <row r="504" spans="1:13" x14ac:dyDescent="0.3">
      <c r="A504" s="3" t="s">
        <v>181</v>
      </c>
      <c r="B504" s="3" t="s">
        <v>18</v>
      </c>
      <c r="C504" s="2">
        <v>45516</v>
      </c>
      <c r="D504" s="3" t="s">
        <v>34</v>
      </c>
      <c r="E504" s="3" t="s">
        <v>356</v>
      </c>
      <c r="F504" s="3">
        <v>8376</v>
      </c>
      <c r="G504" s="3">
        <v>1154</v>
      </c>
      <c r="H504" s="3">
        <v>422</v>
      </c>
      <c r="I504" s="3">
        <v>1907</v>
      </c>
      <c r="J504" s="3">
        <v>36874</v>
      </c>
      <c r="K504" s="3">
        <v>218486</v>
      </c>
      <c r="L504" s="3" t="s">
        <v>25</v>
      </c>
      <c r="M504" s="4">
        <v>4.5549829279679245E-2</v>
      </c>
    </row>
    <row r="505" spans="1:13" x14ac:dyDescent="0.3">
      <c r="A505" s="3" t="s">
        <v>319</v>
      </c>
      <c r="B505" s="3" t="s">
        <v>40</v>
      </c>
      <c r="C505" s="2">
        <v>45786</v>
      </c>
      <c r="D505" s="3" t="s">
        <v>34</v>
      </c>
      <c r="E505" s="3" t="s">
        <v>363</v>
      </c>
      <c r="F505" s="3">
        <v>8988</v>
      </c>
      <c r="G505" s="3">
        <v>228</v>
      </c>
      <c r="H505" s="3">
        <v>766</v>
      </c>
      <c r="I505" s="3">
        <v>652</v>
      </c>
      <c r="J505" s="3">
        <v>63789</v>
      </c>
      <c r="K505" s="3">
        <v>219785</v>
      </c>
      <c r="L505" s="3" t="s">
        <v>25</v>
      </c>
      <c r="M505" s="4">
        <v>4.541711217781013E-2</v>
      </c>
    </row>
    <row r="506" spans="1:13" x14ac:dyDescent="0.3">
      <c r="A506" s="3" t="s">
        <v>319</v>
      </c>
      <c r="B506" s="3" t="s">
        <v>40</v>
      </c>
      <c r="C506" s="2">
        <v>45786</v>
      </c>
      <c r="D506" s="3" t="s">
        <v>34</v>
      </c>
      <c r="E506" s="3" t="s">
        <v>364</v>
      </c>
      <c r="F506" s="3">
        <v>8988</v>
      </c>
      <c r="G506" s="3">
        <v>228</v>
      </c>
      <c r="H506" s="3">
        <v>766</v>
      </c>
      <c r="I506" s="3">
        <v>652</v>
      </c>
      <c r="J506" s="3">
        <v>63789</v>
      </c>
      <c r="K506" s="3">
        <v>219785</v>
      </c>
      <c r="L506" s="3" t="s">
        <v>25</v>
      </c>
      <c r="M506" s="4">
        <v>4.541711217781013E-2</v>
      </c>
    </row>
    <row r="507" spans="1:13" x14ac:dyDescent="0.3">
      <c r="A507" s="3" t="s">
        <v>334</v>
      </c>
      <c r="B507" s="3" t="s">
        <v>13</v>
      </c>
      <c r="C507" s="2">
        <v>45924</v>
      </c>
      <c r="D507" s="3" t="s">
        <v>23</v>
      </c>
      <c r="E507" s="3" t="s">
        <v>365</v>
      </c>
      <c r="F507" s="3">
        <v>3342</v>
      </c>
      <c r="G507" s="3">
        <v>787</v>
      </c>
      <c r="H507" s="3">
        <v>375</v>
      </c>
      <c r="I507" s="3">
        <v>907</v>
      </c>
      <c r="J507" s="3">
        <v>85823</v>
      </c>
      <c r="K507" s="3">
        <v>99189</v>
      </c>
      <c r="L507" s="3" t="s">
        <v>20</v>
      </c>
      <c r="M507" s="4">
        <v>4.5408260996683103E-2</v>
      </c>
    </row>
    <row r="508" spans="1:13" x14ac:dyDescent="0.3">
      <c r="A508" s="3" t="s">
        <v>334</v>
      </c>
      <c r="B508" s="3" t="s">
        <v>13</v>
      </c>
      <c r="C508" s="2">
        <v>45924</v>
      </c>
      <c r="D508" s="3" t="s">
        <v>23</v>
      </c>
      <c r="E508" s="3" t="s">
        <v>359</v>
      </c>
      <c r="F508" s="3">
        <v>3342</v>
      </c>
      <c r="G508" s="3">
        <v>787</v>
      </c>
      <c r="H508" s="3">
        <v>375</v>
      </c>
      <c r="I508" s="3">
        <v>907</v>
      </c>
      <c r="J508" s="3">
        <v>85823</v>
      </c>
      <c r="K508" s="3">
        <v>99189</v>
      </c>
      <c r="L508" s="3" t="s">
        <v>20</v>
      </c>
      <c r="M508" s="4">
        <v>4.5408260996683103E-2</v>
      </c>
    </row>
    <row r="509" spans="1:13" x14ac:dyDescent="0.3">
      <c r="A509" s="3" t="s">
        <v>126</v>
      </c>
      <c r="B509" s="3" t="s">
        <v>40</v>
      </c>
      <c r="C509" s="2">
        <v>45446</v>
      </c>
      <c r="D509" s="3" t="s">
        <v>14</v>
      </c>
      <c r="E509" s="3" t="s">
        <v>359</v>
      </c>
      <c r="F509" s="3">
        <v>8941</v>
      </c>
      <c r="G509" s="3">
        <v>911</v>
      </c>
      <c r="H509" s="3">
        <v>166</v>
      </c>
      <c r="I509" s="3">
        <v>1217</v>
      </c>
      <c r="J509" s="3">
        <v>68817</v>
      </c>
      <c r="K509" s="3">
        <v>221180</v>
      </c>
      <c r="L509" s="3" t="s">
        <v>45</v>
      </c>
      <c r="M509" s="4">
        <v>4.5293426168731353E-2</v>
      </c>
    </row>
    <row r="510" spans="1:13" x14ac:dyDescent="0.3">
      <c r="A510" s="3" t="s">
        <v>126</v>
      </c>
      <c r="B510" s="3" t="s">
        <v>40</v>
      </c>
      <c r="C510" s="2">
        <v>45446</v>
      </c>
      <c r="D510" s="3" t="s">
        <v>14</v>
      </c>
      <c r="E510" s="3" t="s">
        <v>366</v>
      </c>
      <c r="F510" s="3">
        <v>8941</v>
      </c>
      <c r="G510" s="3">
        <v>911</v>
      </c>
      <c r="H510" s="3">
        <v>166</v>
      </c>
      <c r="I510" s="3">
        <v>1217</v>
      </c>
      <c r="J510" s="3">
        <v>68817</v>
      </c>
      <c r="K510" s="3">
        <v>221180</v>
      </c>
      <c r="L510" s="3" t="s">
        <v>45</v>
      </c>
      <c r="M510" s="4">
        <v>4.5293426168731353E-2</v>
      </c>
    </row>
    <row r="511" spans="1:13" x14ac:dyDescent="0.3">
      <c r="A511" s="3" t="s">
        <v>170</v>
      </c>
      <c r="B511" s="3" t="s">
        <v>22</v>
      </c>
      <c r="C511" s="2">
        <v>45931</v>
      </c>
      <c r="D511" s="3" t="s">
        <v>34</v>
      </c>
      <c r="E511" s="3" t="s">
        <v>32</v>
      </c>
      <c r="F511" s="3">
        <v>6188</v>
      </c>
      <c r="G511" s="3">
        <v>774</v>
      </c>
      <c r="H511" s="3">
        <v>647</v>
      </c>
      <c r="I511" s="3">
        <v>1830</v>
      </c>
      <c r="J511" s="3">
        <v>55436</v>
      </c>
      <c r="K511" s="3">
        <v>175542</v>
      </c>
      <c r="L511" s="3" t="s">
        <v>20</v>
      </c>
      <c r="M511" s="4">
        <v>4.3345752013763089E-2</v>
      </c>
    </row>
    <row r="512" spans="1:13" x14ac:dyDescent="0.3">
      <c r="A512" s="3" t="s">
        <v>73</v>
      </c>
      <c r="B512" s="3" t="s">
        <v>22</v>
      </c>
      <c r="C512" s="2">
        <v>45705</v>
      </c>
      <c r="D512" s="3" t="s">
        <v>23</v>
      </c>
      <c r="E512" s="3" t="s">
        <v>355</v>
      </c>
      <c r="F512" s="3">
        <v>7989</v>
      </c>
      <c r="G512" s="3">
        <v>1206</v>
      </c>
      <c r="H512" s="3">
        <v>376</v>
      </c>
      <c r="I512" s="3">
        <v>2769</v>
      </c>
      <c r="J512" s="3">
        <v>27550</v>
      </c>
      <c r="K512" s="3">
        <v>221749</v>
      </c>
      <c r="L512" s="3" t="s">
        <v>25</v>
      </c>
      <c r="M512" s="4">
        <v>4.3161412227338117E-2</v>
      </c>
    </row>
    <row r="513" spans="1:13" x14ac:dyDescent="0.3">
      <c r="A513" s="3" t="s">
        <v>73</v>
      </c>
      <c r="B513" s="3" t="s">
        <v>22</v>
      </c>
      <c r="C513" s="2">
        <v>45705</v>
      </c>
      <c r="D513" s="3" t="s">
        <v>23</v>
      </c>
      <c r="E513" s="3" t="s">
        <v>356</v>
      </c>
      <c r="F513" s="3">
        <v>7989</v>
      </c>
      <c r="G513" s="3">
        <v>1206</v>
      </c>
      <c r="H513" s="3">
        <v>376</v>
      </c>
      <c r="I513" s="3">
        <v>2769</v>
      </c>
      <c r="J513" s="3">
        <v>27550</v>
      </c>
      <c r="K513" s="3">
        <v>221749</v>
      </c>
      <c r="L513" s="3" t="s">
        <v>25</v>
      </c>
      <c r="M513" s="4">
        <v>4.3161412227338117E-2</v>
      </c>
    </row>
    <row r="514" spans="1:13" x14ac:dyDescent="0.3">
      <c r="A514" s="3" t="s">
        <v>105</v>
      </c>
      <c r="B514" s="3" t="s">
        <v>40</v>
      </c>
      <c r="C514" s="2">
        <v>45749</v>
      </c>
      <c r="D514" s="3" t="s">
        <v>23</v>
      </c>
      <c r="E514" s="3" t="s">
        <v>365</v>
      </c>
      <c r="F514" s="3">
        <v>6858</v>
      </c>
      <c r="G514" s="3">
        <v>415</v>
      </c>
      <c r="H514" s="3">
        <v>366</v>
      </c>
      <c r="I514" s="3">
        <v>2761</v>
      </c>
      <c r="J514" s="3">
        <v>2988</v>
      </c>
      <c r="K514" s="3">
        <v>177348</v>
      </c>
      <c r="L514" s="3" t="s">
        <v>16</v>
      </c>
      <c r="M514" s="4">
        <v>4.3073505198818141E-2</v>
      </c>
    </row>
    <row r="515" spans="1:13" x14ac:dyDescent="0.3">
      <c r="A515" s="3" t="s">
        <v>105</v>
      </c>
      <c r="B515" s="3" t="s">
        <v>40</v>
      </c>
      <c r="C515" s="2">
        <v>45749</v>
      </c>
      <c r="D515" s="3" t="s">
        <v>23</v>
      </c>
      <c r="E515" s="3" t="s">
        <v>359</v>
      </c>
      <c r="F515" s="3">
        <v>6858</v>
      </c>
      <c r="G515" s="3">
        <v>415</v>
      </c>
      <c r="H515" s="3">
        <v>366</v>
      </c>
      <c r="I515" s="3">
        <v>2761</v>
      </c>
      <c r="J515" s="3">
        <v>2988</v>
      </c>
      <c r="K515" s="3">
        <v>177348</v>
      </c>
      <c r="L515" s="3" t="s">
        <v>16</v>
      </c>
      <c r="M515" s="4">
        <v>4.3073505198818141E-2</v>
      </c>
    </row>
    <row r="516" spans="1:13" x14ac:dyDescent="0.3">
      <c r="A516" s="3" t="s">
        <v>178</v>
      </c>
      <c r="B516" s="3" t="s">
        <v>22</v>
      </c>
      <c r="C516" s="2">
        <v>45741</v>
      </c>
      <c r="D516" s="3" t="s">
        <v>34</v>
      </c>
      <c r="E516" s="3" t="s">
        <v>357</v>
      </c>
      <c r="F516" s="3">
        <v>5900</v>
      </c>
      <c r="G516" s="3">
        <v>546</v>
      </c>
      <c r="H516" s="3">
        <v>592</v>
      </c>
      <c r="I516" s="3">
        <v>1594</v>
      </c>
      <c r="J516" s="3">
        <v>38627</v>
      </c>
      <c r="K516" s="3">
        <v>164398</v>
      </c>
      <c r="L516" s="3" t="s">
        <v>45</v>
      </c>
      <c r="M516" s="4">
        <v>4.2810739790021778E-2</v>
      </c>
    </row>
    <row r="517" spans="1:13" x14ac:dyDescent="0.3">
      <c r="A517" s="3" t="s">
        <v>178</v>
      </c>
      <c r="B517" s="3" t="s">
        <v>22</v>
      </c>
      <c r="C517" s="2">
        <v>45741</v>
      </c>
      <c r="D517" s="3" t="s">
        <v>34</v>
      </c>
      <c r="E517" s="3" t="s">
        <v>358</v>
      </c>
      <c r="F517" s="3">
        <v>5900</v>
      </c>
      <c r="G517" s="3">
        <v>546</v>
      </c>
      <c r="H517" s="3">
        <v>592</v>
      </c>
      <c r="I517" s="3">
        <v>1594</v>
      </c>
      <c r="J517" s="3">
        <v>38627</v>
      </c>
      <c r="K517" s="3">
        <v>164398</v>
      </c>
      <c r="L517" s="3" t="s">
        <v>45</v>
      </c>
      <c r="M517" s="4">
        <v>4.2810739790021778E-2</v>
      </c>
    </row>
    <row r="518" spans="1:13" x14ac:dyDescent="0.3">
      <c r="A518" s="3" t="s">
        <v>243</v>
      </c>
      <c r="B518" s="3" t="s">
        <v>18</v>
      </c>
      <c r="C518" s="2">
        <v>45655</v>
      </c>
      <c r="D518" s="3" t="s">
        <v>34</v>
      </c>
      <c r="E518" s="3" t="s">
        <v>64</v>
      </c>
      <c r="F518" s="3">
        <v>8288</v>
      </c>
      <c r="G518" s="3">
        <v>1401</v>
      </c>
      <c r="H518" s="3">
        <v>819</v>
      </c>
      <c r="I518" s="3">
        <v>1235</v>
      </c>
      <c r="J518" s="3">
        <v>33446</v>
      </c>
      <c r="K518" s="3">
        <v>248786</v>
      </c>
      <c r="L518" s="3" t="s">
        <v>16</v>
      </c>
      <c r="M518" s="4">
        <v>4.2237103373984064E-2</v>
      </c>
    </row>
    <row r="519" spans="1:13" x14ac:dyDescent="0.3">
      <c r="A519" s="3" t="s">
        <v>310</v>
      </c>
      <c r="B519" s="3" t="s">
        <v>18</v>
      </c>
      <c r="C519" s="2">
        <v>45658</v>
      </c>
      <c r="D519" s="3" t="s">
        <v>27</v>
      </c>
      <c r="E519" s="3" t="s">
        <v>361</v>
      </c>
      <c r="F519" s="3">
        <v>8283</v>
      </c>
      <c r="G519" s="3">
        <v>720</v>
      </c>
      <c r="H519" s="3">
        <v>888</v>
      </c>
      <c r="I519" s="3">
        <v>611</v>
      </c>
      <c r="J519" s="3">
        <v>52791</v>
      </c>
      <c r="K519" s="3">
        <v>235229</v>
      </c>
      <c r="L519" s="3" t="s">
        <v>16</v>
      </c>
      <c r="M519" s="4">
        <v>4.2048386891072105E-2</v>
      </c>
    </row>
    <row r="520" spans="1:13" x14ac:dyDescent="0.3">
      <c r="A520" s="3" t="s">
        <v>310</v>
      </c>
      <c r="B520" s="3" t="s">
        <v>18</v>
      </c>
      <c r="C520" s="2">
        <v>45658</v>
      </c>
      <c r="D520" s="3" t="s">
        <v>27</v>
      </c>
      <c r="E520" s="3" t="s">
        <v>362</v>
      </c>
      <c r="F520" s="3">
        <v>8283</v>
      </c>
      <c r="G520" s="3">
        <v>720</v>
      </c>
      <c r="H520" s="3">
        <v>888</v>
      </c>
      <c r="I520" s="3">
        <v>611</v>
      </c>
      <c r="J520" s="3">
        <v>52791</v>
      </c>
      <c r="K520" s="3">
        <v>235229</v>
      </c>
      <c r="L520" s="3" t="s">
        <v>16</v>
      </c>
      <c r="M520" s="4">
        <v>4.2048386891072105E-2</v>
      </c>
    </row>
    <row r="521" spans="1:13" x14ac:dyDescent="0.3">
      <c r="A521" s="3" t="s">
        <v>242</v>
      </c>
      <c r="B521" s="3" t="s">
        <v>22</v>
      </c>
      <c r="C521" s="2">
        <v>45467</v>
      </c>
      <c r="D521" s="3" t="s">
        <v>14</v>
      </c>
      <c r="E521" s="3" t="s">
        <v>359</v>
      </c>
      <c r="F521" s="3">
        <v>6632</v>
      </c>
      <c r="G521" s="3">
        <v>254</v>
      </c>
      <c r="H521" s="3">
        <v>525</v>
      </c>
      <c r="I521" s="3">
        <v>1013</v>
      </c>
      <c r="J521" s="3">
        <v>13838</v>
      </c>
      <c r="K521" s="3">
        <v>180180</v>
      </c>
      <c r="L521" s="3" t="s">
        <v>16</v>
      </c>
      <c r="M521" s="4">
        <v>4.1131091131091133E-2</v>
      </c>
    </row>
    <row r="522" spans="1:13" x14ac:dyDescent="0.3">
      <c r="A522" s="3" t="s">
        <v>242</v>
      </c>
      <c r="B522" s="3" t="s">
        <v>22</v>
      </c>
      <c r="C522" s="2">
        <v>45467</v>
      </c>
      <c r="D522" s="3" t="s">
        <v>14</v>
      </c>
      <c r="E522" s="3" t="s">
        <v>366</v>
      </c>
      <c r="F522" s="3">
        <v>6632</v>
      </c>
      <c r="G522" s="3">
        <v>254</v>
      </c>
      <c r="H522" s="3">
        <v>525</v>
      </c>
      <c r="I522" s="3">
        <v>1013</v>
      </c>
      <c r="J522" s="3">
        <v>13838</v>
      </c>
      <c r="K522" s="3">
        <v>180180</v>
      </c>
      <c r="L522" s="3" t="s">
        <v>16</v>
      </c>
      <c r="M522" s="4">
        <v>4.1131091131091133E-2</v>
      </c>
    </row>
    <row r="523" spans="1:13" x14ac:dyDescent="0.3">
      <c r="A523" s="3" t="s">
        <v>292</v>
      </c>
      <c r="B523" s="3" t="s">
        <v>13</v>
      </c>
      <c r="C523" s="2">
        <v>45917</v>
      </c>
      <c r="D523" s="3" t="s">
        <v>34</v>
      </c>
      <c r="E523" s="3" t="s">
        <v>361</v>
      </c>
      <c r="F523" s="3">
        <v>2117</v>
      </c>
      <c r="G523" s="3">
        <v>1133</v>
      </c>
      <c r="H523" s="3">
        <v>203</v>
      </c>
      <c r="I523" s="3">
        <v>1173</v>
      </c>
      <c r="J523" s="3">
        <v>40125</v>
      </c>
      <c r="K523" s="3">
        <v>85379</v>
      </c>
      <c r="L523" s="3" t="s">
        <v>20</v>
      </c>
      <c r="M523" s="4">
        <v>4.0443200318579509E-2</v>
      </c>
    </row>
    <row r="524" spans="1:13" x14ac:dyDescent="0.3">
      <c r="A524" s="3" t="s">
        <v>292</v>
      </c>
      <c r="B524" s="3" t="s">
        <v>13</v>
      </c>
      <c r="C524" s="2">
        <v>45917</v>
      </c>
      <c r="D524" s="3" t="s">
        <v>34</v>
      </c>
      <c r="E524" s="3" t="s">
        <v>362</v>
      </c>
      <c r="F524" s="3">
        <v>2117</v>
      </c>
      <c r="G524" s="3">
        <v>1133</v>
      </c>
      <c r="H524" s="3">
        <v>203</v>
      </c>
      <c r="I524" s="3">
        <v>1173</v>
      </c>
      <c r="J524" s="3">
        <v>40125</v>
      </c>
      <c r="K524" s="3">
        <v>85379</v>
      </c>
      <c r="L524" s="3" t="s">
        <v>20</v>
      </c>
      <c r="M524" s="4">
        <v>4.0443200318579509E-2</v>
      </c>
    </row>
    <row r="525" spans="1:13" x14ac:dyDescent="0.3">
      <c r="A525" s="3" t="s">
        <v>218</v>
      </c>
      <c r="B525" s="3" t="s">
        <v>13</v>
      </c>
      <c r="C525" s="2">
        <v>45504</v>
      </c>
      <c r="D525" s="3" t="s">
        <v>27</v>
      </c>
      <c r="E525" s="3" t="s">
        <v>357</v>
      </c>
      <c r="F525" s="3">
        <v>7122</v>
      </c>
      <c r="G525" s="3">
        <v>628</v>
      </c>
      <c r="H525" s="3">
        <v>757</v>
      </c>
      <c r="I525" s="3">
        <v>2313</v>
      </c>
      <c r="J525" s="3">
        <v>50924</v>
      </c>
      <c r="K525" s="3">
        <v>210954</v>
      </c>
      <c r="L525" s="3" t="s">
        <v>45</v>
      </c>
      <c r="M525" s="4">
        <v>4.0326327066564277E-2</v>
      </c>
    </row>
    <row r="526" spans="1:13" x14ac:dyDescent="0.3">
      <c r="A526" s="3" t="s">
        <v>218</v>
      </c>
      <c r="B526" s="3" t="s">
        <v>13</v>
      </c>
      <c r="C526" s="2">
        <v>45504</v>
      </c>
      <c r="D526" s="3" t="s">
        <v>27</v>
      </c>
      <c r="E526" s="3" t="s">
        <v>358</v>
      </c>
      <c r="F526" s="3">
        <v>7122</v>
      </c>
      <c r="G526" s="3">
        <v>628</v>
      </c>
      <c r="H526" s="3">
        <v>757</v>
      </c>
      <c r="I526" s="3">
        <v>2313</v>
      </c>
      <c r="J526" s="3">
        <v>50924</v>
      </c>
      <c r="K526" s="3">
        <v>210954</v>
      </c>
      <c r="L526" s="3" t="s">
        <v>45</v>
      </c>
      <c r="M526" s="4">
        <v>4.0326327066564277E-2</v>
      </c>
    </row>
    <row r="527" spans="1:13" x14ac:dyDescent="0.3">
      <c r="A527" s="3" t="s">
        <v>114</v>
      </c>
      <c r="B527" s="3" t="s">
        <v>13</v>
      </c>
      <c r="C527" s="2">
        <v>45922</v>
      </c>
      <c r="D527" s="3" t="s">
        <v>27</v>
      </c>
      <c r="E527" s="3" t="s">
        <v>368</v>
      </c>
      <c r="F527" s="3">
        <v>8996</v>
      </c>
      <c r="G527" s="3">
        <v>329</v>
      </c>
      <c r="H527" s="3">
        <v>378</v>
      </c>
      <c r="I527" s="3">
        <v>2384</v>
      </c>
      <c r="J527" s="3">
        <v>39404</v>
      </c>
      <c r="K527" s="3">
        <v>242724</v>
      </c>
      <c r="L527" s="3" t="s">
        <v>20</v>
      </c>
      <c r="M527" s="4">
        <v>3.9975445361810122E-2</v>
      </c>
    </row>
    <row r="528" spans="1:13" x14ac:dyDescent="0.3">
      <c r="A528" s="3" t="s">
        <v>114</v>
      </c>
      <c r="B528" s="3" t="s">
        <v>13</v>
      </c>
      <c r="C528" s="2">
        <v>45922</v>
      </c>
      <c r="D528" s="3" t="s">
        <v>27</v>
      </c>
      <c r="E528" s="3" t="s">
        <v>369</v>
      </c>
      <c r="F528" s="3">
        <v>8996</v>
      </c>
      <c r="G528" s="3">
        <v>329</v>
      </c>
      <c r="H528" s="3">
        <v>378</v>
      </c>
      <c r="I528" s="3">
        <v>2384</v>
      </c>
      <c r="J528" s="3">
        <v>39404</v>
      </c>
      <c r="K528" s="3">
        <v>242724</v>
      </c>
      <c r="L528" s="3" t="s">
        <v>20</v>
      </c>
      <c r="M528" s="4">
        <v>3.9975445361810122E-2</v>
      </c>
    </row>
    <row r="529" spans="1:13" x14ac:dyDescent="0.3">
      <c r="A529" s="3" t="s">
        <v>46</v>
      </c>
      <c r="B529" s="3" t="s">
        <v>13</v>
      </c>
      <c r="C529" s="2">
        <v>45906</v>
      </c>
      <c r="D529" s="3" t="s">
        <v>23</v>
      </c>
      <c r="E529" s="3" t="s">
        <v>363</v>
      </c>
      <c r="F529" s="3">
        <v>7124</v>
      </c>
      <c r="G529" s="3">
        <v>469</v>
      </c>
      <c r="H529" s="3">
        <v>851</v>
      </c>
      <c r="I529" s="3">
        <v>2571</v>
      </c>
      <c r="J529" s="3">
        <v>33802</v>
      </c>
      <c r="K529" s="3">
        <v>216313</v>
      </c>
      <c r="L529" s="3" t="s">
        <v>20</v>
      </c>
      <c r="M529" s="4">
        <v>3.9036026498638549E-2</v>
      </c>
    </row>
    <row r="530" spans="1:13" x14ac:dyDescent="0.3">
      <c r="A530" s="3" t="s">
        <v>46</v>
      </c>
      <c r="B530" s="3" t="s">
        <v>13</v>
      </c>
      <c r="C530" s="2">
        <v>45906</v>
      </c>
      <c r="D530" s="3" t="s">
        <v>23</v>
      </c>
      <c r="E530" s="3" t="s">
        <v>364</v>
      </c>
      <c r="F530" s="3">
        <v>7124</v>
      </c>
      <c r="G530" s="3">
        <v>469</v>
      </c>
      <c r="H530" s="3">
        <v>851</v>
      </c>
      <c r="I530" s="3">
        <v>2571</v>
      </c>
      <c r="J530" s="3">
        <v>33802</v>
      </c>
      <c r="K530" s="3">
        <v>216313</v>
      </c>
      <c r="L530" s="3" t="s">
        <v>20</v>
      </c>
      <c r="M530" s="4">
        <v>3.9036026498638549E-2</v>
      </c>
    </row>
    <row r="531" spans="1:13" x14ac:dyDescent="0.3">
      <c r="A531" s="3" t="s">
        <v>311</v>
      </c>
      <c r="B531" s="3" t="s">
        <v>22</v>
      </c>
      <c r="C531" s="2">
        <v>45509</v>
      </c>
      <c r="D531" s="3" t="s">
        <v>23</v>
      </c>
      <c r="E531" s="3" t="s">
        <v>363</v>
      </c>
      <c r="F531" s="3">
        <v>4048</v>
      </c>
      <c r="G531" s="3">
        <v>751</v>
      </c>
      <c r="H531" s="3">
        <v>930</v>
      </c>
      <c r="I531" s="3">
        <v>1382</v>
      </c>
      <c r="J531" s="3">
        <v>16844</v>
      </c>
      <c r="K531" s="3">
        <v>148177</v>
      </c>
      <c r="L531" s="3" t="s">
        <v>29</v>
      </c>
      <c r="M531" s="4">
        <v>3.8663220337839206E-2</v>
      </c>
    </row>
    <row r="532" spans="1:13" x14ac:dyDescent="0.3">
      <c r="A532" s="3" t="s">
        <v>311</v>
      </c>
      <c r="B532" s="3" t="s">
        <v>22</v>
      </c>
      <c r="C532" s="2">
        <v>45509</v>
      </c>
      <c r="D532" s="3" t="s">
        <v>23</v>
      </c>
      <c r="E532" s="3" t="s">
        <v>364</v>
      </c>
      <c r="F532" s="3">
        <v>4048</v>
      </c>
      <c r="G532" s="3">
        <v>751</v>
      </c>
      <c r="H532" s="3">
        <v>930</v>
      </c>
      <c r="I532" s="3">
        <v>1382</v>
      </c>
      <c r="J532" s="3">
        <v>16844</v>
      </c>
      <c r="K532" s="3">
        <v>148177</v>
      </c>
      <c r="L532" s="3" t="s">
        <v>29</v>
      </c>
      <c r="M532" s="4">
        <v>3.8663220337839206E-2</v>
      </c>
    </row>
    <row r="533" spans="1:13" x14ac:dyDescent="0.3">
      <c r="A533" s="3" t="s">
        <v>177</v>
      </c>
      <c r="B533" s="3" t="s">
        <v>18</v>
      </c>
      <c r="C533" s="2">
        <v>45933</v>
      </c>
      <c r="D533" s="3" t="s">
        <v>14</v>
      </c>
      <c r="E533" s="3" t="s">
        <v>365</v>
      </c>
      <c r="F533" s="3">
        <v>6777</v>
      </c>
      <c r="G533" s="3">
        <v>617</v>
      </c>
      <c r="H533" s="3">
        <v>551</v>
      </c>
      <c r="I533" s="3">
        <v>2109</v>
      </c>
      <c r="J533" s="3">
        <v>18559</v>
      </c>
      <c r="K533" s="3">
        <v>208452</v>
      </c>
      <c r="L533" s="3" t="s">
        <v>20</v>
      </c>
      <c r="M533" s="4">
        <v>3.8114290100358834E-2</v>
      </c>
    </row>
    <row r="534" spans="1:13" x14ac:dyDescent="0.3">
      <c r="A534" s="3" t="s">
        <v>177</v>
      </c>
      <c r="B534" s="3" t="s">
        <v>18</v>
      </c>
      <c r="C534" s="2">
        <v>45933</v>
      </c>
      <c r="D534" s="3" t="s">
        <v>14</v>
      </c>
      <c r="E534" s="3" t="s">
        <v>359</v>
      </c>
      <c r="F534" s="3">
        <v>6777</v>
      </c>
      <c r="G534" s="3">
        <v>617</v>
      </c>
      <c r="H534" s="3">
        <v>551</v>
      </c>
      <c r="I534" s="3">
        <v>2109</v>
      </c>
      <c r="J534" s="3">
        <v>18559</v>
      </c>
      <c r="K534" s="3">
        <v>208452</v>
      </c>
      <c r="L534" s="3" t="s">
        <v>20</v>
      </c>
      <c r="M534" s="4">
        <v>3.8114290100358834E-2</v>
      </c>
    </row>
    <row r="535" spans="1:13" x14ac:dyDescent="0.3">
      <c r="A535" s="3" t="s">
        <v>78</v>
      </c>
      <c r="B535" s="3" t="s">
        <v>40</v>
      </c>
      <c r="C535" s="2">
        <v>45916</v>
      </c>
      <c r="D535" s="3" t="s">
        <v>23</v>
      </c>
      <c r="E535" s="3" t="s">
        <v>64</v>
      </c>
      <c r="F535" s="3">
        <v>6809</v>
      </c>
      <c r="G535" s="3">
        <v>397</v>
      </c>
      <c r="H535" s="3">
        <v>813</v>
      </c>
      <c r="I535" s="3">
        <v>1125</v>
      </c>
      <c r="J535" s="3">
        <v>12206</v>
      </c>
      <c r="K535" s="3">
        <v>218136</v>
      </c>
      <c r="L535" s="3" t="s">
        <v>20</v>
      </c>
      <c r="M535" s="4">
        <v>3.6761469908680823E-2</v>
      </c>
    </row>
    <row r="536" spans="1:13" x14ac:dyDescent="0.3">
      <c r="A536" s="3" t="s">
        <v>317</v>
      </c>
      <c r="B536" s="3" t="s">
        <v>18</v>
      </c>
      <c r="C536" s="2">
        <v>45738</v>
      </c>
      <c r="D536" s="3" t="s">
        <v>27</v>
      </c>
      <c r="E536" s="3" t="s">
        <v>359</v>
      </c>
      <c r="F536" s="3">
        <v>3917</v>
      </c>
      <c r="G536" s="3">
        <v>865</v>
      </c>
      <c r="H536" s="3">
        <v>759</v>
      </c>
      <c r="I536" s="3">
        <v>2282</v>
      </c>
      <c r="J536" s="3">
        <v>56125</v>
      </c>
      <c r="K536" s="3">
        <v>154014</v>
      </c>
      <c r="L536" s="3" t="s">
        <v>16</v>
      </c>
      <c r="M536" s="4">
        <v>3.5977248821535704E-2</v>
      </c>
    </row>
    <row r="537" spans="1:13" x14ac:dyDescent="0.3">
      <c r="A537" s="3" t="s">
        <v>317</v>
      </c>
      <c r="B537" s="3" t="s">
        <v>18</v>
      </c>
      <c r="C537" s="2">
        <v>45738</v>
      </c>
      <c r="D537" s="3" t="s">
        <v>27</v>
      </c>
      <c r="E537" s="3" t="s">
        <v>366</v>
      </c>
      <c r="F537" s="3">
        <v>3917</v>
      </c>
      <c r="G537" s="3">
        <v>865</v>
      </c>
      <c r="H537" s="3">
        <v>759</v>
      </c>
      <c r="I537" s="3">
        <v>2282</v>
      </c>
      <c r="J537" s="3">
        <v>56125</v>
      </c>
      <c r="K537" s="3">
        <v>154014</v>
      </c>
      <c r="L537" s="3" t="s">
        <v>16</v>
      </c>
      <c r="M537" s="4">
        <v>3.5977248821535704E-2</v>
      </c>
    </row>
    <row r="538" spans="1:13" x14ac:dyDescent="0.3">
      <c r="A538" s="3" t="s">
        <v>316</v>
      </c>
      <c r="B538" s="3" t="s">
        <v>40</v>
      </c>
      <c r="C538" s="2">
        <v>45918</v>
      </c>
      <c r="D538" s="3" t="s">
        <v>27</v>
      </c>
      <c r="E538" s="3" t="s">
        <v>361</v>
      </c>
      <c r="F538" s="3">
        <v>3828</v>
      </c>
      <c r="G538" s="3">
        <v>203</v>
      </c>
      <c r="H538" s="3">
        <v>506</v>
      </c>
      <c r="I538" s="3">
        <v>2440</v>
      </c>
      <c r="J538" s="3">
        <v>63650</v>
      </c>
      <c r="K538" s="3">
        <v>126365</v>
      </c>
      <c r="L538" s="3" t="s">
        <v>20</v>
      </c>
      <c r="M538" s="4">
        <v>3.5903929094290347E-2</v>
      </c>
    </row>
    <row r="539" spans="1:13" x14ac:dyDescent="0.3">
      <c r="A539" s="3" t="s">
        <v>316</v>
      </c>
      <c r="B539" s="3" t="s">
        <v>40</v>
      </c>
      <c r="C539" s="2">
        <v>45918</v>
      </c>
      <c r="D539" s="3" t="s">
        <v>27</v>
      </c>
      <c r="E539" s="3" t="s">
        <v>362</v>
      </c>
      <c r="F539" s="3">
        <v>3828</v>
      </c>
      <c r="G539" s="3">
        <v>203</v>
      </c>
      <c r="H539" s="3">
        <v>506</v>
      </c>
      <c r="I539" s="3">
        <v>2440</v>
      </c>
      <c r="J539" s="3">
        <v>63650</v>
      </c>
      <c r="K539" s="3">
        <v>126365</v>
      </c>
      <c r="L539" s="3" t="s">
        <v>20</v>
      </c>
      <c r="M539" s="4">
        <v>3.5903929094290347E-2</v>
      </c>
    </row>
    <row r="540" spans="1:13" x14ac:dyDescent="0.3">
      <c r="A540" s="3" t="s">
        <v>214</v>
      </c>
      <c r="B540" s="3" t="s">
        <v>13</v>
      </c>
      <c r="C540" s="2">
        <v>45940</v>
      </c>
      <c r="D540" s="3" t="s">
        <v>34</v>
      </c>
      <c r="E540" s="3" t="s">
        <v>357</v>
      </c>
      <c r="F540" s="3">
        <v>6621</v>
      </c>
      <c r="G540" s="3">
        <v>922</v>
      </c>
      <c r="H540" s="3">
        <v>930</v>
      </c>
      <c r="I540" s="3">
        <v>694</v>
      </c>
      <c r="J540" s="3">
        <v>839</v>
      </c>
      <c r="K540" s="3">
        <v>243532</v>
      </c>
      <c r="L540" s="3" t="s">
        <v>20</v>
      </c>
      <c r="M540" s="4">
        <v>3.479214230573395E-2</v>
      </c>
    </row>
    <row r="541" spans="1:13" x14ac:dyDescent="0.3">
      <c r="A541" s="3" t="s">
        <v>214</v>
      </c>
      <c r="B541" s="3" t="s">
        <v>13</v>
      </c>
      <c r="C541" s="2">
        <v>45940</v>
      </c>
      <c r="D541" s="3" t="s">
        <v>34</v>
      </c>
      <c r="E541" s="3" t="s">
        <v>358</v>
      </c>
      <c r="F541" s="3">
        <v>6621</v>
      </c>
      <c r="G541" s="3">
        <v>922</v>
      </c>
      <c r="H541" s="3">
        <v>930</v>
      </c>
      <c r="I541" s="3">
        <v>694</v>
      </c>
      <c r="J541" s="3">
        <v>839</v>
      </c>
      <c r="K541" s="3">
        <v>243532</v>
      </c>
      <c r="L541" s="3" t="s">
        <v>20</v>
      </c>
      <c r="M541" s="4">
        <v>3.479214230573395E-2</v>
      </c>
    </row>
    <row r="542" spans="1:13" x14ac:dyDescent="0.3">
      <c r="A542" s="3" t="s">
        <v>217</v>
      </c>
      <c r="B542" s="3" t="s">
        <v>22</v>
      </c>
      <c r="C542" s="2">
        <v>45942</v>
      </c>
      <c r="D542" s="3" t="s">
        <v>34</v>
      </c>
      <c r="E542" s="3" t="s">
        <v>363</v>
      </c>
      <c r="F542" s="3">
        <v>7126</v>
      </c>
      <c r="G542" s="3">
        <v>484</v>
      </c>
      <c r="H542" s="3">
        <v>565</v>
      </c>
      <c r="I542" s="3">
        <v>573</v>
      </c>
      <c r="J542" s="3">
        <v>7389</v>
      </c>
      <c r="K542" s="3">
        <v>237096</v>
      </c>
      <c r="L542" s="3" t="s">
        <v>20</v>
      </c>
      <c r="M542" s="4">
        <v>3.4479704423524646E-2</v>
      </c>
    </row>
    <row r="543" spans="1:13" x14ac:dyDescent="0.3">
      <c r="A543" s="3" t="s">
        <v>217</v>
      </c>
      <c r="B543" s="3" t="s">
        <v>22</v>
      </c>
      <c r="C543" s="2">
        <v>45942</v>
      </c>
      <c r="D543" s="3" t="s">
        <v>34</v>
      </c>
      <c r="E543" s="3" t="s">
        <v>364</v>
      </c>
      <c r="F543" s="3">
        <v>7126</v>
      </c>
      <c r="G543" s="3">
        <v>484</v>
      </c>
      <c r="H543" s="3">
        <v>565</v>
      </c>
      <c r="I543" s="3">
        <v>573</v>
      </c>
      <c r="J543" s="3">
        <v>7389</v>
      </c>
      <c r="K543" s="3">
        <v>237096</v>
      </c>
      <c r="L543" s="3" t="s">
        <v>20</v>
      </c>
      <c r="M543" s="4">
        <v>3.4479704423524646E-2</v>
      </c>
    </row>
    <row r="544" spans="1:13" x14ac:dyDescent="0.3">
      <c r="A544" s="3" t="s">
        <v>146</v>
      </c>
      <c r="B544" s="3" t="s">
        <v>13</v>
      </c>
      <c r="C544" s="2">
        <v>45502</v>
      </c>
      <c r="D544" s="3" t="s">
        <v>27</v>
      </c>
      <c r="E544" s="3" t="s">
        <v>363</v>
      </c>
      <c r="F544" s="3">
        <v>6164</v>
      </c>
      <c r="G544" s="3">
        <v>326</v>
      </c>
      <c r="H544" s="3">
        <v>615</v>
      </c>
      <c r="I544" s="3">
        <v>2806</v>
      </c>
      <c r="J544" s="3">
        <v>38579</v>
      </c>
      <c r="K544" s="3">
        <v>206129</v>
      </c>
      <c r="L544" s="3" t="s">
        <v>45</v>
      </c>
      <c r="M544" s="4">
        <v>3.4468706489625425E-2</v>
      </c>
    </row>
    <row r="545" spans="1:13" x14ac:dyDescent="0.3">
      <c r="A545" s="3" t="s">
        <v>146</v>
      </c>
      <c r="B545" s="3" t="s">
        <v>13</v>
      </c>
      <c r="C545" s="2">
        <v>45502</v>
      </c>
      <c r="D545" s="3" t="s">
        <v>27</v>
      </c>
      <c r="E545" s="3" t="s">
        <v>364</v>
      </c>
      <c r="F545" s="3">
        <v>6164</v>
      </c>
      <c r="G545" s="3">
        <v>326</v>
      </c>
      <c r="H545" s="3">
        <v>615</v>
      </c>
      <c r="I545" s="3">
        <v>2806</v>
      </c>
      <c r="J545" s="3">
        <v>38579</v>
      </c>
      <c r="K545" s="3">
        <v>206129</v>
      </c>
      <c r="L545" s="3" t="s">
        <v>45</v>
      </c>
      <c r="M545" s="4">
        <v>3.4468706489625425E-2</v>
      </c>
    </row>
    <row r="546" spans="1:13" x14ac:dyDescent="0.3">
      <c r="A546" s="3" t="s">
        <v>328</v>
      </c>
      <c r="B546" s="3" t="s">
        <v>13</v>
      </c>
      <c r="C546" s="2">
        <v>45613</v>
      </c>
      <c r="D546" s="3" t="s">
        <v>34</v>
      </c>
      <c r="E546" s="3" t="s">
        <v>361</v>
      </c>
      <c r="F546" s="3">
        <v>4219</v>
      </c>
      <c r="G546" s="3">
        <v>240</v>
      </c>
      <c r="H546" s="3">
        <v>670</v>
      </c>
      <c r="I546" s="3">
        <v>815</v>
      </c>
      <c r="J546" s="3">
        <v>11978</v>
      </c>
      <c r="K546" s="3">
        <v>159735</v>
      </c>
      <c r="L546" s="3" t="s">
        <v>29</v>
      </c>
      <c r="M546" s="4">
        <v>3.2109431245500357E-2</v>
      </c>
    </row>
    <row r="547" spans="1:13" x14ac:dyDescent="0.3">
      <c r="A547" s="3" t="s">
        <v>328</v>
      </c>
      <c r="B547" s="3" t="s">
        <v>13</v>
      </c>
      <c r="C547" s="2">
        <v>45613</v>
      </c>
      <c r="D547" s="3" t="s">
        <v>34</v>
      </c>
      <c r="E547" s="3" t="s">
        <v>362</v>
      </c>
      <c r="F547" s="3">
        <v>4219</v>
      </c>
      <c r="G547" s="3">
        <v>240</v>
      </c>
      <c r="H547" s="3">
        <v>670</v>
      </c>
      <c r="I547" s="3">
        <v>815</v>
      </c>
      <c r="J547" s="3">
        <v>11978</v>
      </c>
      <c r="K547" s="3">
        <v>159735</v>
      </c>
      <c r="L547" s="3" t="s">
        <v>29</v>
      </c>
      <c r="M547" s="4">
        <v>3.2109431245500357E-2</v>
      </c>
    </row>
    <row r="548" spans="1:13" x14ac:dyDescent="0.3">
      <c r="A548" s="3" t="s">
        <v>309</v>
      </c>
      <c r="B548" s="3" t="s">
        <v>18</v>
      </c>
      <c r="C548" s="2">
        <v>45577</v>
      </c>
      <c r="D548" s="3" t="s">
        <v>14</v>
      </c>
      <c r="E548" s="3" t="s">
        <v>368</v>
      </c>
      <c r="F548" s="3">
        <v>6208</v>
      </c>
      <c r="G548" s="3">
        <v>725</v>
      </c>
      <c r="H548" s="3">
        <v>309</v>
      </c>
      <c r="I548" s="3">
        <v>848</v>
      </c>
      <c r="J548" s="3">
        <v>39319</v>
      </c>
      <c r="K548" s="3">
        <v>225763</v>
      </c>
      <c r="L548" s="3" t="s">
        <v>16</v>
      </c>
      <c r="M548" s="4">
        <v>3.207788698768177E-2</v>
      </c>
    </row>
    <row r="549" spans="1:13" x14ac:dyDescent="0.3">
      <c r="A549" s="3" t="s">
        <v>309</v>
      </c>
      <c r="B549" s="3" t="s">
        <v>18</v>
      </c>
      <c r="C549" s="2">
        <v>45577</v>
      </c>
      <c r="D549" s="3" t="s">
        <v>14</v>
      </c>
      <c r="E549" s="3" t="s">
        <v>369</v>
      </c>
      <c r="F549" s="3">
        <v>6208</v>
      </c>
      <c r="G549" s="3">
        <v>725</v>
      </c>
      <c r="H549" s="3">
        <v>309</v>
      </c>
      <c r="I549" s="3">
        <v>848</v>
      </c>
      <c r="J549" s="3">
        <v>39319</v>
      </c>
      <c r="K549" s="3">
        <v>225763</v>
      </c>
      <c r="L549" s="3" t="s">
        <v>16</v>
      </c>
      <c r="M549" s="4">
        <v>3.207788698768177E-2</v>
      </c>
    </row>
    <row r="550" spans="1:13" x14ac:dyDescent="0.3">
      <c r="A550" s="3" t="s">
        <v>283</v>
      </c>
      <c r="B550" s="3" t="s">
        <v>22</v>
      </c>
      <c r="C550" s="2">
        <v>45531</v>
      </c>
      <c r="D550" s="3" t="s">
        <v>14</v>
      </c>
      <c r="E550" s="3" t="s">
        <v>64</v>
      </c>
      <c r="F550" s="3">
        <v>6324</v>
      </c>
      <c r="G550" s="3">
        <v>908</v>
      </c>
      <c r="H550" s="3">
        <v>375</v>
      </c>
      <c r="I550" s="3">
        <v>758</v>
      </c>
      <c r="J550" s="3">
        <v>34850</v>
      </c>
      <c r="K550" s="3">
        <v>241039</v>
      </c>
      <c r="L550" s="3" t="s">
        <v>16</v>
      </c>
      <c r="M550" s="4">
        <v>3.1559208260903839E-2</v>
      </c>
    </row>
    <row r="551" spans="1:13" x14ac:dyDescent="0.3">
      <c r="A551" s="3" t="s">
        <v>209</v>
      </c>
      <c r="B551" s="3" t="s">
        <v>13</v>
      </c>
      <c r="C551" s="2">
        <v>45631</v>
      </c>
      <c r="D551" s="3" t="s">
        <v>23</v>
      </c>
      <c r="E551" s="3" t="s">
        <v>359</v>
      </c>
      <c r="F551" s="3">
        <v>4125</v>
      </c>
      <c r="G551" s="3">
        <v>1364</v>
      </c>
      <c r="H551" s="3">
        <v>319</v>
      </c>
      <c r="I551" s="3">
        <v>2848</v>
      </c>
      <c r="J551" s="3">
        <v>15379</v>
      </c>
      <c r="K551" s="3">
        <v>188159</v>
      </c>
      <c r="L551" s="3" t="s">
        <v>45</v>
      </c>
      <c r="M551" s="4">
        <v>3.0867510988047343E-2</v>
      </c>
    </row>
    <row r="552" spans="1:13" x14ac:dyDescent="0.3">
      <c r="A552" s="3" t="s">
        <v>209</v>
      </c>
      <c r="B552" s="3" t="s">
        <v>13</v>
      </c>
      <c r="C552" s="2">
        <v>45631</v>
      </c>
      <c r="D552" s="3" t="s">
        <v>23</v>
      </c>
      <c r="E552" s="3" t="s">
        <v>366</v>
      </c>
      <c r="F552" s="3">
        <v>4125</v>
      </c>
      <c r="G552" s="3">
        <v>1364</v>
      </c>
      <c r="H552" s="3">
        <v>319</v>
      </c>
      <c r="I552" s="3">
        <v>2848</v>
      </c>
      <c r="J552" s="3">
        <v>15379</v>
      </c>
      <c r="K552" s="3">
        <v>188159</v>
      </c>
      <c r="L552" s="3" t="s">
        <v>45</v>
      </c>
      <c r="M552" s="4">
        <v>3.0867510988047343E-2</v>
      </c>
    </row>
    <row r="553" spans="1:13" x14ac:dyDescent="0.3">
      <c r="A553" s="3" t="s">
        <v>229</v>
      </c>
      <c r="B553" s="3" t="s">
        <v>22</v>
      </c>
      <c r="C553" s="2">
        <v>45546</v>
      </c>
      <c r="D553" s="3" t="s">
        <v>14</v>
      </c>
      <c r="E553" s="3" t="s">
        <v>363</v>
      </c>
      <c r="F553" s="3">
        <v>3906</v>
      </c>
      <c r="G553" s="3">
        <v>1187</v>
      </c>
      <c r="H553" s="3">
        <v>589</v>
      </c>
      <c r="I553" s="3">
        <v>401</v>
      </c>
      <c r="J553" s="3">
        <v>52687</v>
      </c>
      <c r="K553" s="3">
        <v>196498</v>
      </c>
      <c r="L553" s="3" t="s">
        <v>16</v>
      </c>
      <c r="M553" s="4">
        <v>2.8916324848090057E-2</v>
      </c>
    </row>
    <row r="554" spans="1:13" x14ac:dyDescent="0.3">
      <c r="A554" s="3" t="s">
        <v>229</v>
      </c>
      <c r="B554" s="3" t="s">
        <v>22</v>
      </c>
      <c r="C554" s="2">
        <v>45546</v>
      </c>
      <c r="D554" s="3" t="s">
        <v>14</v>
      </c>
      <c r="E554" s="3" t="s">
        <v>364</v>
      </c>
      <c r="F554" s="3">
        <v>3906</v>
      </c>
      <c r="G554" s="3">
        <v>1187</v>
      </c>
      <c r="H554" s="3">
        <v>589</v>
      </c>
      <c r="I554" s="3">
        <v>401</v>
      </c>
      <c r="J554" s="3">
        <v>52687</v>
      </c>
      <c r="K554" s="3">
        <v>196498</v>
      </c>
      <c r="L554" s="3" t="s">
        <v>16</v>
      </c>
      <c r="M554" s="4">
        <v>2.8916324848090057E-2</v>
      </c>
    </row>
    <row r="555" spans="1:13" x14ac:dyDescent="0.3">
      <c r="A555" s="3" t="s">
        <v>281</v>
      </c>
      <c r="B555" s="3" t="s">
        <v>13</v>
      </c>
      <c r="C555" s="2">
        <v>45669</v>
      </c>
      <c r="D555" s="3" t="s">
        <v>14</v>
      </c>
      <c r="E555" s="3" t="s">
        <v>359</v>
      </c>
      <c r="F555" s="3">
        <v>4590</v>
      </c>
      <c r="G555" s="3">
        <v>713</v>
      </c>
      <c r="H555" s="3">
        <v>479</v>
      </c>
      <c r="I555" s="3">
        <v>2730</v>
      </c>
      <c r="J555" s="3">
        <v>41050</v>
      </c>
      <c r="K555" s="3">
        <v>204246</v>
      </c>
      <c r="L555" s="3" t="s">
        <v>25</v>
      </c>
      <c r="M555" s="4">
        <v>2.8308999931455206E-2</v>
      </c>
    </row>
    <row r="556" spans="1:13" x14ac:dyDescent="0.3">
      <c r="A556" s="3" t="s">
        <v>281</v>
      </c>
      <c r="B556" s="3" t="s">
        <v>13</v>
      </c>
      <c r="C556" s="2">
        <v>45669</v>
      </c>
      <c r="D556" s="3" t="s">
        <v>14</v>
      </c>
      <c r="E556" s="3" t="s">
        <v>360</v>
      </c>
      <c r="F556" s="3">
        <v>4590</v>
      </c>
      <c r="G556" s="3">
        <v>713</v>
      </c>
      <c r="H556" s="3">
        <v>479</v>
      </c>
      <c r="I556" s="3">
        <v>2730</v>
      </c>
      <c r="J556" s="3">
        <v>41050</v>
      </c>
      <c r="K556" s="3">
        <v>204246</v>
      </c>
      <c r="L556" s="3" t="s">
        <v>25</v>
      </c>
      <c r="M556" s="4">
        <v>2.8308999931455206E-2</v>
      </c>
    </row>
    <row r="557" spans="1:13" x14ac:dyDescent="0.3">
      <c r="A557" s="3" t="s">
        <v>272</v>
      </c>
      <c r="B557" s="3" t="s">
        <v>18</v>
      </c>
      <c r="C557" s="2">
        <v>45523</v>
      </c>
      <c r="D557" s="3" t="s">
        <v>27</v>
      </c>
      <c r="E557" s="3" t="s">
        <v>367</v>
      </c>
      <c r="F557" s="3">
        <v>3605</v>
      </c>
      <c r="G557" s="3">
        <v>206</v>
      </c>
      <c r="H557" s="3">
        <v>921</v>
      </c>
      <c r="I557" s="3">
        <v>852</v>
      </c>
      <c r="J557" s="3">
        <v>11660</v>
      </c>
      <c r="K557" s="3">
        <v>182635</v>
      </c>
      <c r="L557" s="3" t="s">
        <v>29</v>
      </c>
      <c r="M557" s="4">
        <v>2.590960111698196E-2</v>
      </c>
    </row>
    <row r="558" spans="1:13" x14ac:dyDescent="0.3">
      <c r="A558" s="3" t="s">
        <v>272</v>
      </c>
      <c r="B558" s="3" t="s">
        <v>18</v>
      </c>
      <c r="C558" s="2">
        <v>45523</v>
      </c>
      <c r="D558" s="3" t="s">
        <v>27</v>
      </c>
      <c r="E558" s="3" t="s">
        <v>32</v>
      </c>
      <c r="F558" s="3">
        <v>3605</v>
      </c>
      <c r="G558" s="3">
        <v>206</v>
      </c>
      <c r="H558" s="3">
        <v>921</v>
      </c>
      <c r="I558" s="3">
        <v>852</v>
      </c>
      <c r="J558" s="3">
        <v>11660</v>
      </c>
      <c r="K558" s="3">
        <v>182635</v>
      </c>
      <c r="L558" s="3" t="s">
        <v>29</v>
      </c>
      <c r="M558" s="4">
        <v>2.590960111698196E-2</v>
      </c>
    </row>
    <row r="559" spans="1:13" x14ac:dyDescent="0.3">
      <c r="A559" s="3" t="s">
        <v>76</v>
      </c>
      <c r="B559" s="3" t="s">
        <v>13</v>
      </c>
      <c r="C559" s="2">
        <v>45915</v>
      </c>
      <c r="D559" s="3" t="s">
        <v>23</v>
      </c>
      <c r="E559" s="3" t="s">
        <v>355</v>
      </c>
      <c r="F559" s="3">
        <v>5636</v>
      </c>
      <c r="G559" s="3">
        <v>303</v>
      </c>
      <c r="H559" s="3">
        <v>204</v>
      </c>
      <c r="I559" s="3">
        <v>2480</v>
      </c>
      <c r="J559" s="3">
        <v>7377</v>
      </c>
      <c r="K559" s="3">
        <v>241207</v>
      </c>
      <c r="L559" s="3" t="s">
        <v>20</v>
      </c>
      <c r="M559" s="4">
        <v>2.5467751765081443E-2</v>
      </c>
    </row>
    <row r="560" spans="1:13" x14ac:dyDescent="0.3">
      <c r="A560" s="3" t="s">
        <v>76</v>
      </c>
      <c r="B560" s="3" t="s">
        <v>13</v>
      </c>
      <c r="C560" s="2">
        <v>45915</v>
      </c>
      <c r="D560" s="3" t="s">
        <v>23</v>
      </c>
      <c r="E560" s="3" t="s">
        <v>356</v>
      </c>
      <c r="F560" s="3">
        <v>5636</v>
      </c>
      <c r="G560" s="3">
        <v>303</v>
      </c>
      <c r="H560" s="3">
        <v>204</v>
      </c>
      <c r="I560" s="3">
        <v>2480</v>
      </c>
      <c r="J560" s="3">
        <v>7377</v>
      </c>
      <c r="K560" s="3">
        <v>241207</v>
      </c>
      <c r="L560" s="3" t="s">
        <v>20</v>
      </c>
      <c r="M560" s="4">
        <v>2.5467751765081443E-2</v>
      </c>
    </row>
    <row r="561" spans="1:13" x14ac:dyDescent="0.3">
      <c r="A561" s="3" t="s">
        <v>113</v>
      </c>
      <c r="B561" s="3" t="s">
        <v>18</v>
      </c>
      <c r="C561" s="2">
        <v>45460</v>
      </c>
      <c r="D561" s="3" t="s">
        <v>14</v>
      </c>
      <c r="E561" s="3" t="s">
        <v>361</v>
      </c>
      <c r="F561" s="3">
        <v>3252</v>
      </c>
      <c r="G561" s="3">
        <v>1043</v>
      </c>
      <c r="H561" s="3">
        <v>647</v>
      </c>
      <c r="I561" s="3">
        <v>1545</v>
      </c>
      <c r="J561" s="3">
        <v>18859</v>
      </c>
      <c r="K561" s="3">
        <v>222958</v>
      </c>
      <c r="L561" s="3" t="s">
        <v>16</v>
      </c>
      <c r="M561" s="4">
        <v>2.2165609666394567E-2</v>
      </c>
    </row>
    <row r="562" spans="1:13" x14ac:dyDescent="0.3">
      <c r="A562" s="3" t="s">
        <v>113</v>
      </c>
      <c r="B562" s="3" t="s">
        <v>18</v>
      </c>
      <c r="C562" s="2">
        <v>45460</v>
      </c>
      <c r="D562" s="3" t="s">
        <v>14</v>
      </c>
      <c r="E562" s="3" t="s">
        <v>362</v>
      </c>
      <c r="F562" s="3">
        <v>3252</v>
      </c>
      <c r="G562" s="3">
        <v>1043</v>
      </c>
      <c r="H562" s="3">
        <v>647</v>
      </c>
      <c r="I562" s="3">
        <v>1545</v>
      </c>
      <c r="J562" s="3">
        <v>18859</v>
      </c>
      <c r="K562" s="3">
        <v>222958</v>
      </c>
      <c r="L562" s="3" t="s">
        <v>16</v>
      </c>
      <c r="M562" s="4">
        <v>2.2165609666394567E-2</v>
      </c>
    </row>
    <row r="563" spans="1:13" x14ac:dyDescent="0.3">
      <c r="A563" s="3" t="s">
        <v>224</v>
      </c>
      <c r="B563" s="3" t="s">
        <v>13</v>
      </c>
      <c r="C563" s="2">
        <v>45449</v>
      </c>
      <c r="D563" s="3" t="s">
        <v>34</v>
      </c>
      <c r="E563" s="3" t="s">
        <v>368</v>
      </c>
      <c r="F563" s="3">
        <v>3531</v>
      </c>
      <c r="G563" s="3">
        <v>789</v>
      </c>
      <c r="H563" s="3">
        <v>467</v>
      </c>
      <c r="I563" s="3">
        <v>1867</v>
      </c>
      <c r="J563" s="3">
        <v>40816</v>
      </c>
      <c r="K563" s="3">
        <v>236037</v>
      </c>
      <c r="L563" s="3" t="s">
        <v>25</v>
      </c>
      <c r="M563" s="4">
        <v>2.0280718700881641E-2</v>
      </c>
    </row>
    <row r="564" spans="1:13" x14ac:dyDescent="0.3">
      <c r="A564" s="3" t="s">
        <v>224</v>
      </c>
      <c r="B564" s="3" t="s">
        <v>13</v>
      </c>
      <c r="C564" s="2">
        <v>45449</v>
      </c>
      <c r="D564" s="3" t="s">
        <v>34</v>
      </c>
      <c r="E564" s="3" t="s">
        <v>369</v>
      </c>
      <c r="F564" s="3">
        <v>3531</v>
      </c>
      <c r="G564" s="3">
        <v>789</v>
      </c>
      <c r="H564" s="3">
        <v>467</v>
      </c>
      <c r="I564" s="3">
        <v>1867</v>
      </c>
      <c r="J564" s="3">
        <v>40816</v>
      </c>
      <c r="K564" s="3">
        <v>236037</v>
      </c>
      <c r="L564" s="3" t="s">
        <v>25</v>
      </c>
      <c r="M564" s="4">
        <v>2.0280718700881641E-2</v>
      </c>
    </row>
    <row r="565" spans="1:13" x14ac:dyDescent="0.3">
      <c r="A565" s="3" t="s">
        <v>26</v>
      </c>
      <c r="B565" s="3" t="s">
        <v>13</v>
      </c>
      <c r="C565" s="2">
        <v>45516</v>
      </c>
      <c r="D565" s="3" t="s">
        <v>27</v>
      </c>
      <c r="E565" s="3" t="s">
        <v>359</v>
      </c>
      <c r="F565" s="3">
        <v>3581</v>
      </c>
      <c r="G565" s="3">
        <v>517</v>
      </c>
      <c r="H565" s="3">
        <v>880</v>
      </c>
      <c r="I565" s="3">
        <v>1925</v>
      </c>
      <c r="J565" s="3">
        <v>18636</v>
      </c>
      <c r="K565" s="3">
        <v>248611</v>
      </c>
      <c r="L565" s="3" t="s">
        <v>29</v>
      </c>
      <c r="M565" s="4">
        <v>2.0023249172401864E-2</v>
      </c>
    </row>
    <row r="566" spans="1:13" x14ac:dyDescent="0.3">
      <c r="A566" s="3" t="s">
        <v>26</v>
      </c>
      <c r="B566" s="3" t="s">
        <v>13</v>
      </c>
      <c r="C566" s="2">
        <v>45516</v>
      </c>
      <c r="D566" s="3" t="s">
        <v>27</v>
      </c>
      <c r="E566" s="3" t="s">
        <v>360</v>
      </c>
      <c r="F566" s="3">
        <v>3581</v>
      </c>
      <c r="G566" s="3">
        <v>517</v>
      </c>
      <c r="H566" s="3">
        <v>880</v>
      </c>
      <c r="I566" s="3">
        <v>1925</v>
      </c>
      <c r="J566" s="3">
        <v>18636</v>
      </c>
      <c r="K566" s="3">
        <v>248611</v>
      </c>
      <c r="L566" s="3" t="s">
        <v>29</v>
      </c>
      <c r="M566" s="4">
        <v>2.0023249172401864E-2</v>
      </c>
    </row>
    <row r="567" spans="1:13" x14ac:dyDescent="0.3">
      <c r="A567" s="3" t="s">
        <v>203</v>
      </c>
      <c r="B567" s="3" t="s">
        <v>18</v>
      </c>
      <c r="C567" s="2">
        <v>45624</v>
      </c>
      <c r="D567" s="3" t="s">
        <v>34</v>
      </c>
      <c r="E567" s="3" t="s">
        <v>359</v>
      </c>
      <c r="F567" s="3">
        <v>2302</v>
      </c>
      <c r="G567" s="3">
        <v>347</v>
      </c>
      <c r="H567" s="3">
        <v>642</v>
      </c>
      <c r="I567" s="3">
        <v>2175</v>
      </c>
      <c r="J567" s="3">
        <v>56378</v>
      </c>
      <c r="K567" s="3">
        <v>198056</v>
      </c>
      <c r="L567" s="3" t="s">
        <v>45</v>
      </c>
      <c r="M567" s="4">
        <v>1.6616512501514722E-2</v>
      </c>
    </row>
    <row r="568" spans="1:13" x14ac:dyDescent="0.3">
      <c r="A568" s="3" t="s">
        <v>203</v>
      </c>
      <c r="B568" s="3" t="s">
        <v>18</v>
      </c>
      <c r="C568" s="2">
        <v>45624</v>
      </c>
      <c r="D568" s="3" t="s">
        <v>34</v>
      </c>
      <c r="E568" s="3" t="s">
        <v>366</v>
      </c>
      <c r="F568" s="3">
        <v>2302</v>
      </c>
      <c r="G568" s="3">
        <v>347</v>
      </c>
      <c r="H568" s="3">
        <v>642</v>
      </c>
      <c r="I568" s="3">
        <v>2175</v>
      </c>
      <c r="J568" s="3">
        <v>56378</v>
      </c>
      <c r="K568" s="3">
        <v>198056</v>
      </c>
      <c r="L568" s="3" t="s">
        <v>45</v>
      </c>
      <c r="M568" s="4">
        <v>1.6616512501514722E-2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15F52-0111-4AB8-8B8A-91F9ED631270}">
  <dimension ref="A3:I23"/>
  <sheetViews>
    <sheetView workbookViewId="0">
      <selection activeCell="G22" sqref="G22"/>
    </sheetView>
  </sheetViews>
  <sheetFormatPr defaultRowHeight="14.4" x14ac:dyDescent="0.3"/>
  <cols>
    <col min="1" max="1" width="18.109375" bestFit="1" customWidth="1"/>
    <col min="2" max="2" width="25.77734375" bestFit="1" customWidth="1"/>
    <col min="3" max="3" width="12.5546875" bestFit="1" customWidth="1"/>
  </cols>
  <sheetData>
    <row r="3" spans="1:9" x14ac:dyDescent="0.3">
      <c r="A3" s="35" t="s">
        <v>383</v>
      </c>
      <c r="B3" s="25" t="s">
        <v>397</v>
      </c>
    </row>
    <row r="4" spans="1:9" x14ac:dyDescent="0.3">
      <c r="A4" s="36" t="s">
        <v>353</v>
      </c>
      <c r="B4" s="44">
        <v>0.14380411271271717</v>
      </c>
      <c r="D4" s="37" t="s">
        <v>398</v>
      </c>
      <c r="E4" s="37"/>
      <c r="F4" s="37"/>
      <c r="G4" s="37"/>
      <c r="H4" s="37"/>
      <c r="I4" s="37"/>
    </row>
    <row r="5" spans="1:9" x14ac:dyDescent="0.3">
      <c r="A5" s="36" t="s">
        <v>354</v>
      </c>
      <c r="B5" s="44">
        <v>0.14380411271271717</v>
      </c>
    </row>
    <row r="6" spans="1:9" x14ac:dyDescent="0.3">
      <c r="A6" s="36" t="s">
        <v>362</v>
      </c>
      <c r="B6" s="44">
        <v>0.13494947381413458</v>
      </c>
      <c r="C6">
        <v>1</v>
      </c>
      <c r="D6" s="47" t="s">
        <v>353</v>
      </c>
      <c r="E6" s="46"/>
    </row>
    <row r="7" spans="1:9" x14ac:dyDescent="0.3">
      <c r="A7" s="36" t="s">
        <v>361</v>
      </c>
      <c r="B7" s="44">
        <v>0.13494947381413458</v>
      </c>
      <c r="C7">
        <v>2</v>
      </c>
      <c r="D7" s="47" t="s">
        <v>354</v>
      </c>
      <c r="E7" s="46"/>
    </row>
    <row r="8" spans="1:9" x14ac:dyDescent="0.3">
      <c r="A8" s="36" t="s">
        <v>32</v>
      </c>
      <c r="B8" s="44">
        <v>0.13315746256065999</v>
      </c>
      <c r="C8">
        <v>3</v>
      </c>
      <c r="D8" s="47" t="s">
        <v>362</v>
      </c>
      <c r="E8" s="46"/>
    </row>
    <row r="9" spans="1:9" x14ac:dyDescent="0.3">
      <c r="A9" s="36" t="s">
        <v>366</v>
      </c>
      <c r="B9" s="44">
        <v>0.12600406732043232</v>
      </c>
      <c r="C9">
        <v>4</v>
      </c>
      <c r="D9" s="47" t="s">
        <v>361</v>
      </c>
      <c r="E9" s="46"/>
    </row>
    <row r="10" spans="1:9" x14ac:dyDescent="0.3">
      <c r="A10" s="36" t="s">
        <v>367</v>
      </c>
      <c r="B10" s="44">
        <v>0.12026676773989804</v>
      </c>
      <c r="C10">
        <v>5</v>
      </c>
      <c r="D10" s="47" t="s">
        <v>32</v>
      </c>
      <c r="E10" s="46"/>
    </row>
    <row r="11" spans="1:9" x14ac:dyDescent="0.3">
      <c r="A11" s="36" t="s">
        <v>368</v>
      </c>
      <c r="B11" s="44">
        <v>0.12019462245795259</v>
      </c>
    </row>
    <row r="12" spans="1:9" x14ac:dyDescent="0.3">
      <c r="A12" s="36" t="s">
        <v>369</v>
      </c>
      <c r="B12" s="44">
        <v>0.12019462245795259</v>
      </c>
      <c r="D12" s="48" t="s">
        <v>399</v>
      </c>
      <c r="E12" s="38"/>
    </row>
    <row r="13" spans="1:9" x14ac:dyDescent="0.3">
      <c r="A13" s="36" t="s">
        <v>359</v>
      </c>
      <c r="B13" s="44">
        <v>0.11852150483225592</v>
      </c>
    </row>
    <row r="14" spans="1:9" x14ac:dyDescent="0.3">
      <c r="A14" s="36" t="s">
        <v>356</v>
      </c>
      <c r="B14" s="44">
        <v>0.11789410371289012</v>
      </c>
      <c r="C14">
        <v>1</v>
      </c>
      <c r="D14" t="s">
        <v>400</v>
      </c>
    </row>
    <row r="15" spans="1:9" x14ac:dyDescent="0.3">
      <c r="A15" s="36" t="s">
        <v>355</v>
      </c>
      <c r="B15" s="44">
        <v>0.11789410371289012</v>
      </c>
      <c r="C15">
        <v>2</v>
      </c>
      <c r="D15" t="s">
        <v>401</v>
      </c>
    </row>
    <row r="16" spans="1:9" x14ac:dyDescent="0.3">
      <c r="A16" s="36" t="s">
        <v>365</v>
      </c>
      <c r="B16" s="44">
        <v>0.11456579865607176</v>
      </c>
      <c r="C16">
        <v>3</v>
      </c>
      <c r="D16" t="s">
        <v>402</v>
      </c>
    </row>
    <row r="17" spans="1:2" x14ac:dyDescent="0.3">
      <c r="A17" s="36" t="s">
        <v>363</v>
      </c>
      <c r="B17" s="44">
        <v>0.11399721676928389</v>
      </c>
    </row>
    <row r="18" spans="1:2" x14ac:dyDescent="0.3">
      <c r="A18" s="36" t="s">
        <v>364</v>
      </c>
      <c r="B18" s="44">
        <v>0.11399721676928389</v>
      </c>
    </row>
    <row r="19" spans="1:2" x14ac:dyDescent="0.3">
      <c r="A19" s="36" t="s">
        <v>360</v>
      </c>
      <c r="B19" s="44">
        <v>0.11195695112108224</v>
      </c>
    </row>
    <row r="20" spans="1:2" x14ac:dyDescent="0.3">
      <c r="A20" s="36" t="s">
        <v>357</v>
      </c>
      <c r="B20" s="44">
        <v>0.11135741315150899</v>
      </c>
    </row>
    <row r="21" spans="1:2" x14ac:dyDescent="0.3">
      <c r="A21" s="36" t="s">
        <v>358</v>
      </c>
      <c r="B21" s="44">
        <v>0.11135741315150899</v>
      </c>
    </row>
    <row r="22" spans="1:2" x14ac:dyDescent="0.3">
      <c r="A22" s="36" t="s">
        <v>64</v>
      </c>
      <c r="B22" s="44">
        <v>0.10955527128571871</v>
      </c>
    </row>
    <row r="23" spans="1:2" x14ac:dyDescent="0.3">
      <c r="A23" s="36" t="s">
        <v>384</v>
      </c>
      <c r="B23" s="25">
        <v>0.12238019416019523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E1B5C-CE46-4E3D-B4F5-1B63B9968739}">
  <dimension ref="A1:X568"/>
  <sheetViews>
    <sheetView topLeftCell="N19" zoomScale="65" zoomScaleNormal="182" workbookViewId="0">
      <selection activeCell="AB29" sqref="AB29"/>
    </sheetView>
  </sheetViews>
  <sheetFormatPr defaultRowHeight="14.4" x14ac:dyDescent="0.3"/>
  <cols>
    <col min="1" max="1" width="12.6640625" bestFit="1" customWidth="1"/>
    <col min="2" max="2" width="14.77734375" bestFit="1" customWidth="1"/>
    <col min="3" max="3" width="10.5546875" bestFit="1" customWidth="1"/>
    <col min="4" max="4" width="19.5546875" bestFit="1" customWidth="1"/>
    <col min="5" max="5" width="18.109375" bestFit="1" customWidth="1"/>
    <col min="6" max="6" width="11.33203125" bestFit="1" customWidth="1"/>
    <col min="7" max="7" width="13" bestFit="1" customWidth="1"/>
    <col min="8" max="8" width="17.109375" bestFit="1" customWidth="1"/>
    <col min="9" max="9" width="12.21875" bestFit="1" customWidth="1"/>
    <col min="10" max="10" width="12.33203125" bestFit="1" customWidth="1"/>
    <col min="11" max="11" width="18.88671875" bestFit="1" customWidth="1"/>
    <col min="12" max="12" width="26" bestFit="1" customWidth="1"/>
    <col min="13" max="13" width="25.109375" bestFit="1" customWidth="1"/>
    <col min="14" max="14" width="24.33203125" bestFit="1" customWidth="1"/>
    <col min="17" max="17" width="12.88671875" bestFit="1" customWidth="1"/>
    <col min="18" max="19" width="26.33203125" bestFit="1" customWidth="1"/>
    <col min="20" max="20" width="25.6640625" bestFit="1" customWidth="1"/>
    <col min="21" max="21" width="16.21875" bestFit="1" customWidth="1"/>
    <col min="22" max="22" width="24.5546875" bestFit="1" customWidth="1"/>
    <col min="23" max="23" width="27.88671875" bestFit="1" customWidth="1"/>
    <col min="24" max="24" width="12" bestFit="1" customWidth="1"/>
    <col min="25" max="25" width="12.88671875" bestFit="1" customWidth="1"/>
  </cols>
  <sheetData>
    <row r="1" spans="1:24" ht="17.399999999999999" x14ac:dyDescent="0.45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375</v>
      </c>
      <c r="N1" s="14" t="s">
        <v>346</v>
      </c>
    </row>
    <row r="2" spans="1:24" x14ac:dyDescent="0.3">
      <c r="A2" s="3" t="s">
        <v>118</v>
      </c>
      <c r="B2" s="3" t="s">
        <v>18</v>
      </c>
      <c r="C2" s="2">
        <v>45497</v>
      </c>
      <c r="D2" s="3" t="s">
        <v>27</v>
      </c>
      <c r="E2" s="3" t="s">
        <v>361</v>
      </c>
      <c r="F2" s="3">
        <v>22914</v>
      </c>
      <c r="G2" s="3">
        <v>954</v>
      </c>
      <c r="H2" s="3">
        <v>584</v>
      </c>
      <c r="I2" s="3">
        <v>1519</v>
      </c>
      <c r="J2" s="3">
        <v>13637</v>
      </c>
      <c r="K2" s="3">
        <v>49847</v>
      </c>
      <c r="L2" s="3" t="s">
        <v>16</v>
      </c>
      <c r="M2" s="4">
        <v>0.49054105563022848</v>
      </c>
      <c r="N2" s="49" t="str">
        <f>INDEX(Table5_2[Objective], MATCH(L2,Table5_2[Campaign_Name], 0))</f>
        <v>Health &amp; Fitness Awareness</v>
      </c>
    </row>
    <row r="3" spans="1:24" x14ac:dyDescent="0.3">
      <c r="A3" s="3" t="s">
        <v>118</v>
      </c>
      <c r="B3" s="3" t="s">
        <v>18</v>
      </c>
      <c r="C3" s="2">
        <v>45497</v>
      </c>
      <c r="D3" s="3" t="s">
        <v>27</v>
      </c>
      <c r="E3" s="3" t="s">
        <v>362</v>
      </c>
      <c r="F3" s="3">
        <v>22914</v>
      </c>
      <c r="G3" s="3">
        <v>954</v>
      </c>
      <c r="H3" s="3">
        <v>584</v>
      </c>
      <c r="I3" s="3">
        <v>1519</v>
      </c>
      <c r="J3" s="3">
        <v>13637</v>
      </c>
      <c r="K3" s="3">
        <v>49847</v>
      </c>
      <c r="L3" s="3" t="s">
        <v>16</v>
      </c>
      <c r="M3" s="4">
        <v>0.49054105563022848</v>
      </c>
      <c r="N3" s="3" t="str">
        <f>INDEX(Table5_2[Objective], MATCH(L3,Table5_2[Campaign_Name], 0))</f>
        <v>Health &amp; Fitness Awareness</v>
      </c>
    </row>
    <row r="4" spans="1:24" x14ac:dyDescent="0.3">
      <c r="A4" s="3" t="s">
        <v>237</v>
      </c>
      <c r="B4" s="3" t="s">
        <v>13</v>
      </c>
      <c r="C4" s="2">
        <v>45672</v>
      </c>
      <c r="D4" s="3" t="s">
        <v>23</v>
      </c>
      <c r="E4" s="3" t="s">
        <v>32</v>
      </c>
      <c r="F4" s="3">
        <v>20360</v>
      </c>
      <c r="G4" s="3">
        <v>254</v>
      </c>
      <c r="H4" s="3">
        <v>726</v>
      </c>
      <c r="I4" s="3">
        <v>1995</v>
      </c>
      <c r="J4" s="3">
        <v>14280</v>
      </c>
      <c r="K4" s="3">
        <v>43726</v>
      </c>
      <c r="L4" s="3" t="s">
        <v>29</v>
      </c>
      <c r="M4" s="4">
        <v>0.48803915290673738</v>
      </c>
      <c r="N4" s="3" t="str">
        <f>INDEX(Table5_2[Objective], MATCH(L4,Table5_2[Campaign_Name], 0))</f>
        <v>Product Launch</v>
      </c>
    </row>
    <row r="5" spans="1:24" x14ac:dyDescent="0.3">
      <c r="A5" s="3" t="s">
        <v>157</v>
      </c>
      <c r="B5" s="3" t="s">
        <v>18</v>
      </c>
      <c r="C5" s="2">
        <v>45502</v>
      </c>
      <c r="D5" s="3" t="s">
        <v>27</v>
      </c>
      <c r="E5" s="3" t="s">
        <v>353</v>
      </c>
      <c r="F5" s="3">
        <v>19144</v>
      </c>
      <c r="G5" s="3">
        <v>1182</v>
      </c>
      <c r="H5" s="3">
        <v>860</v>
      </c>
      <c r="I5" s="3">
        <v>1398</v>
      </c>
      <c r="J5" s="3">
        <v>4185</v>
      </c>
      <c r="K5" s="3">
        <v>46570</v>
      </c>
      <c r="L5" s="3" t="s">
        <v>16</v>
      </c>
      <c r="M5" s="4">
        <v>0.454928065278076</v>
      </c>
      <c r="N5" s="3" t="str">
        <f>INDEX(Table5_2[Objective], MATCH(L5,Table5_2[Campaign_Name], 0))</f>
        <v>Health &amp; Fitness Awareness</v>
      </c>
    </row>
    <row r="6" spans="1:24" x14ac:dyDescent="0.3">
      <c r="A6" s="3" t="s">
        <v>157</v>
      </c>
      <c r="B6" s="3" t="s">
        <v>18</v>
      </c>
      <c r="C6" s="2">
        <v>45502</v>
      </c>
      <c r="D6" s="3" t="s">
        <v>27</v>
      </c>
      <c r="E6" s="3" t="s">
        <v>354</v>
      </c>
      <c r="F6" s="3">
        <v>19144</v>
      </c>
      <c r="G6" s="3">
        <v>1182</v>
      </c>
      <c r="H6" s="3">
        <v>860</v>
      </c>
      <c r="I6" s="3">
        <v>1398</v>
      </c>
      <c r="J6" s="3">
        <v>4185</v>
      </c>
      <c r="K6" s="3">
        <v>46570</v>
      </c>
      <c r="L6" s="3" t="s">
        <v>16</v>
      </c>
      <c r="M6" s="4">
        <v>0.454928065278076</v>
      </c>
      <c r="N6" s="3" t="str">
        <f>INDEX(Table5_2[Objective], MATCH(L6,Table5_2[Campaign_Name], 0))</f>
        <v>Health &amp; Fitness Awareness</v>
      </c>
    </row>
    <row r="7" spans="1:24" x14ac:dyDescent="0.3">
      <c r="A7" s="3" t="s">
        <v>163</v>
      </c>
      <c r="B7" s="3" t="s">
        <v>40</v>
      </c>
      <c r="C7" s="2">
        <v>45684</v>
      </c>
      <c r="D7" s="3" t="s">
        <v>14</v>
      </c>
      <c r="E7" s="3" t="s">
        <v>359</v>
      </c>
      <c r="F7" s="3">
        <v>24415</v>
      </c>
      <c r="G7" s="3">
        <v>860</v>
      </c>
      <c r="H7" s="3">
        <v>931</v>
      </c>
      <c r="I7" s="3">
        <v>320</v>
      </c>
      <c r="J7" s="3">
        <v>65049</v>
      </c>
      <c r="K7" s="3">
        <v>62911</v>
      </c>
      <c r="L7" s="3" t="s">
        <v>16</v>
      </c>
      <c r="M7" s="4">
        <v>0.41655672298962027</v>
      </c>
      <c r="N7" s="3" t="str">
        <f>INDEX(Table5_2[Objective], MATCH(L7,Table5_2[Campaign_Name], 0))</f>
        <v>Health &amp; Fitness Awareness</v>
      </c>
    </row>
    <row r="8" spans="1:24" x14ac:dyDescent="0.3">
      <c r="A8" s="3" t="s">
        <v>163</v>
      </c>
      <c r="B8" s="3" t="s">
        <v>40</v>
      </c>
      <c r="C8" s="2">
        <v>45684</v>
      </c>
      <c r="D8" s="3" t="s">
        <v>14</v>
      </c>
      <c r="E8" s="3" t="s">
        <v>366</v>
      </c>
      <c r="F8" s="3">
        <v>24415</v>
      </c>
      <c r="G8" s="3">
        <v>860</v>
      </c>
      <c r="H8" s="3">
        <v>931</v>
      </c>
      <c r="I8" s="3">
        <v>320</v>
      </c>
      <c r="J8" s="3">
        <v>65049</v>
      </c>
      <c r="K8" s="3">
        <v>62911</v>
      </c>
      <c r="L8" s="3" t="s">
        <v>16</v>
      </c>
      <c r="M8" s="4">
        <v>0.41655672298962027</v>
      </c>
      <c r="N8" s="3" t="str">
        <f>INDEX(Table5_2[Objective], MATCH(L8,Table5_2[Campaign_Name], 0))</f>
        <v>Health &amp; Fitness Awareness</v>
      </c>
    </row>
    <row r="9" spans="1:24" x14ac:dyDescent="0.3">
      <c r="A9" s="3" t="s">
        <v>44</v>
      </c>
      <c r="B9" s="3" t="s">
        <v>13</v>
      </c>
      <c r="C9" s="2">
        <v>45614</v>
      </c>
      <c r="D9" s="3" t="s">
        <v>34</v>
      </c>
      <c r="E9" s="3" t="s">
        <v>361</v>
      </c>
      <c r="F9" s="3">
        <v>21255</v>
      </c>
      <c r="G9" s="3">
        <v>1452</v>
      </c>
      <c r="H9" s="3">
        <v>625</v>
      </c>
      <c r="I9" s="3">
        <v>1624</v>
      </c>
      <c r="J9" s="3">
        <v>21282</v>
      </c>
      <c r="K9" s="3">
        <v>57778</v>
      </c>
      <c r="L9" s="3" t="s">
        <v>45</v>
      </c>
      <c r="M9" s="4">
        <v>0.40382152376337016</v>
      </c>
      <c r="N9" s="3" t="str">
        <f>INDEX(Table5_2[Objective], MATCH(L9,Table5_2[Campaign_Name], 0))</f>
        <v>Product Promotion</v>
      </c>
      <c r="R9" s="35" t="s">
        <v>397</v>
      </c>
      <c r="S9" s="35" t="s">
        <v>403</v>
      </c>
      <c r="T9" s="25"/>
      <c r="U9" s="25"/>
      <c r="V9" s="25"/>
      <c r="W9" s="25"/>
      <c r="X9" s="25"/>
    </row>
    <row r="10" spans="1:24" x14ac:dyDescent="0.3">
      <c r="A10" s="3" t="s">
        <v>44</v>
      </c>
      <c r="B10" s="3" t="s">
        <v>13</v>
      </c>
      <c r="C10" s="2">
        <v>45614</v>
      </c>
      <c r="D10" s="3" t="s">
        <v>34</v>
      </c>
      <c r="E10" s="3" t="s">
        <v>362</v>
      </c>
      <c r="F10" s="3">
        <v>21255</v>
      </c>
      <c r="G10" s="3">
        <v>1452</v>
      </c>
      <c r="H10" s="3">
        <v>625</v>
      </c>
      <c r="I10" s="3">
        <v>1624</v>
      </c>
      <c r="J10" s="3">
        <v>21282</v>
      </c>
      <c r="K10" s="3">
        <v>57778</v>
      </c>
      <c r="L10" s="3" t="s">
        <v>45</v>
      </c>
      <c r="M10" s="4">
        <v>0.40382152376337016</v>
      </c>
      <c r="N10" s="3" t="str">
        <f>INDEX(Table5_2[Objective], MATCH(L10,Table5_2[Campaign_Name], 0))</f>
        <v>Product Promotion</v>
      </c>
      <c r="R10" s="35" t="s">
        <v>404</v>
      </c>
      <c r="S10" s="25" t="s">
        <v>20</v>
      </c>
      <c r="T10" s="25" t="s">
        <v>16</v>
      </c>
      <c r="U10" s="25" t="s">
        <v>29</v>
      </c>
      <c r="V10" s="25" t="s">
        <v>45</v>
      </c>
      <c r="W10" s="25" t="s">
        <v>25</v>
      </c>
      <c r="X10" s="25" t="s">
        <v>384</v>
      </c>
    </row>
    <row r="11" spans="1:24" x14ac:dyDescent="0.3">
      <c r="A11" s="3" t="s">
        <v>159</v>
      </c>
      <c r="B11" s="3" t="s">
        <v>40</v>
      </c>
      <c r="C11" s="2">
        <v>45457</v>
      </c>
      <c r="D11" s="3" t="s">
        <v>27</v>
      </c>
      <c r="E11" s="3" t="s">
        <v>359</v>
      </c>
      <c r="F11" s="3">
        <v>17183</v>
      </c>
      <c r="G11" s="3">
        <v>1224</v>
      </c>
      <c r="H11" s="3">
        <v>943</v>
      </c>
      <c r="I11" s="3">
        <v>2010</v>
      </c>
      <c r="J11" s="3">
        <v>21481</v>
      </c>
      <c r="K11" s="3">
        <v>49110</v>
      </c>
      <c r="L11" s="3" t="s">
        <v>25</v>
      </c>
      <c r="M11" s="4">
        <v>0.39401343921808185</v>
      </c>
      <c r="N11" s="3" t="str">
        <f>INDEX(Table5_2[Objective], MATCH(L11,Table5_2[Campaign_Name], 0))</f>
        <v>Sustainability Branding</v>
      </c>
      <c r="R11" s="50" t="s">
        <v>22</v>
      </c>
      <c r="S11" s="25">
        <v>0.13695514416161753</v>
      </c>
      <c r="T11" s="25">
        <v>0.13955402719675852</v>
      </c>
      <c r="U11" s="25">
        <v>8.7843466538674295E-2</v>
      </c>
      <c r="V11" s="25">
        <v>9.6406828609799558E-2</v>
      </c>
      <c r="W11" s="25">
        <v>0.1159995673305739</v>
      </c>
      <c r="X11" s="25">
        <v>0.11828870345787623</v>
      </c>
    </row>
    <row r="12" spans="1:24" x14ac:dyDescent="0.3">
      <c r="A12" s="3" t="s">
        <v>159</v>
      </c>
      <c r="B12" s="3" t="s">
        <v>40</v>
      </c>
      <c r="C12" s="2">
        <v>45457</v>
      </c>
      <c r="D12" s="3" t="s">
        <v>27</v>
      </c>
      <c r="E12" s="3" t="s">
        <v>366</v>
      </c>
      <c r="F12" s="3">
        <v>17183</v>
      </c>
      <c r="G12" s="3">
        <v>1224</v>
      </c>
      <c r="H12" s="3">
        <v>943</v>
      </c>
      <c r="I12" s="3">
        <v>2010</v>
      </c>
      <c r="J12" s="3">
        <v>21481</v>
      </c>
      <c r="K12" s="3">
        <v>49110</v>
      </c>
      <c r="L12" s="3" t="s">
        <v>25</v>
      </c>
      <c r="M12" s="4">
        <v>0.39401343921808185</v>
      </c>
      <c r="N12" s="3" t="str">
        <f>INDEX(Table5_2[Objective], MATCH(L12,Table5_2[Campaign_Name], 0))</f>
        <v>Sustainability Branding</v>
      </c>
      <c r="R12" s="28" t="s">
        <v>350</v>
      </c>
      <c r="S12" s="25"/>
      <c r="T12" s="51">
        <v>0.13955402719675852</v>
      </c>
      <c r="U12" s="25"/>
      <c r="V12" s="25"/>
      <c r="W12" s="25"/>
      <c r="X12" s="25">
        <v>0.13955402719675852</v>
      </c>
    </row>
    <row r="13" spans="1:24" x14ac:dyDescent="0.3">
      <c r="A13" s="3" t="s">
        <v>323</v>
      </c>
      <c r="B13" s="3" t="s">
        <v>22</v>
      </c>
      <c r="C13" s="2">
        <v>45519</v>
      </c>
      <c r="D13" s="3" t="s">
        <v>27</v>
      </c>
      <c r="E13" s="3" t="s">
        <v>359</v>
      </c>
      <c r="F13" s="3">
        <v>14977</v>
      </c>
      <c r="G13" s="3">
        <v>274</v>
      </c>
      <c r="H13" s="3">
        <v>798</v>
      </c>
      <c r="I13" s="3">
        <v>458</v>
      </c>
      <c r="J13" s="3">
        <v>6636</v>
      </c>
      <c r="K13" s="3">
        <v>43654</v>
      </c>
      <c r="L13" s="3" t="s">
        <v>16</v>
      </c>
      <c r="M13" s="4">
        <v>0.36764099509781462</v>
      </c>
      <c r="N13" s="3" t="str">
        <f>INDEX(Table5_2[Objective], MATCH(L13,Table5_2[Campaign_Name], 0))</f>
        <v>Health &amp; Fitness Awareness</v>
      </c>
      <c r="R13" s="28" t="s">
        <v>352</v>
      </c>
      <c r="S13" s="25">
        <v>0.13695514416161753</v>
      </c>
      <c r="T13" s="25"/>
      <c r="U13" s="25"/>
      <c r="V13" s="25"/>
      <c r="W13" s="25"/>
      <c r="X13" s="25">
        <v>0.13695514416161753</v>
      </c>
    </row>
    <row r="14" spans="1:24" x14ac:dyDescent="0.3">
      <c r="A14" s="3" t="s">
        <v>323</v>
      </c>
      <c r="B14" s="3" t="s">
        <v>22</v>
      </c>
      <c r="C14" s="2">
        <v>45519</v>
      </c>
      <c r="D14" s="3" t="s">
        <v>27</v>
      </c>
      <c r="E14" s="3" t="s">
        <v>360</v>
      </c>
      <c r="F14" s="3">
        <v>14977</v>
      </c>
      <c r="G14" s="3">
        <v>274</v>
      </c>
      <c r="H14" s="3">
        <v>798</v>
      </c>
      <c r="I14" s="3">
        <v>458</v>
      </c>
      <c r="J14" s="3">
        <v>6636</v>
      </c>
      <c r="K14" s="3">
        <v>43654</v>
      </c>
      <c r="L14" s="3" t="s">
        <v>16</v>
      </c>
      <c r="M14" s="4">
        <v>0.36764099509781462</v>
      </c>
      <c r="N14" s="3" t="str">
        <f>INDEX(Table5_2[Objective], MATCH(L14,Table5_2[Campaign_Name], 0))</f>
        <v>Health &amp; Fitness Awareness</v>
      </c>
      <c r="R14" s="28" t="s">
        <v>351</v>
      </c>
      <c r="S14" s="25"/>
      <c r="T14" s="25"/>
      <c r="U14" s="25"/>
      <c r="V14" s="25"/>
      <c r="W14" s="25">
        <v>0.1159995673305739</v>
      </c>
      <c r="X14" s="25">
        <v>0.1159995673305739</v>
      </c>
    </row>
    <row r="15" spans="1:24" x14ac:dyDescent="0.3">
      <c r="A15" s="3" t="s">
        <v>262</v>
      </c>
      <c r="B15" s="3" t="s">
        <v>40</v>
      </c>
      <c r="C15" s="2">
        <v>45908</v>
      </c>
      <c r="D15" s="3" t="s">
        <v>23</v>
      </c>
      <c r="E15" s="3" t="s">
        <v>363</v>
      </c>
      <c r="F15" s="3">
        <v>23785</v>
      </c>
      <c r="G15" s="3">
        <v>1013</v>
      </c>
      <c r="H15" s="3">
        <v>468</v>
      </c>
      <c r="I15" s="3">
        <v>1628</v>
      </c>
      <c r="J15" s="3">
        <v>8272</v>
      </c>
      <c r="K15" s="3">
        <v>71348</v>
      </c>
      <c r="L15" s="3" t="s">
        <v>20</v>
      </c>
      <c r="M15" s="4">
        <v>0.35412345125301342</v>
      </c>
      <c r="N15" s="3" t="str">
        <f>INDEX(Table5_2[Objective], MATCH(L15,Table5_2[Campaign_Name], 0))</f>
        <v>Brand Engagement</v>
      </c>
      <c r="R15" s="28" t="s">
        <v>349</v>
      </c>
      <c r="S15" s="25"/>
      <c r="T15" s="25"/>
      <c r="U15" s="25"/>
      <c r="V15" s="25">
        <v>9.6406828609799558E-2</v>
      </c>
      <c r="W15" s="25"/>
      <c r="X15" s="25">
        <v>9.6406828609799558E-2</v>
      </c>
    </row>
    <row r="16" spans="1:24" x14ac:dyDescent="0.3">
      <c r="A16" s="3" t="s">
        <v>262</v>
      </c>
      <c r="B16" s="3" t="s">
        <v>40</v>
      </c>
      <c r="C16" s="2">
        <v>45908</v>
      </c>
      <c r="D16" s="3" t="s">
        <v>23</v>
      </c>
      <c r="E16" s="3" t="s">
        <v>364</v>
      </c>
      <c r="F16" s="3">
        <v>23785</v>
      </c>
      <c r="G16" s="3">
        <v>1013</v>
      </c>
      <c r="H16" s="3">
        <v>468</v>
      </c>
      <c r="I16" s="3">
        <v>1628</v>
      </c>
      <c r="J16" s="3">
        <v>8272</v>
      </c>
      <c r="K16" s="3">
        <v>71348</v>
      </c>
      <c r="L16" s="3" t="s">
        <v>20</v>
      </c>
      <c r="M16" s="4">
        <v>0.35412345125301342</v>
      </c>
      <c r="N16" s="3" t="str">
        <f>INDEX(Table5_2[Objective], MATCH(L16,Table5_2[Campaign_Name], 0))</f>
        <v>Brand Engagement</v>
      </c>
      <c r="R16" s="28" t="s">
        <v>348</v>
      </c>
      <c r="S16" s="25"/>
      <c r="T16" s="25"/>
      <c r="U16" s="25">
        <v>8.7843466538674295E-2</v>
      </c>
      <c r="V16" s="25"/>
      <c r="W16" s="25"/>
      <c r="X16" s="25">
        <v>8.7843466538674295E-2</v>
      </c>
    </row>
    <row r="17" spans="1:24" x14ac:dyDescent="0.3">
      <c r="A17" s="3" t="s">
        <v>267</v>
      </c>
      <c r="B17" s="3" t="s">
        <v>40</v>
      </c>
      <c r="C17" s="2">
        <v>45909</v>
      </c>
      <c r="D17" s="3" t="s">
        <v>14</v>
      </c>
      <c r="E17" s="3" t="s">
        <v>361</v>
      </c>
      <c r="F17" s="3">
        <v>19260</v>
      </c>
      <c r="G17" s="3">
        <v>668</v>
      </c>
      <c r="H17" s="3">
        <v>994</v>
      </c>
      <c r="I17" s="3">
        <v>934</v>
      </c>
      <c r="J17" s="3">
        <v>20509</v>
      </c>
      <c r="K17" s="3">
        <v>61636</v>
      </c>
      <c r="L17" s="3" t="s">
        <v>20</v>
      </c>
      <c r="M17" s="4">
        <v>0.33944448049841003</v>
      </c>
      <c r="N17" s="3" t="str">
        <f>INDEX(Table5_2[Objective], MATCH(L17,Table5_2[Campaign_Name], 0))</f>
        <v>Brand Engagement</v>
      </c>
      <c r="R17" s="50" t="s">
        <v>18</v>
      </c>
      <c r="S17" s="25">
        <v>0.11016638080314176</v>
      </c>
      <c r="T17" s="25">
        <v>0.14660403120022936</v>
      </c>
      <c r="U17" s="25">
        <v>0.12843164970490339</v>
      </c>
      <c r="V17" s="25">
        <v>0.12478605127228283</v>
      </c>
      <c r="W17" s="25">
        <v>0.10377898071710299</v>
      </c>
      <c r="X17" s="25">
        <v>0.12495642964347677</v>
      </c>
    </row>
    <row r="18" spans="1:24" x14ac:dyDescent="0.3">
      <c r="A18" s="3" t="s">
        <v>267</v>
      </c>
      <c r="B18" s="3" t="s">
        <v>40</v>
      </c>
      <c r="C18" s="2">
        <v>45909</v>
      </c>
      <c r="D18" s="3" t="s">
        <v>14</v>
      </c>
      <c r="E18" s="3" t="s">
        <v>362</v>
      </c>
      <c r="F18" s="3">
        <v>19260</v>
      </c>
      <c r="G18" s="3">
        <v>668</v>
      </c>
      <c r="H18" s="3">
        <v>994</v>
      </c>
      <c r="I18" s="3">
        <v>934</v>
      </c>
      <c r="J18" s="3">
        <v>20509</v>
      </c>
      <c r="K18" s="3">
        <v>61636</v>
      </c>
      <c r="L18" s="3" t="s">
        <v>20</v>
      </c>
      <c r="M18" s="4">
        <v>0.33944448049841003</v>
      </c>
      <c r="N18" s="3" t="str">
        <f>INDEX(Table5_2[Objective], MATCH(L18,Table5_2[Campaign_Name], 0))</f>
        <v>Brand Engagement</v>
      </c>
      <c r="R18" s="28" t="s">
        <v>350</v>
      </c>
      <c r="S18" s="25"/>
      <c r="T18" s="51">
        <v>0.14660403120022936</v>
      </c>
      <c r="U18" s="25"/>
      <c r="V18" s="25"/>
      <c r="W18" s="25"/>
      <c r="X18" s="25">
        <v>0.14660403120022936</v>
      </c>
    </row>
    <row r="19" spans="1:24" x14ac:dyDescent="0.3">
      <c r="A19" s="3" t="s">
        <v>221</v>
      </c>
      <c r="B19" s="3" t="s">
        <v>22</v>
      </c>
      <c r="C19" s="2">
        <v>45668</v>
      </c>
      <c r="D19" s="3" t="s">
        <v>14</v>
      </c>
      <c r="E19" s="3" t="s">
        <v>355</v>
      </c>
      <c r="F19" s="3">
        <v>21181</v>
      </c>
      <c r="G19" s="3">
        <v>1242</v>
      </c>
      <c r="H19" s="3">
        <v>963</v>
      </c>
      <c r="I19" s="3">
        <v>1689</v>
      </c>
      <c r="J19" s="3">
        <v>49329</v>
      </c>
      <c r="K19" s="3">
        <v>69165</v>
      </c>
      <c r="L19" s="3" t="s">
        <v>16</v>
      </c>
      <c r="M19" s="4">
        <v>0.33811899081905589</v>
      </c>
      <c r="N19" s="3" t="str">
        <f>INDEX(Table5_2[Objective], MATCH(L19,Table5_2[Campaign_Name], 0))</f>
        <v>Health &amp; Fitness Awareness</v>
      </c>
      <c r="R19" s="28" t="s">
        <v>348</v>
      </c>
      <c r="S19" s="25"/>
      <c r="T19" s="25"/>
      <c r="U19" s="25">
        <v>0.12843164970490339</v>
      </c>
      <c r="V19" s="25"/>
      <c r="W19" s="25"/>
      <c r="X19" s="25">
        <v>0.12843164970490339</v>
      </c>
    </row>
    <row r="20" spans="1:24" x14ac:dyDescent="0.3">
      <c r="A20" s="3" t="s">
        <v>221</v>
      </c>
      <c r="B20" s="3" t="s">
        <v>22</v>
      </c>
      <c r="C20" s="2">
        <v>45668</v>
      </c>
      <c r="D20" s="3" t="s">
        <v>14</v>
      </c>
      <c r="E20" s="3" t="s">
        <v>356</v>
      </c>
      <c r="F20" s="3">
        <v>21181</v>
      </c>
      <c r="G20" s="3">
        <v>1242</v>
      </c>
      <c r="H20" s="3">
        <v>963</v>
      </c>
      <c r="I20" s="3">
        <v>1689</v>
      </c>
      <c r="J20" s="3">
        <v>49329</v>
      </c>
      <c r="K20" s="3">
        <v>69165</v>
      </c>
      <c r="L20" s="3" t="s">
        <v>16</v>
      </c>
      <c r="M20" s="4">
        <v>0.33811899081905589</v>
      </c>
      <c r="N20" s="3" t="str">
        <f>INDEX(Table5_2[Objective], MATCH(L20,Table5_2[Campaign_Name], 0))</f>
        <v>Health &amp; Fitness Awareness</v>
      </c>
      <c r="R20" s="28" t="s">
        <v>349</v>
      </c>
      <c r="S20" s="25"/>
      <c r="T20" s="25"/>
      <c r="U20" s="25"/>
      <c r="V20" s="25">
        <v>0.12478605127228283</v>
      </c>
      <c r="W20" s="25"/>
      <c r="X20" s="25">
        <v>0.12478605127228283</v>
      </c>
    </row>
    <row r="21" spans="1:24" x14ac:dyDescent="0.3">
      <c r="A21" s="3" t="s">
        <v>142</v>
      </c>
      <c r="B21" s="3" t="s">
        <v>40</v>
      </c>
      <c r="C21" s="2">
        <v>45692</v>
      </c>
      <c r="D21" s="3" t="s">
        <v>34</v>
      </c>
      <c r="E21" s="3" t="s">
        <v>363</v>
      </c>
      <c r="F21" s="3">
        <v>23833</v>
      </c>
      <c r="G21" s="3">
        <v>555</v>
      </c>
      <c r="H21" s="3">
        <v>523</v>
      </c>
      <c r="I21" s="3">
        <v>1330</v>
      </c>
      <c r="J21" s="3">
        <v>69141</v>
      </c>
      <c r="K21" s="3">
        <v>73997</v>
      </c>
      <c r="L21" s="3" t="s">
        <v>29</v>
      </c>
      <c r="M21" s="4">
        <v>0.33664878305877266</v>
      </c>
      <c r="N21" s="3" t="str">
        <f>INDEX(Table5_2[Objective], MATCH(L21,Table5_2[Campaign_Name], 0))</f>
        <v>Product Launch</v>
      </c>
      <c r="R21" s="28" t="s">
        <v>352</v>
      </c>
      <c r="S21" s="25">
        <v>0.11016638080314176</v>
      </c>
      <c r="T21" s="25"/>
      <c r="U21" s="25"/>
      <c r="V21" s="25"/>
      <c r="W21" s="25"/>
      <c r="X21" s="25">
        <v>0.11016638080314176</v>
      </c>
    </row>
    <row r="22" spans="1:24" x14ac:dyDescent="0.3">
      <c r="A22" s="3" t="s">
        <v>142</v>
      </c>
      <c r="B22" s="3" t="s">
        <v>40</v>
      </c>
      <c r="C22" s="2">
        <v>45692</v>
      </c>
      <c r="D22" s="3" t="s">
        <v>34</v>
      </c>
      <c r="E22" s="3" t="s">
        <v>364</v>
      </c>
      <c r="F22" s="3">
        <v>23833</v>
      </c>
      <c r="G22" s="3">
        <v>555</v>
      </c>
      <c r="H22" s="3">
        <v>523</v>
      </c>
      <c r="I22" s="3">
        <v>1330</v>
      </c>
      <c r="J22" s="3">
        <v>69141</v>
      </c>
      <c r="K22" s="3">
        <v>73997</v>
      </c>
      <c r="L22" s="3" t="s">
        <v>29</v>
      </c>
      <c r="M22" s="4">
        <v>0.33664878305877266</v>
      </c>
      <c r="N22" s="3" t="str">
        <f>INDEX(Table5_2[Objective], MATCH(L22,Table5_2[Campaign_Name], 0))</f>
        <v>Product Launch</v>
      </c>
      <c r="R22" s="28" t="s">
        <v>351</v>
      </c>
      <c r="S22" s="25"/>
      <c r="T22" s="25"/>
      <c r="U22" s="25"/>
      <c r="V22" s="25"/>
      <c r="W22" s="25">
        <v>0.10377898071710299</v>
      </c>
      <c r="X22" s="25">
        <v>0.10377898071710299</v>
      </c>
    </row>
    <row r="23" spans="1:24" x14ac:dyDescent="0.3">
      <c r="A23" s="3" t="s">
        <v>210</v>
      </c>
      <c r="B23" s="3" t="s">
        <v>18</v>
      </c>
      <c r="C23" s="2">
        <v>45465</v>
      </c>
      <c r="D23" s="3" t="s">
        <v>34</v>
      </c>
      <c r="E23" s="3" t="s">
        <v>353</v>
      </c>
      <c r="F23" s="3">
        <v>13479</v>
      </c>
      <c r="G23" s="3">
        <v>1189</v>
      </c>
      <c r="H23" s="3">
        <v>695</v>
      </c>
      <c r="I23" s="3">
        <v>416</v>
      </c>
      <c r="J23" s="3">
        <v>30229</v>
      </c>
      <c r="K23" s="3">
        <v>45704</v>
      </c>
      <c r="L23" s="3" t="s">
        <v>16</v>
      </c>
      <c r="M23" s="4">
        <v>0.33614125678277612</v>
      </c>
      <c r="N23" s="3" t="str">
        <f>INDEX(Table5_2[Objective], MATCH(L23,Table5_2[Campaign_Name], 0))</f>
        <v>Health &amp; Fitness Awareness</v>
      </c>
      <c r="R23" s="50" t="s">
        <v>40</v>
      </c>
      <c r="S23" s="25">
        <v>0.1516135959543613</v>
      </c>
      <c r="T23" s="25">
        <v>0.14513292715021131</v>
      </c>
      <c r="U23" s="25">
        <v>0.13738973576207317</v>
      </c>
      <c r="V23" s="25">
        <v>0.13670376816710098</v>
      </c>
      <c r="W23" s="25">
        <v>0.12826769702191768</v>
      </c>
      <c r="X23" s="25">
        <v>0.13978857334012043</v>
      </c>
    </row>
    <row r="24" spans="1:24" x14ac:dyDescent="0.3">
      <c r="A24" s="3" t="s">
        <v>210</v>
      </c>
      <c r="B24" s="3" t="s">
        <v>18</v>
      </c>
      <c r="C24" s="2">
        <v>45465</v>
      </c>
      <c r="D24" s="3" t="s">
        <v>34</v>
      </c>
      <c r="E24" s="3" t="s">
        <v>354</v>
      </c>
      <c r="F24" s="3">
        <v>13479</v>
      </c>
      <c r="G24" s="3">
        <v>1189</v>
      </c>
      <c r="H24" s="3">
        <v>695</v>
      </c>
      <c r="I24" s="3">
        <v>416</v>
      </c>
      <c r="J24" s="3">
        <v>30229</v>
      </c>
      <c r="K24" s="3">
        <v>45704</v>
      </c>
      <c r="L24" s="3" t="s">
        <v>16</v>
      </c>
      <c r="M24" s="4">
        <v>0.33614125678277612</v>
      </c>
      <c r="N24" s="3" t="str">
        <f>INDEX(Table5_2[Objective], MATCH(L24,Table5_2[Campaign_Name], 0))</f>
        <v>Health &amp; Fitness Awareness</v>
      </c>
      <c r="R24" s="28" t="s">
        <v>352</v>
      </c>
      <c r="S24" s="51">
        <v>0.1516135959543613</v>
      </c>
      <c r="T24" s="25"/>
      <c r="U24" s="25"/>
      <c r="V24" s="25"/>
      <c r="W24" s="25"/>
      <c r="X24" s="25">
        <v>0.1516135959543613</v>
      </c>
    </row>
    <row r="25" spans="1:24" x14ac:dyDescent="0.3">
      <c r="A25" s="3" t="s">
        <v>290</v>
      </c>
      <c r="B25" s="3" t="s">
        <v>22</v>
      </c>
      <c r="C25" s="2">
        <v>45671</v>
      </c>
      <c r="D25" s="3" t="s">
        <v>34</v>
      </c>
      <c r="E25" s="3" t="s">
        <v>359</v>
      </c>
      <c r="F25" s="3">
        <v>24350</v>
      </c>
      <c r="G25" s="3">
        <v>460</v>
      </c>
      <c r="H25" s="3">
        <v>666</v>
      </c>
      <c r="I25" s="3">
        <v>814</v>
      </c>
      <c r="J25" s="3">
        <v>21120</v>
      </c>
      <c r="K25" s="3">
        <v>76914</v>
      </c>
      <c r="L25" s="3" t="s">
        <v>16</v>
      </c>
      <c r="M25" s="4">
        <v>0.33122708479600593</v>
      </c>
      <c r="N25" s="3" t="str">
        <f>INDEX(Table5_2[Objective], MATCH(L25,Table5_2[Campaign_Name], 0))</f>
        <v>Health &amp; Fitness Awareness</v>
      </c>
      <c r="R25" s="28" t="s">
        <v>350</v>
      </c>
      <c r="S25" s="25"/>
      <c r="T25" s="25">
        <v>0.14513292715021131</v>
      </c>
      <c r="U25" s="25"/>
      <c r="V25" s="25"/>
      <c r="W25" s="25"/>
      <c r="X25" s="25">
        <v>0.14513292715021131</v>
      </c>
    </row>
    <row r="26" spans="1:24" x14ac:dyDescent="0.3">
      <c r="A26" s="3" t="s">
        <v>290</v>
      </c>
      <c r="B26" s="3" t="s">
        <v>22</v>
      </c>
      <c r="C26" s="2">
        <v>45671</v>
      </c>
      <c r="D26" s="3" t="s">
        <v>34</v>
      </c>
      <c r="E26" s="3" t="s">
        <v>366</v>
      </c>
      <c r="F26" s="3">
        <v>24350</v>
      </c>
      <c r="G26" s="3">
        <v>460</v>
      </c>
      <c r="H26" s="3">
        <v>666</v>
      </c>
      <c r="I26" s="3">
        <v>814</v>
      </c>
      <c r="J26" s="3">
        <v>21120</v>
      </c>
      <c r="K26" s="3">
        <v>76914</v>
      </c>
      <c r="L26" s="3" t="s">
        <v>16</v>
      </c>
      <c r="M26" s="4">
        <v>0.33122708479600593</v>
      </c>
      <c r="N26" s="3" t="str">
        <f>INDEX(Table5_2[Objective], MATCH(L26,Table5_2[Campaign_Name], 0))</f>
        <v>Health &amp; Fitness Awareness</v>
      </c>
      <c r="R26" s="28" t="s">
        <v>348</v>
      </c>
      <c r="S26" s="25"/>
      <c r="T26" s="25"/>
      <c r="U26" s="25">
        <v>0.13738973576207317</v>
      </c>
      <c r="V26" s="25"/>
      <c r="W26" s="25"/>
      <c r="X26" s="25">
        <v>0.13738973576207317</v>
      </c>
    </row>
    <row r="27" spans="1:24" x14ac:dyDescent="0.3">
      <c r="A27" s="3" t="s">
        <v>259</v>
      </c>
      <c r="B27" s="3" t="s">
        <v>40</v>
      </c>
      <c r="C27" s="2">
        <v>45608</v>
      </c>
      <c r="D27" s="3" t="s">
        <v>27</v>
      </c>
      <c r="E27" s="3" t="s">
        <v>357</v>
      </c>
      <c r="F27" s="3">
        <v>17913</v>
      </c>
      <c r="G27" s="3">
        <v>1311</v>
      </c>
      <c r="H27" s="3">
        <v>859</v>
      </c>
      <c r="I27" s="3">
        <v>405</v>
      </c>
      <c r="J27" s="3">
        <v>59842</v>
      </c>
      <c r="K27" s="3">
        <v>62612</v>
      </c>
      <c r="L27" s="3" t="s">
        <v>25</v>
      </c>
      <c r="M27" s="4">
        <v>0.32075321024723696</v>
      </c>
      <c r="N27" s="3" t="str">
        <f>INDEX(Table5_2[Objective], MATCH(L27,Table5_2[Campaign_Name], 0))</f>
        <v>Sustainability Branding</v>
      </c>
      <c r="R27" s="28" t="s">
        <v>349</v>
      </c>
      <c r="S27" s="25"/>
      <c r="T27" s="25"/>
      <c r="U27" s="25"/>
      <c r="V27" s="25">
        <v>0.13670376816710098</v>
      </c>
      <c r="W27" s="25"/>
      <c r="X27" s="25">
        <v>0.13670376816710098</v>
      </c>
    </row>
    <row r="28" spans="1:24" x14ac:dyDescent="0.3">
      <c r="A28" s="3" t="s">
        <v>259</v>
      </c>
      <c r="B28" s="3" t="s">
        <v>40</v>
      </c>
      <c r="C28" s="2">
        <v>45608</v>
      </c>
      <c r="D28" s="3" t="s">
        <v>27</v>
      </c>
      <c r="E28" s="3" t="s">
        <v>358</v>
      </c>
      <c r="F28" s="3">
        <v>17913</v>
      </c>
      <c r="G28" s="3">
        <v>1311</v>
      </c>
      <c r="H28" s="3">
        <v>859</v>
      </c>
      <c r="I28" s="3">
        <v>405</v>
      </c>
      <c r="J28" s="3">
        <v>59842</v>
      </c>
      <c r="K28" s="3">
        <v>62612</v>
      </c>
      <c r="L28" s="3" t="s">
        <v>25</v>
      </c>
      <c r="M28" s="4">
        <v>0.32075321024723696</v>
      </c>
      <c r="N28" s="3" t="str">
        <f>INDEX(Table5_2[Objective], MATCH(L28,Table5_2[Campaign_Name], 0))</f>
        <v>Sustainability Branding</v>
      </c>
      <c r="R28" s="28" t="s">
        <v>351</v>
      </c>
      <c r="S28" s="25"/>
      <c r="T28" s="25"/>
      <c r="U28" s="25"/>
      <c r="V28" s="25"/>
      <c r="W28" s="25">
        <v>0.12826769702191768</v>
      </c>
      <c r="X28" s="25">
        <v>0.12826769702191768</v>
      </c>
    </row>
    <row r="29" spans="1:24" x14ac:dyDescent="0.3">
      <c r="A29" s="3" t="s">
        <v>200</v>
      </c>
      <c r="B29" s="3" t="s">
        <v>18</v>
      </c>
      <c r="C29" s="2">
        <v>45715</v>
      </c>
      <c r="D29" s="3" t="s">
        <v>14</v>
      </c>
      <c r="E29" s="3" t="s">
        <v>355</v>
      </c>
      <c r="F29" s="3">
        <v>16178</v>
      </c>
      <c r="G29" s="3">
        <v>1048</v>
      </c>
      <c r="H29" s="3">
        <v>871</v>
      </c>
      <c r="I29" s="3">
        <v>2553</v>
      </c>
      <c r="J29" s="3">
        <v>39025</v>
      </c>
      <c r="K29" s="3">
        <v>59508</v>
      </c>
      <c r="L29" s="3" t="s">
        <v>16</v>
      </c>
      <c r="M29" s="4">
        <v>0.30411037171472743</v>
      </c>
      <c r="N29" s="3" t="str">
        <f>INDEX(Table5_2[Objective], MATCH(L29,Table5_2[Campaign_Name], 0))</f>
        <v>Health &amp; Fitness Awareness</v>
      </c>
      <c r="R29" s="50" t="s">
        <v>13</v>
      </c>
      <c r="S29" s="25">
        <v>0.10449413166152569</v>
      </c>
      <c r="T29" s="25">
        <v>0.11973747697801139</v>
      </c>
      <c r="U29" s="25">
        <v>9.9434454635716804E-2</v>
      </c>
      <c r="V29" s="25">
        <v>0.11345041471501002</v>
      </c>
      <c r="W29" s="25">
        <v>0.10497763485843795</v>
      </c>
      <c r="X29" s="25">
        <v>0.10817233920370854</v>
      </c>
    </row>
    <row r="30" spans="1:24" x14ac:dyDescent="0.3">
      <c r="A30" s="3" t="s">
        <v>200</v>
      </c>
      <c r="B30" s="3" t="s">
        <v>18</v>
      </c>
      <c r="C30" s="2">
        <v>45715</v>
      </c>
      <c r="D30" s="3" t="s">
        <v>14</v>
      </c>
      <c r="E30" s="3" t="s">
        <v>356</v>
      </c>
      <c r="F30" s="3">
        <v>16178</v>
      </c>
      <c r="G30" s="3">
        <v>1048</v>
      </c>
      <c r="H30" s="3">
        <v>871</v>
      </c>
      <c r="I30" s="3">
        <v>2553</v>
      </c>
      <c r="J30" s="3">
        <v>39025</v>
      </c>
      <c r="K30" s="3">
        <v>59508</v>
      </c>
      <c r="L30" s="3" t="s">
        <v>16</v>
      </c>
      <c r="M30" s="4">
        <v>0.30411037171472743</v>
      </c>
      <c r="N30" s="3" t="str">
        <f>INDEX(Table5_2[Objective], MATCH(L30,Table5_2[Campaign_Name], 0))</f>
        <v>Health &amp; Fitness Awareness</v>
      </c>
      <c r="R30" s="28" t="s">
        <v>350</v>
      </c>
      <c r="S30" s="25"/>
      <c r="T30" s="51">
        <v>0.11973747697801139</v>
      </c>
      <c r="U30" s="25"/>
      <c r="V30" s="25"/>
      <c r="W30" s="25"/>
      <c r="X30" s="25">
        <v>0.11973747697801139</v>
      </c>
    </row>
    <row r="31" spans="1:24" x14ac:dyDescent="0.3">
      <c r="A31" s="3" t="s">
        <v>187</v>
      </c>
      <c r="B31" s="3" t="s">
        <v>13</v>
      </c>
      <c r="C31" s="2">
        <v>45499</v>
      </c>
      <c r="D31" s="3" t="s">
        <v>27</v>
      </c>
      <c r="E31" s="3" t="s">
        <v>64</v>
      </c>
      <c r="F31" s="3">
        <v>18282</v>
      </c>
      <c r="G31" s="3">
        <v>224</v>
      </c>
      <c r="H31" s="3">
        <v>962</v>
      </c>
      <c r="I31" s="3">
        <v>890</v>
      </c>
      <c r="J31" s="3">
        <v>35105</v>
      </c>
      <c r="K31" s="3">
        <v>64089</v>
      </c>
      <c r="L31" s="3" t="s">
        <v>29</v>
      </c>
      <c r="M31" s="4">
        <v>0.30376507669022768</v>
      </c>
      <c r="N31" s="3" t="str">
        <f>INDEX(Table5_2[Objective], MATCH(L31,Table5_2[Campaign_Name], 0))</f>
        <v>Product Launch</v>
      </c>
      <c r="R31" s="28" t="s">
        <v>349</v>
      </c>
      <c r="S31" s="25"/>
      <c r="T31" s="25"/>
      <c r="U31" s="25"/>
      <c r="V31" s="25">
        <v>0.11345041471501002</v>
      </c>
      <c r="W31" s="25"/>
      <c r="X31" s="25">
        <v>0.11345041471501002</v>
      </c>
    </row>
    <row r="32" spans="1:24" x14ac:dyDescent="0.3">
      <c r="A32" s="3" t="s">
        <v>176</v>
      </c>
      <c r="B32" s="3" t="s">
        <v>22</v>
      </c>
      <c r="C32" s="2">
        <v>45488</v>
      </c>
      <c r="D32" s="3" t="s">
        <v>23</v>
      </c>
      <c r="E32" s="3" t="s">
        <v>361</v>
      </c>
      <c r="F32" s="3">
        <v>14891</v>
      </c>
      <c r="G32" s="3">
        <v>674</v>
      </c>
      <c r="H32" s="3">
        <v>521</v>
      </c>
      <c r="I32" s="3">
        <v>1091</v>
      </c>
      <c r="J32" s="3">
        <v>18101</v>
      </c>
      <c r="K32" s="3">
        <v>53669</v>
      </c>
      <c r="L32" s="3" t="s">
        <v>16</v>
      </c>
      <c r="M32" s="4">
        <v>0.29972609886526674</v>
      </c>
      <c r="N32" s="3" t="str">
        <f>INDEX(Table5_2[Objective], MATCH(L32,Table5_2[Campaign_Name], 0))</f>
        <v>Health &amp; Fitness Awareness</v>
      </c>
      <c r="R32" s="28" t="s">
        <v>351</v>
      </c>
      <c r="S32" s="25"/>
      <c r="T32" s="25"/>
      <c r="U32" s="25"/>
      <c r="V32" s="25"/>
      <c r="W32" s="25">
        <v>0.10497763485843795</v>
      </c>
      <c r="X32" s="25">
        <v>0.10497763485843795</v>
      </c>
    </row>
    <row r="33" spans="1:24" x14ac:dyDescent="0.3">
      <c r="A33" s="3" t="s">
        <v>176</v>
      </c>
      <c r="B33" s="3" t="s">
        <v>22</v>
      </c>
      <c r="C33" s="2">
        <v>45488</v>
      </c>
      <c r="D33" s="3" t="s">
        <v>23</v>
      </c>
      <c r="E33" s="3" t="s">
        <v>362</v>
      </c>
      <c r="F33" s="3">
        <v>14891</v>
      </c>
      <c r="G33" s="3">
        <v>674</v>
      </c>
      <c r="H33" s="3">
        <v>521</v>
      </c>
      <c r="I33" s="3">
        <v>1091</v>
      </c>
      <c r="J33" s="3">
        <v>18101</v>
      </c>
      <c r="K33" s="3">
        <v>53669</v>
      </c>
      <c r="L33" s="3" t="s">
        <v>16</v>
      </c>
      <c r="M33" s="4">
        <v>0.29972609886526674</v>
      </c>
      <c r="N33" s="3" t="str">
        <f>INDEX(Table5_2[Objective], MATCH(L33,Table5_2[Campaign_Name], 0))</f>
        <v>Health &amp; Fitness Awareness</v>
      </c>
      <c r="R33" s="28" t="s">
        <v>352</v>
      </c>
      <c r="S33" s="25">
        <v>0.10449413166152569</v>
      </c>
      <c r="T33" s="25"/>
      <c r="U33" s="25"/>
      <c r="V33" s="25"/>
      <c r="W33" s="25"/>
      <c r="X33" s="25">
        <v>0.10449413166152569</v>
      </c>
    </row>
    <row r="34" spans="1:24" x14ac:dyDescent="0.3">
      <c r="A34" s="3" t="s">
        <v>119</v>
      </c>
      <c r="B34" s="3" t="s">
        <v>22</v>
      </c>
      <c r="C34" s="2">
        <v>45580</v>
      </c>
      <c r="D34" s="3" t="s">
        <v>34</v>
      </c>
      <c r="E34" s="3" t="s">
        <v>32</v>
      </c>
      <c r="F34" s="3">
        <v>17781</v>
      </c>
      <c r="G34" s="3">
        <v>993</v>
      </c>
      <c r="H34" s="3">
        <v>627</v>
      </c>
      <c r="I34" s="3">
        <v>2187</v>
      </c>
      <c r="J34" s="3">
        <v>9609</v>
      </c>
      <c r="K34" s="3">
        <v>66155</v>
      </c>
      <c r="L34" s="3" t="s">
        <v>29</v>
      </c>
      <c r="M34" s="4">
        <v>0.29326581513113142</v>
      </c>
      <c r="N34" s="3" t="str">
        <f>INDEX(Table5_2[Objective], MATCH(L34,Table5_2[Campaign_Name], 0))</f>
        <v>Product Launch</v>
      </c>
      <c r="R34" s="28" t="s">
        <v>348</v>
      </c>
      <c r="S34" s="25"/>
      <c r="T34" s="25"/>
      <c r="U34" s="25">
        <v>9.9434454635716804E-2</v>
      </c>
      <c r="V34" s="25"/>
      <c r="W34" s="25"/>
      <c r="X34" s="25">
        <v>9.9434454635716804E-2</v>
      </c>
    </row>
    <row r="35" spans="1:24" x14ac:dyDescent="0.3">
      <c r="A35" s="3" t="s">
        <v>232</v>
      </c>
      <c r="B35" s="3" t="s">
        <v>40</v>
      </c>
      <c r="C35" s="2">
        <v>45918</v>
      </c>
      <c r="D35" s="3" t="s">
        <v>23</v>
      </c>
      <c r="E35" s="3" t="s">
        <v>64</v>
      </c>
      <c r="F35" s="3">
        <v>10152</v>
      </c>
      <c r="G35" s="3">
        <v>1445</v>
      </c>
      <c r="H35" s="3">
        <v>526</v>
      </c>
      <c r="I35" s="3">
        <v>513</v>
      </c>
      <c r="J35" s="3">
        <v>18959</v>
      </c>
      <c r="K35" s="3">
        <v>43712</v>
      </c>
      <c r="L35" s="3" t="s">
        <v>20</v>
      </c>
      <c r="M35" s="4">
        <v>0.27733803074670571</v>
      </c>
      <c r="N35" s="3" t="str">
        <f>INDEX(Table5_2[Objective], MATCH(L35,Table5_2[Campaign_Name], 0))</f>
        <v>Brand Engagement</v>
      </c>
      <c r="R35" s="36" t="s">
        <v>384</v>
      </c>
      <c r="S35" s="25">
        <v>0.12092372091733262</v>
      </c>
      <c r="T35" s="25">
        <v>0.13868799002954507</v>
      </c>
      <c r="U35" s="25">
        <v>0.11632445237894944</v>
      </c>
      <c r="V35" s="25">
        <v>0.11730763473456848</v>
      </c>
      <c r="W35" s="25">
        <v>0.11437640713009488</v>
      </c>
      <c r="X35" s="25">
        <v>0.12238019416019533</v>
      </c>
    </row>
    <row r="36" spans="1:24" x14ac:dyDescent="0.3">
      <c r="A36" s="3" t="s">
        <v>172</v>
      </c>
      <c r="B36" s="3" t="s">
        <v>22</v>
      </c>
      <c r="C36" s="2">
        <v>45932</v>
      </c>
      <c r="D36" s="3" t="s">
        <v>34</v>
      </c>
      <c r="E36" s="3" t="s">
        <v>357</v>
      </c>
      <c r="F36" s="3">
        <v>12161</v>
      </c>
      <c r="G36" s="3">
        <v>736</v>
      </c>
      <c r="H36" s="3">
        <v>876</v>
      </c>
      <c r="I36" s="3">
        <v>1233</v>
      </c>
      <c r="J36" s="3">
        <v>21337</v>
      </c>
      <c r="K36" s="3">
        <v>50225</v>
      </c>
      <c r="L36" s="3" t="s">
        <v>20</v>
      </c>
      <c r="M36" s="4">
        <v>0.27422598307615731</v>
      </c>
      <c r="N36" s="3" t="str">
        <f>INDEX(Table5_2[Objective], MATCH(L36,Table5_2[Campaign_Name], 0))</f>
        <v>Brand Engagement</v>
      </c>
    </row>
    <row r="37" spans="1:24" x14ac:dyDescent="0.3">
      <c r="A37" s="3" t="s">
        <v>172</v>
      </c>
      <c r="B37" s="3" t="s">
        <v>22</v>
      </c>
      <c r="C37" s="2">
        <v>45932</v>
      </c>
      <c r="D37" s="3" t="s">
        <v>34</v>
      </c>
      <c r="E37" s="3" t="s">
        <v>358</v>
      </c>
      <c r="F37" s="3">
        <v>12161</v>
      </c>
      <c r="G37" s="3">
        <v>736</v>
      </c>
      <c r="H37" s="3">
        <v>876</v>
      </c>
      <c r="I37" s="3">
        <v>1233</v>
      </c>
      <c r="J37" s="3">
        <v>21337</v>
      </c>
      <c r="K37" s="3">
        <v>50225</v>
      </c>
      <c r="L37" s="3" t="s">
        <v>20</v>
      </c>
      <c r="M37" s="4">
        <v>0.27422598307615731</v>
      </c>
      <c r="N37" s="3" t="str">
        <f>INDEX(Table5_2[Objective], MATCH(L37,Table5_2[Campaign_Name], 0))</f>
        <v>Brand Engagement</v>
      </c>
    </row>
    <row r="38" spans="1:24" x14ac:dyDescent="0.3">
      <c r="A38" s="3" t="s">
        <v>30</v>
      </c>
      <c r="B38" s="3" t="s">
        <v>13</v>
      </c>
      <c r="C38" s="2">
        <v>45904</v>
      </c>
      <c r="D38" s="3" t="s">
        <v>27</v>
      </c>
      <c r="E38" s="3" t="s">
        <v>353</v>
      </c>
      <c r="F38" s="3">
        <v>21708</v>
      </c>
      <c r="G38" s="3">
        <v>435</v>
      </c>
      <c r="H38" s="3">
        <v>317</v>
      </c>
      <c r="I38" s="3">
        <v>1213</v>
      </c>
      <c r="J38" s="3">
        <v>70701</v>
      </c>
      <c r="K38" s="3">
        <v>83585</v>
      </c>
      <c r="L38" s="3" t="s">
        <v>20</v>
      </c>
      <c r="M38" s="4">
        <v>0.26870850032900639</v>
      </c>
      <c r="N38" s="3" t="str">
        <f>INDEX(Table5_2[Objective], MATCH(L38,Table5_2[Campaign_Name], 0))</f>
        <v>Brand Engagement</v>
      </c>
    </row>
    <row r="39" spans="1:24" x14ac:dyDescent="0.3">
      <c r="A39" s="3" t="s">
        <v>30</v>
      </c>
      <c r="B39" s="3" t="s">
        <v>13</v>
      </c>
      <c r="C39" s="2">
        <v>45904</v>
      </c>
      <c r="D39" s="3" t="s">
        <v>27</v>
      </c>
      <c r="E39" s="3" t="s">
        <v>354</v>
      </c>
      <c r="F39" s="3">
        <v>21708</v>
      </c>
      <c r="G39" s="3">
        <v>435</v>
      </c>
      <c r="H39" s="3">
        <v>317</v>
      </c>
      <c r="I39" s="3">
        <v>1213</v>
      </c>
      <c r="J39" s="3">
        <v>70701</v>
      </c>
      <c r="K39" s="3">
        <v>83585</v>
      </c>
      <c r="L39" s="3" t="s">
        <v>20</v>
      </c>
      <c r="M39" s="4">
        <v>0.26870850032900639</v>
      </c>
      <c r="N39" s="3" t="str">
        <f>INDEX(Table5_2[Objective], MATCH(L39,Table5_2[Campaign_Name], 0))</f>
        <v>Brand Engagement</v>
      </c>
    </row>
    <row r="40" spans="1:24" x14ac:dyDescent="0.3">
      <c r="A40" s="3" t="s">
        <v>116</v>
      </c>
      <c r="B40" s="3" t="s">
        <v>18</v>
      </c>
      <c r="C40" s="2">
        <v>45456</v>
      </c>
      <c r="D40" s="3" t="s">
        <v>14</v>
      </c>
      <c r="E40" s="3" t="s">
        <v>353</v>
      </c>
      <c r="F40" s="3">
        <v>14173</v>
      </c>
      <c r="G40" s="3">
        <v>294</v>
      </c>
      <c r="H40" s="3">
        <v>257</v>
      </c>
      <c r="I40" s="3">
        <v>1288</v>
      </c>
      <c r="J40" s="3">
        <v>39466</v>
      </c>
      <c r="K40" s="3">
        <v>55563</v>
      </c>
      <c r="L40" s="3" t="s">
        <v>45</v>
      </c>
      <c r="M40" s="4">
        <v>0.26499649047027696</v>
      </c>
      <c r="N40" s="3" t="str">
        <f>INDEX(Table5_2[Objective], MATCH(L40,Table5_2[Campaign_Name], 0))</f>
        <v>Product Promotion</v>
      </c>
      <c r="R40" s="83" t="s">
        <v>405</v>
      </c>
      <c r="S40" s="83"/>
    </row>
    <row r="41" spans="1:24" ht="15" thickBot="1" x14ac:dyDescent="0.35">
      <c r="A41" s="3" t="s">
        <v>116</v>
      </c>
      <c r="B41" s="3" t="s">
        <v>18</v>
      </c>
      <c r="C41" s="2">
        <v>45456</v>
      </c>
      <c r="D41" s="3" t="s">
        <v>14</v>
      </c>
      <c r="E41" s="3" t="s">
        <v>354</v>
      </c>
      <c r="F41" s="3">
        <v>14173</v>
      </c>
      <c r="G41" s="3">
        <v>294</v>
      </c>
      <c r="H41" s="3">
        <v>257</v>
      </c>
      <c r="I41" s="3">
        <v>1288</v>
      </c>
      <c r="J41" s="3">
        <v>39466</v>
      </c>
      <c r="K41" s="3">
        <v>55563</v>
      </c>
      <c r="L41" s="3" t="s">
        <v>45</v>
      </c>
      <c r="M41" s="4">
        <v>0.26499649047027696</v>
      </c>
      <c r="N41" s="3" t="str">
        <f>INDEX(Table5_2[Objective], MATCH(L41,Table5_2[Campaign_Name], 0))</f>
        <v>Product Promotion</v>
      </c>
    </row>
    <row r="42" spans="1:24" x14ac:dyDescent="0.3">
      <c r="A42" s="3" t="s">
        <v>186</v>
      </c>
      <c r="B42" s="3" t="s">
        <v>18</v>
      </c>
      <c r="C42" s="2">
        <v>45526</v>
      </c>
      <c r="D42" s="3" t="s">
        <v>27</v>
      </c>
      <c r="E42" s="3" t="s">
        <v>367</v>
      </c>
      <c r="F42" s="3">
        <v>16124</v>
      </c>
      <c r="G42" s="3">
        <v>863</v>
      </c>
      <c r="H42" s="3">
        <v>337</v>
      </c>
      <c r="I42" s="3">
        <v>819</v>
      </c>
      <c r="J42" s="3">
        <v>85788</v>
      </c>
      <c r="K42" s="3">
        <v>68625</v>
      </c>
      <c r="L42" s="3" t="s">
        <v>29</v>
      </c>
      <c r="M42" s="4">
        <v>0.25244444444444447</v>
      </c>
      <c r="N42" s="3" t="str">
        <f>INDEX(Table5_2[Objective], MATCH(L42,Table5_2[Campaign_Name], 0))</f>
        <v>Product Launch</v>
      </c>
      <c r="Q42" s="52">
        <v>1</v>
      </c>
      <c r="R42" s="53" t="s">
        <v>406</v>
      </c>
      <c r="S42" s="53"/>
      <c r="T42" s="54"/>
    </row>
    <row r="43" spans="1:24" ht="15" thickBot="1" x14ac:dyDescent="0.35">
      <c r="A43" s="3" t="s">
        <v>186</v>
      </c>
      <c r="B43" s="3" t="s">
        <v>18</v>
      </c>
      <c r="C43" s="2">
        <v>45526</v>
      </c>
      <c r="D43" s="3" t="s">
        <v>27</v>
      </c>
      <c r="E43" s="3" t="s">
        <v>32</v>
      </c>
      <c r="F43" s="3">
        <v>16124</v>
      </c>
      <c r="G43" s="3">
        <v>863</v>
      </c>
      <c r="H43" s="3">
        <v>337</v>
      </c>
      <c r="I43" s="3">
        <v>819</v>
      </c>
      <c r="J43" s="3">
        <v>85788</v>
      </c>
      <c r="K43" s="3">
        <v>68625</v>
      </c>
      <c r="L43" s="3" t="s">
        <v>29</v>
      </c>
      <c r="M43" s="4">
        <v>0.25244444444444447</v>
      </c>
      <c r="N43" s="3" t="str">
        <f>INDEX(Table5_2[Objective], MATCH(L43,Table5_2[Campaign_Name], 0))</f>
        <v>Product Launch</v>
      </c>
      <c r="Q43" s="55">
        <v>2</v>
      </c>
      <c r="R43" s="56" t="s">
        <v>407</v>
      </c>
      <c r="S43" s="56"/>
      <c r="T43" s="57"/>
    </row>
    <row r="44" spans="1:24" x14ac:dyDescent="0.3">
      <c r="A44" s="3" t="s">
        <v>256</v>
      </c>
      <c r="B44" s="3" t="s">
        <v>13</v>
      </c>
      <c r="C44" s="2">
        <v>45445</v>
      </c>
      <c r="D44" s="3" t="s">
        <v>27</v>
      </c>
      <c r="E44" s="3" t="s">
        <v>355</v>
      </c>
      <c r="F44" s="3">
        <v>14199</v>
      </c>
      <c r="G44" s="3">
        <v>1206</v>
      </c>
      <c r="H44" s="3">
        <v>954</v>
      </c>
      <c r="I44" s="3">
        <v>2009</v>
      </c>
      <c r="J44" s="3">
        <v>8</v>
      </c>
      <c r="K44" s="3">
        <v>65537</v>
      </c>
      <c r="L44" s="3" t="s">
        <v>25</v>
      </c>
      <c r="M44" s="4">
        <v>0.24961472145505592</v>
      </c>
      <c r="N44" s="3" t="str">
        <f>INDEX(Table5_2[Objective], MATCH(L44,Table5_2[Campaign_Name], 0))</f>
        <v>Sustainability Branding</v>
      </c>
    </row>
    <row r="45" spans="1:24" x14ac:dyDescent="0.3">
      <c r="A45" s="3" t="s">
        <v>256</v>
      </c>
      <c r="B45" s="3" t="s">
        <v>13</v>
      </c>
      <c r="C45" s="2">
        <v>45445</v>
      </c>
      <c r="D45" s="3" t="s">
        <v>27</v>
      </c>
      <c r="E45" s="3" t="s">
        <v>356</v>
      </c>
      <c r="F45" s="3">
        <v>14199</v>
      </c>
      <c r="G45" s="3">
        <v>1206</v>
      </c>
      <c r="H45" s="3">
        <v>954</v>
      </c>
      <c r="I45" s="3">
        <v>2009</v>
      </c>
      <c r="J45" s="3">
        <v>8</v>
      </c>
      <c r="K45" s="3">
        <v>65537</v>
      </c>
      <c r="L45" s="3" t="s">
        <v>25</v>
      </c>
      <c r="M45" s="4">
        <v>0.24961472145505592</v>
      </c>
      <c r="N45" s="3" t="str">
        <f>INDEX(Table5_2[Objective], MATCH(L45,Table5_2[Campaign_Name], 0))</f>
        <v>Sustainability Branding</v>
      </c>
    </row>
    <row r="46" spans="1:24" x14ac:dyDescent="0.3">
      <c r="A46" s="3" t="s">
        <v>54</v>
      </c>
      <c r="B46" s="3" t="s">
        <v>40</v>
      </c>
      <c r="C46" s="2">
        <v>45908</v>
      </c>
      <c r="D46" s="3" t="s">
        <v>34</v>
      </c>
      <c r="E46" s="3" t="s">
        <v>367</v>
      </c>
      <c r="F46" s="3">
        <v>22309</v>
      </c>
      <c r="G46" s="3">
        <v>773</v>
      </c>
      <c r="H46" s="3">
        <v>854</v>
      </c>
      <c r="I46" s="3">
        <v>2387</v>
      </c>
      <c r="J46" s="3">
        <v>72396</v>
      </c>
      <c r="K46" s="3">
        <v>97056</v>
      </c>
      <c r="L46" s="3" t="s">
        <v>20</v>
      </c>
      <c r="M46" s="4">
        <v>0.24662050774810418</v>
      </c>
      <c r="N46" s="3" t="str">
        <f>INDEX(Table5_2[Objective], MATCH(L46,Table5_2[Campaign_Name], 0))</f>
        <v>Brand Engagement</v>
      </c>
    </row>
    <row r="47" spans="1:24" x14ac:dyDescent="0.3">
      <c r="A47" s="3" t="s">
        <v>54</v>
      </c>
      <c r="B47" s="3" t="s">
        <v>40</v>
      </c>
      <c r="C47" s="2">
        <v>45908</v>
      </c>
      <c r="D47" s="3" t="s">
        <v>34</v>
      </c>
      <c r="E47" s="3" t="s">
        <v>32</v>
      </c>
      <c r="F47" s="3">
        <v>22309</v>
      </c>
      <c r="G47" s="3">
        <v>773</v>
      </c>
      <c r="H47" s="3">
        <v>854</v>
      </c>
      <c r="I47" s="3">
        <v>2387</v>
      </c>
      <c r="J47" s="3">
        <v>72396</v>
      </c>
      <c r="K47" s="3">
        <v>97056</v>
      </c>
      <c r="L47" s="3" t="s">
        <v>20</v>
      </c>
      <c r="M47" s="4">
        <v>0.24662050774810418</v>
      </c>
      <c r="N47" s="3" t="str">
        <f>INDEX(Table5_2[Objective], MATCH(L47,Table5_2[Campaign_Name], 0))</f>
        <v>Brand Engagement</v>
      </c>
      <c r="R47" s="39" t="s">
        <v>408</v>
      </c>
    </row>
    <row r="48" spans="1:24" ht="15" thickBot="1" x14ac:dyDescent="0.35">
      <c r="A48" s="3" t="s">
        <v>280</v>
      </c>
      <c r="B48" s="3" t="s">
        <v>22</v>
      </c>
      <c r="C48" s="2">
        <v>45913</v>
      </c>
      <c r="D48" s="3" t="s">
        <v>27</v>
      </c>
      <c r="E48" s="3" t="s">
        <v>367</v>
      </c>
      <c r="F48" s="3">
        <v>15046</v>
      </c>
      <c r="G48" s="3">
        <v>281</v>
      </c>
      <c r="H48" s="3">
        <v>515</v>
      </c>
      <c r="I48" s="3">
        <v>550</v>
      </c>
      <c r="J48" s="3">
        <v>22583</v>
      </c>
      <c r="K48" s="3">
        <v>64596</v>
      </c>
      <c r="L48" s="3" t="s">
        <v>20</v>
      </c>
      <c r="M48" s="4">
        <v>0.24524738373893121</v>
      </c>
      <c r="N48" s="3" t="str">
        <f>INDEX(Table5_2[Objective], MATCH(L48,Table5_2[Campaign_Name], 0))</f>
        <v>Brand Engagement</v>
      </c>
    </row>
    <row r="49" spans="1:22" x14ac:dyDescent="0.3">
      <c r="A49" s="3" t="s">
        <v>280</v>
      </c>
      <c r="B49" s="3" t="s">
        <v>22</v>
      </c>
      <c r="C49" s="2">
        <v>45913</v>
      </c>
      <c r="D49" s="3" t="s">
        <v>27</v>
      </c>
      <c r="E49" s="3" t="s">
        <v>32</v>
      </c>
      <c r="F49" s="3">
        <v>15046</v>
      </c>
      <c r="G49" s="3">
        <v>281</v>
      </c>
      <c r="H49" s="3">
        <v>515</v>
      </c>
      <c r="I49" s="3">
        <v>550</v>
      </c>
      <c r="J49" s="3">
        <v>22583</v>
      </c>
      <c r="K49" s="3">
        <v>64596</v>
      </c>
      <c r="L49" s="3" t="s">
        <v>20</v>
      </c>
      <c r="M49" s="4">
        <v>0.24524738373893121</v>
      </c>
      <c r="N49" s="3" t="str">
        <f>INDEX(Table5_2[Objective], MATCH(L49,Table5_2[Campaign_Name], 0))</f>
        <v>Brand Engagement</v>
      </c>
      <c r="Q49" s="52">
        <v>1</v>
      </c>
      <c r="R49" s="53" t="s">
        <v>409</v>
      </c>
      <c r="S49" s="53"/>
      <c r="T49" s="53"/>
      <c r="U49" s="53"/>
      <c r="V49" s="54"/>
    </row>
    <row r="50" spans="1:22" x14ac:dyDescent="0.3">
      <c r="A50" s="3" t="s">
        <v>111</v>
      </c>
      <c r="B50" s="3" t="s">
        <v>40</v>
      </c>
      <c r="C50" s="2">
        <v>45603</v>
      </c>
      <c r="D50" s="3" t="s">
        <v>34</v>
      </c>
      <c r="E50" s="3" t="s">
        <v>32</v>
      </c>
      <c r="F50" s="3">
        <v>17254</v>
      </c>
      <c r="G50" s="3">
        <v>246</v>
      </c>
      <c r="H50" s="3">
        <v>952</v>
      </c>
      <c r="I50" s="3">
        <v>871</v>
      </c>
      <c r="J50" s="3">
        <v>14957</v>
      </c>
      <c r="K50" s="3">
        <v>75946</v>
      </c>
      <c r="L50" s="3" t="s">
        <v>45</v>
      </c>
      <c r="M50" s="4">
        <v>0.24296210465330631</v>
      </c>
      <c r="N50" s="3" t="str">
        <f>INDEX(Table5_2[Objective], MATCH(L50,Table5_2[Campaign_Name], 0))</f>
        <v>Product Promotion</v>
      </c>
      <c r="Q50" s="58">
        <v>2</v>
      </c>
      <c r="R50" s="46" t="s">
        <v>410</v>
      </c>
      <c r="S50" s="46"/>
      <c r="T50" s="46"/>
      <c r="U50" s="46"/>
      <c r="V50" s="59"/>
    </row>
    <row r="51" spans="1:22" x14ac:dyDescent="0.3">
      <c r="A51" s="3" t="s">
        <v>252</v>
      </c>
      <c r="B51" s="3" t="s">
        <v>22</v>
      </c>
      <c r="C51" s="2">
        <v>45502</v>
      </c>
      <c r="D51" s="3" t="s">
        <v>23</v>
      </c>
      <c r="E51" s="3" t="s">
        <v>353</v>
      </c>
      <c r="F51" s="3">
        <v>22590</v>
      </c>
      <c r="G51" s="3">
        <v>1462</v>
      </c>
      <c r="H51" s="3">
        <v>966</v>
      </c>
      <c r="I51" s="3">
        <v>2463</v>
      </c>
      <c r="J51" s="3">
        <v>29689</v>
      </c>
      <c r="K51" s="3">
        <v>103449</v>
      </c>
      <c r="L51" s="3" t="s">
        <v>25</v>
      </c>
      <c r="M51" s="4">
        <v>0.24183897379385011</v>
      </c>
      <c r="N51" s="3" t="str">
        <f>INDEX(Table5_2[Objective], MATCH(L51,Table5_2[Campaign_Name], 0))</f>
        <v>Sustainability Branding</v>
      </c>
      <c r="Q51" s="58">
        <v>3</v>
      </c>
      <c r="R51" s="46" t="s">
        <v>411</v>
      </c>
      <c r="S51" s="46"/>
      <c r="T51" s="46"/>
      <c r="U51" s="46"/>
      <c r="V51" s="59"/>
    </row>
    <row r="52" spans="1:22" ht="15" thickBot="1" x14ac:dyDescent="0.35">
      <c r="A52" s="3" t="s">
        <v>252</v>
      </c>
      <c r="B52" s="3" t="s">
        <v>22</v>
      </c>
      <c r="C52" s="2">
        <v>45502</v>
      </c>
      <c r="D52" s="3" t="s">
        <v>23</v>
      </c>
      <c r="E52" s="3" t="s">
        <v>354</v>
      </c>
      <c r="F52" s="3">
        <v>22590</v>
      </c>
      <c r="G52" s="3">
        <v>1462</v>
      </c>
      <c r="H52" s="3">
        <v>966</v>
      </c>
      <c r="I52" s="3">
        <v>2463</v>
      </c>
      <c r="J52" s="3">
        <v>29689</v>
      </c>
      <c r="K52" s="3">
        <v>103449</v>
      </c>
      <c r="L52" s="3" t="s">
        <v>25</v>
      </c>
      <c r="M52" s="4">
        <v>0.24183897379385011</v>
      </c>
      <c r="N52" s="3" t="str">
        <f>INDEX(Table5_2[Objective], MATCH(L52,Table5_2[Campaign_Name], 0))</f>
        <v>Sustainability Branding</v>
      </c>
      <c r="Q52" s="55">
        <v>4</v>
      </c>
      <c r="R52" s="56" t="s">
        <v>412</v>
      </c>
      <c r="S52" s="56"/>
      <c r="T52" s="56"/>
      <c r="U52" s="56"/>
      <c r="V52" s="57"/>
    </row>
    <row r="53" spans="1:22" x14ac:dyDescent="0.3">
      <c r="A53" s="3" t="s">
        <v>86</v>
      </c>
      <c r="B53" s="3" t="s">
        <v>13</v>
      </c>
      <c r="C53" s="2">
        <v>45456</v>
      </c>
      <c r="D53" s="3" t="s">
        <v>34</v>
      </c>
      <c r="E53" s="3" t="s">
        <v>363</v>
      </c>
      <c r="F53" s="3">
        <v>23164</v>
      </c>
      <c r="G53" s="3">
        <v>1122</v>
      </c>
      <c r="H53" s="3">
        <v>900</v>
      </c>
      <c r="I53" s="3">
        <v>888</v>
      </c>
      <c r="J53" s="3">
        <v>36938</v>
      </c>
      <c r="K53" s="3">
        <v>104674</v>
      </c>
      <c r="L53" s="3" t="s">
        <v>16</v>
      </c>
      <c r="M53" s="4">
        <v>0.24061371496264594</v>
      </c>
      <c r="N53" s="3" t="str">
        <f>INDEX(Table5_2[Objective], MATCH(L53,Table5_2[Campaign_Name], 0))</f>
        <v>Health &amp; Fitness Awareness</v>
      </c>
    </row>
    <row r="54" spans="1:22" x14ac:dyDescent="0.3">
      <c r="A54" s="3" t="s">
        <v>86</v>
      </c>
      <c r="B54" s="3" t="s">
        <v>13</v>
      </c>
      <c r="C54" s="2">
        <v>45456</v>
      </c>
      <c r="D54" s="3" t="s">
        <v>34</v>
      </c>
      <c r="E54" s="3" t="s">
        <v>364</v>
      </c>
      <c r="F54" s="3">
        <v>23164</v>
      </c>
      <c r="G54" s="3">
        <v>1122</v>
      </c>
      <c r="H54" s="3">
        <v>900</v>
      </c>
      <c r="I54" s="3">
        <v>888</v>
      </c>
      <c r="J54" s="3">
        <v>36938</v>
      </c>
      <c r="K54" s="3">
        <v>104674</v>
      </c>
      <c r="L54" s="3" t="s">
        <v>16</v>
      </c>
      <c r="M54" s="4">
        <v>0.24061371496264594</v>
      </c>
      <c r="N54" s="3" t="str">
        <f>INDEX(Table5_2[Objective], MATCH(L54,Table5_2[Campaign_Name], 0))</f>
        <v>Health &amp; Fitness Awareness</v>
      </c>
    </row>
    <row r="55" spans="1:22" x14ac:dyDescent="0.3">
      <c r="A55" s="3" t="s">
        <v>31</v>
      </c>
      <c r="B55" s="3" t="s">
        <v>18</v>
      </c>
      <c r="C55" s="2">
        <v>45905</v>
      </c>
      <c r="D55" s="3" t="s">
        <v>14</v>
      </c>
      <c r="E55" s="3" t="s">
        <v>32</v>
      </c>
      <c r="F55" s="3">
        <v>14677</v>
      </c>
      <c r="G55" s="3">
        <v>533</v>
      </c>
      <c r="H55" s="3">
        <v>759</v>
      </c>
      <c r="I55" s="3">
        <v>753</v>
      </c>
      <c r="J55" s="3">
        <v>23275</v>
      </c>
      <c r="K55" s="3">
        <v>66958</v>
      </c>
      <c r="L55" s="3" t="s">
        <v>20</v>
      </c>
      <c r="M55" s="4">
        <v>0.23849278652289496</v>
      </c>
      <c r="N55" s="3" t="str">
        <f>INDEX(Table5_2[Objective], MATCH(L55,Table5_2[Campaign_Name], 0))</f>
        <v>Brand Engagement</v>
      </c>
    </row>
    <row r="56" spans="1:22" x14ac:dyDescent="0.3">
      <c r="A56" s="3" t="s">
        <v>325</v>
      </c>
      <c r="B56" s="3" t="s">
        <v>22</v>
      </c>
      <c r="C56" s="2">
        <v>45624</v>
      </c>
      <c r="D56" s="3" t="s">
        <v>34</v>
      </c>
      <c r="E56" s="3" t="s">
        <v>361</v>
      </c>
      <c r="F56" s="3">
        <v>18644</v>
      </c>
      <c r="G56" s="3">
        <v>1369</v>
      </c>
      <c r="H56" s="3">
        <v>887</v>
      </c>
      <c r="I56" s="3">
        <v>1256</v>
      </c>
      <c r="J56" s="3">
        <v>43415</v>
      </c>
      <c r="K56" s="3">
        <v>88368</v>
      </c>
      <c r="L56" s="3" t="s">
        <v>25</v>
      </c>
      <c r="M56" s="4">
        <v>0.23651095419156257</v>
      </c>
      <c r="N56" s="3" t="str">
        <f>INDEX(Table5_2[Objective], MATCH(L56,Table5_2[Campaign_Name], 0))</f>
        <v>Sustainability Branding</v>
      </c>
    </row>
    <row r="57" spans="1:22" x14ac:dyDescent="0.3">
      <c r="A57" s="3" t="s">
        <v>325</v>
      </c>
      <c r="B57" s="3" t="s">
        <v>22</v>
      </c>
      <c r="C57" s="2">
        <v>45624</v>
      </c>
      <c r="D57" s="3" t="s">
        <v>34</v>
      </c>
      <c r="E57" s="3" t="s">
        <v>362</v>
      </c>
      <c r="F57" s="3">
        <v>18644</v>
      </c>
      <c r="G57" s="3">
        <v>1369</v>
      </c>
      <c r="H57" s="3">
        <v>887</v>
      </c>
      <c r="I57" s="3">
        <v>1256</v>
      </c>
      <c r="J57" s="3">
        <v>43415</v>
      </c>
      <c r="K57" s="3">
        <v>88368</v>
      </c>
      <c r="L57" s="3" t="s">
        <v>25</v>
      </c>
      <c r="M57" s="4">
        <v>0.23651095419156257</v>
      </c>
      <c r="N57" s="3" t="str">
        <f>INDEX(Table5_2[Objective], MATCH(L57,Table5_2[Campaign_Name], 0))</f>
        <v>Sustainability Branding</v>
      </c>
    </row>
    <row r="58" spans="1:22" x14ac:dyDescent="0.3">
      <c r="A58" s="3" t="s">
        <v>222</v>
      </c>
      <c r="B58" s="3" t="s">
        <v>22</v>
      </c>
      <c r="C58" s="2">
        <v>45528</v>
      </c>
      <c r="D58" s="3" t="s">
        <v>27</v>
      </c>
      <c r="E58" s="3" t="s">
        <v>357</v>
      </c>
      <c r="F58" s="3">
        <v>24890</v>
      </c>
      <c r="G58" s="3">
        <v>217</v>
      </c>
      <c r="H58" s="3">
        <v>178</v>
      </c>
      <c r="I58" s="3">
        <v>906</v>
      </c>
      <c r="J58" s="3">
        <v>54826</v>
      </c>
      <c r="K58" s="3">
        <v>107203</v>
      </c>
      <c r="L58" s="3" t="s">
        <v>25</v>
      </c>
      <c r="M58" s="4">
        <v>0.23586093672751696</v>
      </c>
      <c r="N58" s="3" t="str">
        <f>INDEX(Table5_2[Objective], MATCH(L58,Table5_2[Campaign_Name], 0))</f>
        <v>Sustainability Branding</v>
      </c>
    </row>
    <row r="59" spans="1:22" x14ac:dyDescent="0.3">
      <c r="A59" s="3" t="s">
        <v>222</v>
      </c>
      <c r="B59" s="3" t="s">
        <v>22</v>
      </c>
      <c r="C59" s="2">
        <v>45528</v>
      </c>
      <c r="D59" s="3" t="s">
        <v>27</v>
      </c>
      <c r="E59" s="3" t="s">
        <v>358</v>
      </c>
      <c r="F59" s="3">
        <v>24890</v>
      </c>
      <c r="G59" s="3">
        <v>217</v>
      </c>
      <c r="H59" s="3">
        <v>178</v>
      </c>
      <c r="I59" s="3">
        <v>906</v>
      </c>
      <c r="J59" s="3">
        <v>54826</v>
      </c>
      <c r="K59" s="3">
        <v>107203</v>
      </c>
      <c r="L59" s="3" t="s">
        <v>25</v>
      </c>
      <c r="M59" s="4">
        <v>0.23586093672751696</v>
      </c>
      <c r="N59" s="3" t="str">
        <f>INDEX(Table5_2[Objective], MATCH(L59,Table5_2[Campaign_Name], 0))</f>
        <v>Sustainability Branding</v>
      </c>
    </row>
    <row r="60" spans="1:22" x14ac:dyDescent="0.3">
      <c r="A60" s="3" t="s">
        <v>96</v>
      </c>
      <c r="B60" s="3" t="s">
        <v>13</v>
      </c>
      <c r="C60" s="2">
        <v>45540</v>
      </c>
      <c r="D60" s="3" t="s">
        <v>34</v>
      </c>
      <c r="E60" s="3" t="s">
        <v>64</v>
      </c>
      <c r="F60" s="3">
        <v>16489</v>
      </c>
      <c r="G60" s="3">
        <v>395</v>
      </c>
      <c r="H60" s="3">
        <v>350</v>
      </c>
      <c r="I60" s="3">
        <v>2364</v>
      </c>
      <c r="J60" s="3">
        <v>43239</v>
      </c>
      <c r="K60" s="3">
        <v>73397</v>
      </c>
      <c r="L60" s="3" t="s">
        <v>45</v>
      </c>
      <c r="M60" s="4">
        <v>0.23480523727127811</v>
      </c>
      <c r="N60" s="3" t="str">
        <f>INDEX(Table5_2[Objective], MATCH(L60,Table5_2[Campaign_Name], 0))</f>
        <v>Product Promotion</v>
      </c>
    </row>
    <row r="61" spans="1:22" x14ac:dyDescent="0.3">
      <c r="A61" s="3" t="s">
        <v>322</v>
      </c>
      <c r="B61" s="3" t="s">
        <v>13</v>
      </c>
      <c r="C61" s="2">
        <v>45919</v>
      </c>
      <c r="D61" s="3" t="s">
        <v>23</v>
      </c>
      <c r="E61" s="3" t="s">
        <v>363</v>
      </c>
      <c r="F61" s="3">
        <v>22128</v>
      </c>
      <c r="G61" s="3">
        <v>1004</v>
      </c>
      <c r="H61" s="3">
        <v>690</v>
      </c>
      <c r="I61" s="3">
        <v>2048</v>
      </c>
      <c r="J61" s="3">
        <v>19443</v>
      </c>
      <c r="K61" s="3">
        <v>103646</v>
      </c>
      <c r="L61" s="3" t="s">
        <v>20</v>
      </c>
      <c r="M61" s="4">
        <v>0.22984003241803833</v>
      </c>
      <c r="N61" s="3" t="str">
        <f>INDEX(Table5_2[Objective], MATCH(L61,Table5_2[Campaign_Name], 0))</f>
        <v>Brand Engagement</v>
      </c>
    </row>
    <row r="62" spans="1:22" x14ac:dyDescent="0.3">
      <c r="A62" s="3" t="s">
        <v>322</v>
      </c>
      <c r="B62" s="3" t="s">
        <v>13</v>
      </c>
      <c r="C62" s="2">
        <v>45919</v>
      </c>
      <c r="D62" s="3" t="s">
        <v>23</v>
      </c>
      <c r="E62" s="3" t="s">
        <v>364</v>
      </c>
      <c r="F62" s="3">
        <v>22128</v>
      </c>
      <c r="G62" s="3">
        <v>1004</v>
      </c>
      <c r="H62" s="3">
        <v>690</v>
      </c>
      <c r="I62" s="3">
        <v>2048</v>
      </c>
      <c r="J62" s="3">
        <v>19443</v>
      </c>
      <c r="K62" s="3">
        <v>103646</v>
      </c>
      <c r="L62" s="3" t="s">
        <v>20</v>
      </c>
      <c r="M62" s="4">
        <v>0.22984003241803833</v>
      </c>
      <c r="N62" s="3" t="str">
        <f>INDEX(Table5_2[Objective], MATCH(L62,Table5_2[Campaign_Name], 0))</f>
        <v>Brand Engagement</v>
      </c>
    </row>
    <row r="63" spans="1:22" x14ac:dyDescent="0.3">
      <c r="A63" s="3" t="s">
        <v>141</v>
      </c>
      <c r="B63" s="3" t="s">
        <v>40</v>
      </c>
      <c r="C63" s="2">
        <v>45457</v>
      </c>
      <c r="D63" s="3" t="s">
        <v>34</v>
      </c>
      <c r="E63" s="3" t="s">
        <v>365</v>
      </c>
      <c r="F63" s="3">
        <v>21856</v>
      </c>
      <c r="G63" s="3">
        <v>1203</v>
      </c>
      <c r="H63" s="3">
        <v>634</v>
      </c>
      <c r="I63" s="3">
        <v>2807</v>
      </c>
      <c r="J63" s="3">
        <v>3647</v>
      </c>
      <c r="K63" s="3">
        <v>104178</v>
      </c>
      <c r="L63" s="3" t="s">
        <v>29</v>
      </c>
      <c r="M63" s="4">
        <v>0.22742805582752595</v>
      </c>
      <c r="N63" s="3" t="str">
        <f>INDEX(Table5_2[Objective], MATCH(L63,Table5_2[Campaign_Name], 0))</f>
        <v>Product Launch</v>
      </c>
    </row>
    <row r="64" spans="1:22" x14ac:dyDescent="0.3">
      <c r="A64" s="3" t="s">
        <v>141</v>
      </c>
      <c r="B64" s="3" t="s">
        <v>40</v>
      </c>
      <c r="C64" s="2">
        <v>45457</v>
      </c>
      <c r="D64" s="3" t="s">
        <v>34</v>
      </c>
      <c r="E64" s="3" t="s">
        <v>359</v>
      </c>
      <c r="F64" s="3">
        <v>21856</v>
      </c>
      <c r="G64" s="3">
        <v>1203</v>
      </c>
      <c r="H64" s="3">
        <v>634</v>
      </c>
      <c r="I64" s="3">
        <v>2807</v>
      </c>
      <c r="J64" s="3">
        <v>3647</v>
      </c>
      <c r="K64" s="3">
        <v>104178</v>
      </c>
      <c r="L64" s="3" t="s">
        <v>29</v>
      </c>
      <c r="M64" s="4">
        <v>0.22742805582752595</v>
      </c>
      <c r="N64" s="3" t="str">
        <f>INDEX(Table5_2[Objective], MATCH(L64,Table5_2[Campaign_Name], 0))</f>
        <v>Product Launch</v>
      </c>
    </row>
    <row r="65" spans="1:14" x14ac:dyDescent="0.3">
      <c r="A65" s="3" t="s">
        <v>155</v>
      </c>
      <c r="B65" s="3" t="s">
        <v>18</v>
      </c>
      <c r="C65" s="2">
        <v>45695</v>
      </c>
      <c r="D65" s="3" t="s">
        <v>34</v>
      </c>
      <c r="E65" s="3" t="s">
        <v>368</v>
      </c>
      <c r="F65" s="3">
        <v>20290</v>
      </c>
      <c r="G65" s="3">
        <v>619</v>
      </c>
      <c r="H65" s="3">
        <v>927</v>
      </c>
      <c r="I65" s="3">
        <v>1186</v>
      </c>
      <c r="J65" s="3">
        <v>8924</v>
      </c>
      <c r="K65" s="3">
        <v>96503</v>
      </c>
      <c r="L65" s="3" t="s">
        <v>45</v>
      </c>
      <c r="M65" s="4">
        <v>0.22627275835984373</v>
      </c>
      <c r="N65" s="3" t="str">
        <f>INDEX(Table5_2[Objective], MATCH(L65,Table5_2[Campaign_Name], 0))</f>
        <v>Product Promotion</v>
      </c>
    </row>
    <row r="66" spans="1:14" x14ac:dyDescent="0.3">
      <c r="A66" s="3" t="s">
        <v>155</v>
      </c>
      <c r="B66" s="3" t="s">
        <v>18</v>
      </c>
      <c r="C66" s="2">
        <v>45695</v>
      </c>
      <c r="D66" s="3" t="s">
        <v>34</v>
      </c>
      <c r="E66" s="3" t="s">
        <v>369</v>
      </c>
      <c r="F66" s="3">
        <v>20290</v>
      </c>
      <c r="G66" s="3">
        <v>619</v>
      </c>
      <c r="H66" s="3">
        <v>927</v>
      </c>
      <c r="I66" s="3">
        <v>1186</v>
      </c>
      <c r="J66" s="3">
        <v>8924</v>
      </c>
      <c r="K66" s="3">
        <v>96503</v>
      </c>
      <c r="L66" s="3" t="s">
        <v>45</v>
      </c>
      <c r="M66" s="4">
        <v>0.22627275835984373</v>
      </c>
      <c r="N66" s="3" t="str">
        <f>INDEX(Table5_2[Objective], MATCH(L66,Table5_2[Campaign_Name], 0))</f>
        <v>Product Promotion</v>
      </c>
    </row>
    <row r="67" spans="1:14" x14ac:dyDescent="0.3">
      <c r="A67" s="3" t="s">
        <v>206</v>
      </c>
      <c r="B67" s="3" t="s">
        <v>40</v>
      </c>
      <c r="C67" s="2">
        <v>45775</v>
      </c>
      <c r="D67" s="3" t="s">
        <v>34</v>
      </c>
      <c r="E67" s="3" t="s">
        <v>367</v>
      </c>
      <c r="F67" s="3">
        <v>15013</v>
      </c>
      <c r="G67" s="3">
        <v>1286</v>
      </c>
      <c r="H67" s="3">
        <v>599</v>
      </c>
      <c r="I67" s="3">
        <v>2001</v>
      </c>
      <c r="J67" s="3">
        <v>67839</v>
      </c>
      <c r="K67" s="3">
        <v>76059</v>
      </c>
      <c r="L67" s="3" t="s">
        <v>16</v>
      </c>
      <c r="M67" s="4">
        <v>0.22216963147030594</v>
      </c>
      <c r="N67" s="3" t="str">
        <f>INDEX(Table5_2[Objective], MATCH(L67,Table5_2[Campaign_Name], 0))</f>
        <v>Health &amp; Fitness Awareness</v>
      </c>
    </row>
    <row r="68" spans="1:14" x14ac:dyDescent="0.3">
      <c r="A68" s="3" t="s">
        <v>206</v>
      </c>
      <c r="B68" s="3" t="s">
        <v>40</v>
      </c>
      <c r="C68" s="2">
        <v>45775</v>
      </c>
      <c r="D68" s="3" t="s">
        <v>34</v>
      </c>
      <c r="E68" s="3" t="s">
        <v>32</v>
      </c>
      <c r="F68" s="3">
        <v>15013</v>
      </c>
      <c r="G68" s="3">
        <v>1286</v>
      </c>
      <c r="H68" s="3">
        <v>599</v>
      </c>
      <c r="I68" s="3">
        <v>2001</v>
      </c>
      <c r="J68" s="3">
        <v>67839</v>
      </c>
      <c r="K68" s="3">
        <v>76059</v>
      </c>
      <c r="L68" s="3" t="s">
        <v>16</v>
      </c>
      <c r="M68" s="4">
        <v>0.22216963147030594</v>
      </c>
      <c r="N68" s="3" t="str">
        <f>INDEX(Table5_2[Objective], MATCH(L68,Table5_2[Campaign_Name], 0))</f>
        <v>Health &amp; Fitness Awareness</v>
      </c>
    </row>
    <row r="69" spans="1:14" x14ac:dyDescent="0.3">
      <c r="A69" s="3" t="s">
        <v>81</v>
      </c>
      <c r="B69" s="3" t="s">
        <v>18</v>
      </c>
      <c r="C69" s="2">
        <v>45779</v>
      </c>
      <c r="D69" s="3" t="s">
        <v>23</v>
      </c>
      <c r="E69" s="3" t="s">
        <v>359</v>
      </c>
      <c r="F69" s="3">
        <v>17444</v>
      </c>
      <c r="G69" s="3">
        <v>1402</v>
      </c>
      <c r="H69" s="3">
        <v>218</v>
      </c>
      <c r="I69" s="3">
        <v>725</v>
      </c>
      <c r="J69" s="3">
        <v>8710</v>
      </c>
      <c r="K69" s="3">
        <v>85893</v>
      </c>
      <c r="L69" s="3" t="s">
        <v>45</v>
      </c>
      <c r="M69" s="4">
        <v>0.22195056640238436</v>
      </c>
      <c r="N69" s="3" t="str">
        <f>INDEX(Table5_2[Objective], MATCH(L69,Table5_2[Campaign_Name], 0))</f>
        <v>Product Promotion</v>
      </c>
    </row>
    <row r="70" spans="1:14" x14ac:dyDescent="0.3">
      <c r="A70" s="3" t="s">
        <v>81</v>
      </c>
      <c r="B70" s="3" t="s">
        <v>18</v>
      </c>
      <c r="C70" s="2">
        <v>45779</v>
      </c>
      <c r="D70" s="3" t="s">
        <v>23</v>
      </c>
      <c r="E70" s="3" t="s">
        <v>366</v>
      </c>
      <c r="F70" s="3">
        <v>17444</v>
      </c>
      <c r="G70" s="3">
        <v>1402</v>
      </c>
      <c r="H70" s="3">
        <v>218</v>
      </c>
      <c r="I70" s="3">
        <v>725</v>
      </c>
      <c r="J70" s="3">
        <v>8710</v>
      </c>
      <c r="K70" s="3">
        <v>85893</v>
      </c>
      <c r="L70" s="3" t="s">
        <v>45</v>
      </c>
      <c r="M70" s="4">
        <v>0.22195056640238436</v>
      </c>
      <c r="N70" s="3" t="str">
        <f>INDEX(Table5_2[Objective], MATCH(L70,Table5_2[Campaign_Name], 0))</f>
        <v>Product Promotion</v>
      </c>
    </row>
    <row r="71" spans="1:14" x14ac:dyDescent="0.3">
      <c r="A71" s="3" t="s">
        <v>223</v>
      </c>
      <c r="B71" s="3" t="s">
        <v>40</v>
      </c>
      <c r="C71" s="2">
        <v>45648</v>
      </c>
      <c r="D71" s="3" t="s">
        <v>23</v>
      </c>
      <c r="E71" s="3" t="s">
        <v>368</v>
      </c>
      <c r="F71" s="3">
        <v>7870</v>
      </c>
      <c r="G71" s="3">
        <v>968</v>
      </c>
      <c r="H71" s="3">
        <v>626</v>
      </c>
      <c r="I71" s="3">
        <v>465</v>
      </c>
      <c r="J71" s="3">
        <v>27184</v>
      </c>
      <c r="K71" s="3">
        <v>44114</v>
      </c>
      <c r="L71" s="3" t="s">
        <v>45</v>
      </c>
      <c r="M71" s="4">
        <v>0.2145350682323072</v>
      </c>
      <c r="N71" s="3" t="str">
        <f>INDEX(Table5_2[Objective], MATCH(L71,Table5_2[Campaign_Name], 0))</f>
        <v>Product Promotion</v>
      </c>
    </row>
    <row r="72" spans="1:14" x14ac:dyDescent="0.3">
      <c r="A72" s="3" t="s">
        <v>223</v>
      </c>
      <c r="B72" s="3" t="s">
        <v>40</v>
      </c>
      <c r="C72" s="2">
        <v>45648</v>
      </c>
      <c r="D72" s="3" t="s">
        <v>23</v>
      </c>
      <c r="E72" s="3" t="s">
        <v>369</v>
      </c>
      <c r="F72" s="3">
        <v>7870</v>
      </c>
      <c r="G72" s="3">
        <v>968</v>
      </c>
      <c r="H72" s="3">
        <v>626</v>
      </c>
      <c r="I72" s="3">
        <v>465</v>
      </c>
      <c r="J72" s="3">
        <v>27184</v>
      </c>
      <c r="K72" s="3">
        <v>44114</v>
      </c>
      <c r="L72" s="3" t="s">
        <v>45</v>
      </c>
      <c r="M72" s="4">
        <v>0.2145350682323072</v>
      </c>
      <c r="N72" s="3" t="str">
        <f>INDEX(Table5_2[Objective], MATCH(L72,Table5_2[Campaign_Name], 0))</f>
        <v>Product Promotion</v>
      </c>
    </row>
    <row r="73" spans="1:14" x14ac:dyDescent="0.3">
      <c r="A73" s="3" t="s">
        <v>226</v>
      </c>
      <c r="B73" s="3" t="s">
        <v>40</v>
      </c>
      <c r="C73" s="2">
        <v>45569</v>
      </c>
      <c r="D73" s="3" t="s">
        <v>14</v>
      </c>
      <c r="E73" s="3" t="s">
        <v>361</v>
      </c>
      <c r="F73" s="3">
        <v>21729</v>
      </c>
      <c r="G73" s="3">
        <v>1209</v>
      </c>
      <c r="H73" s="3">
        <v>897</v>
      </c>
      <c r="I73" s="3">
        <v>1624</v>
      </c>
      <c r="J73" s="3">
        <v>38771</v>
      </c>
      <c r="K73" s="3">
        <v>113297</v>
      </c>
      <c r="L73" s="3" t="s">
        <v>29</v>
      </c>
      <c r="M73" s="4">
        <v>0.21037626768581694</v>
      </c>
      <c r="N73" s="3" t="str">
        <f>INDEX(Table5_2[Objective], MATCH(L73,Table5_2[Campaign_Name], 0))</f>
        <v>Product Launch</v>
      </c>
    </row>
    <row r="74" spans="1:14" x14ac:dyDescent="0.3">
      <c r="A74" s="3" t="s">
        <v>226</v>
      </c>
      <c r="B74" s="3" t="s">
        <v>40</v>
      </c>
      <c r="C74" s="2">
        <v>45569</v>
      </c>
      <c r="D74" s="3" t="s">
        <v>14</v>
      </c>
      <c r="E74" s="3" t="s">
        <v>362</v>
      </c>
      <c r="F74" s="3">
        <v>21729</v>
      </c>
      <c r="G74" s="3">
        <v>1209</v>
      </c>
      <c r="H74" s="3">
        <v>897</v>
      </c>
      <c r="I74" s="3">
        <v>1624</v>
      </c>
      <c r="J74" s="3">
        <v>38771</v>
      </c>
      <c r="K74" s="3">
        <v>113297</v>
      </c>
      <c r="L74" s="3" t="s">
        <v>29</v>
      </c>
      <c r="M74" s="4">
        <v>0.21037626768581694</v>
      </c>
      <c r="N74" s="3" t="str">
        <f>INDEX(Table5_2[Objective], MATCH(L74,Table5_2[Campaign_Name], 0))</f>
        <v>Product Launch</v>
      </c>
    </row>
    <row r="75" spans="1:14" x14ac:dyDescent="0.3">
      <c r="A75" s="3" t="s">
        <v>287</v>
      </c>
      <c r="B75" s="3" t="s">
        <v>40</v>
      </c>
      <c r="C75" s="2">
        <v>45915</v>
      </c>
      <c r="D75" s="3" t="s">
        <v>14</v>
      </c>
      <c r="E75" s="3" t="s">
        <v>361</v>
      </c>
      <c r="F75" s="3">
        <v>18389</v>
      </c>
      <c r="G75" s="3">
        <v>670</v>
      </c>
      <c r="H75" s="3">
        <v>655</v>
      </c>
      <c r="I75" s="3">
        <v>321</v>
      </c>
      <c r="J75" s="3">
        <v>21869</v>
      </c>
      <c r="K75" s="3">
        <v>96088</v>
      </c>
      <c r="L75" s="3" t="s">
        <v>20</v>
      </c>
      <c r="M75" s="4">
        <v>0.2051660977437349</v>
      </c>
      <c r="N75" s="3" t="str">
        <f>INDEX(Table5_2[Objective], MATCH(L75,Table5_2[Campaign_Name], 0))</f>
        <v>Brand Engagement</v>
      </c>
    </row>
    <row r="76" spans="1:14" x14ac:dyDescent="0.3">
      <c r="A76" s="3" t="s">
        <v>287</v>
      </c>
      <c r="B76" s="3" t="s">
        <v>40</v>
      </c>
      <c r="C76" s="2">
        <v>45915</v>
      </c>
      <c r="D76" s="3" t="s">
        <v>14</v>
      </c>
      <c r="E76" s="3" t="s">
        <v>362</v>
      </c>
      <c r="F76" s="3">
        <v>18389</v>
      </c>
      <c r="G76" s="3">
        <v>670</v>
      </c>
      <c r="H76" s="3">
        <v>655</v>
      </c>
      <c r="I76" s="3">
        <v>321</v>
      </c>
      <c r="J76" s="3">
        <v>21869</v>
      </c>
      <c r="K76" s="3">
        <v>96088</v>
      </c>
      <c r="L76" s="3" t="s">
        <v>20</v>
      </c>
      <c r="M76" s="4">
        <v>0.2051660977437349</v>
      </c>
      <c r="N76" s="3" t="str">
        <f>INDEX(Table5_2[Objective], MATCH(L76,Table5_2[Campaign_Name], 0))</f>
        <v>Brand Engagement</v>
      </c>
    </row>
    <row r="77" spans="1:14" x14ac:dyDescent="0.3">
      <c r="A77" s="3" t="s">
        <v>109</v>
      </c>
      <c r="B77" s="3" t="s">
        <v>40</v>
      </c>
      <c r="C77" s="2">
        <v>45593</v>
      </c>
      <c r="D77" s="3" t="s">
        <v>34</v>
      </c>
      <c r="E77" s="3" t="s">
        <v>359</v>
      </c>
      <c r="F77" s="3">
        <v>21198</v>
      </c>
      <c r="G77" s="3">
        <v>1484</v>
      </c>
      <c r="H77" s="3">
        <v>174</v>
      </c>
      <c r="I77" s="3">
        <v>1293</v>
      </c>
      <c r="J77" s="3">
        <v>16330</v>
      </c>
      <c r="K77" s="3">
        <v>111635</v>
      </c>
      <c r="L77" s="3" t="s">
        <v>29</v>
      </c>
      <c r="M77" s="4">
        <v>0.20473865723115511</v>
      </c>
      <c r="N77" s="3" t="str">
        <f>INDEX(Table5_2[Objective], MATCH(L77,Table5_2[Campaign_Name], 0))</f>
        <v>Product Launch</v>
      </c>
    </row>
    <row r="78" spans="1:14" x14ac:dyDescent="0.3">
      <c r="A78" s="3" t="s">
        <v>109</v>
      </c>
      <c r="B78" s="3" t="s">
        <v>40</v>
      </c>
      <c r="C78" s="2">
        <v>45593</v>
      </c>
      <c r="D78" s="3" t="s">
        <v>34</v>
      </c>
      <c r="E78" s="3" t="s">
        <v>360</v>
      </c>
      <c r="F78" s="3">
        <v>21198</v>
      </c>
      <c r="G78" s="3">
        <v>1484</v>
      </c>
      <c r="H78" s="3">
        <v>174</v>
      </c>
      <c r="I78" s="3">
        <v>1293</v>
      </c>
      <c r="J78" s="3">
        <v>16330</v>
      </c>
      <c r="K78" s="3">
        <v>111635</v>
      </c>
      <c r="L78" s="3" t="s">
        <v>29</v>
      </c>
      <c r="M78" s="4">
        <v>0.20473865723115511</v>
      </c>
      <c r="N78" s="3" t="str">
        <f>INDEX(Table5_2[Objective], MATCH(L78,Table5_2[Campaign_Name], 0))</f>
        <v>Product Launch</v>
      </c>
    </row>
    <row r="79" spans="1:14" x14ac:dyDescent="0.3">
      <c r="A79" s="3" t="s">
        <v>77</v>
      </c>
      <c r="B79" s="3" t="s">
        <v>13</v>
      </c>
      <c r="C79" s="2">
        <v>45721</v>
      </c>
      <c r="D79" s="3" t="s">
        <v>34</v>
      </c>
      <c r="E79" s="3" t="s">
        <v>359</v>
      </c>
      <c r="F79" s="3">
        <v>12916</v>
      </c>
      <c r="G79" s="3">
        <v>1262</v>
      </c>
      <c r="H79" s="3">
        <v>772</v>
      </c>
      <c r="I79" s="3">
        <v>856</v>
      </c>
      <c r="J79" s="3">
        <v>11496</v>
      </c>
      <c r="K79" s="3">
        <v>75046</v>
      </c>
      <c r="L79" s="3" t="s">
        <v>25</v>
      </c>
      <c r="M79" s="4">
        <v>0.19921115049436347</v>
      </c>
      <c r="N79" s="3" t="str">
        <f>INDEX(Table5_2[Objective], MATCH(L79,Table5_2[Campaign_Name], 0))</f>
        <v>Sustainability Branding</v>
      </c>
    </row>
    <row r="80" spans="1:14" x14ac:dyDescent="0.3">
      <c r="A80" s="3" t="s">
        <v>77</v>
      </c>
      <c r="B80" s="3" t="s">
        <v>13</v>
      </c>
      <c r="C80" s="2">
        <v>45721</v>
      </c>
      <c r="D80" s="3" t="s">
        <v>34</v>
      </c>
      <c r="E80" s="3" t="s">
        <v>366</v>
      </c>
      <c r="F80" s="3">
        <v>12916</v>
      </c>
      <c r="G80" s="3">
        <v>1262</v>
      </c>
      <c r="H80" s="3">
        <v>772</v>
      </c>
      <c r="I80" s="3">
        <v>856</v>
      </c>
      <c r="J80" s="3">
        <v>11496</v>
      </c>
      <c r="K80" s="3">
        <v>75046</v>
      </c>
      <c r="L80" s="3" t="s">
        <v>25</v>
      </c>
      <c r="M80" s="4">
        <v>0.19921115049436347</v>
      </c>
      <c r="N80" s="3" t="str">
        <f>INDEX(Table5_2[Objective], MATCH(L80,Table5_2[Campaign_Name], 0))</f>
        <v>Sustainability Branding</v>
      </c>
    </row>
    <row r="81" spans="1:14" x14ac:dyDescent="0.3">
      <c r="A81" s="3" t="s">
        <v>282</v>
      </c>
      <c r="B81" s="3" t="s">
        <v>40</v>
      </c>
      <c r="C81" s="2">
        <v>45576</v>
      </c>
      <c r="D81" s="3" t="s">
        <v>34</v>
      </c>
      <c r="E81" s="3" t="s">
        <v>365</v>
      </c>
      <c r="F81" s="3">
        <v>19447</v>
      </c>
      <c r="G81" s="3">
        <v>1014</v>
      </c>
      <c r="H81" s="3">
        <v>256</v>
      </c>
      <c r="I81" s="3">
        <v>2354</v>
      </c>
      <c r="J81" s="3">
        <v>5472</v>
      </c>
      <c r="K81" s="3">
        <v>104106</v>
      </c>
      <c r="L81" s="3" t="s">
        <v>16</v>
      </c>
      <c r="M81" s="4">
        <v>0.19899909707413599</v>
      </c>
      <c r="N81" s="3" t="str">
        <f>INDEX(Table5_2[Objective], MATCH(L81,Table5_2[Campaign_Name], 0))</f>
        <v>Health &amp; Fitness Awareness</v>
      </c>
    </row>
    <row r="82" spans="1:14" x14ac:dyDescent="0.3">
      <c r="A82" s="3" t="s">
        <v>282</v>
      </c>
      <c r="B82" s="3" t="s">
        <v>40</v>
      </c>
      <c r="C82" s="2">
        <v>45576</v>
      </c>
      <c r="D82" s="3" t="s">
        <v>34</v>
      </c>
      <c r="E82" s="3" t="s">
        <v>359</v>
      </c>
      <c r="F82" s="3">
        <v>19447</v>
      </c>
      <c r="G82" s="3">
        <v>1014</v>
      </c>
      <c r="H82" s="3">
        <v>256</v>
      </c>
      <c r="I82" s="3">
        <v>2354</v>
      </c>
      <c r="J82" s="3">
        <v>5472</v>
      </c>
      <c r="K82" s="3">
        <v>104106</v>
      </c>
      <c r="L82" s="3" t="s">
        <v>16</v>
      </c>
      <c r="M82" s="4">
        <v>0.19899909707413599</v>
      </c>
      <c r="N82" s="3" t="str">
        <f>INDEX(Table5_2[Objective], MATCH(L82,Table5_2[Campaign_Name], 0))</f>
        <v>Health &amp; Fitness Awareness</v>
      </c>
    </row>
    <row r="83" spans="1:14" x14ac:dyDescent="0.3">
      <c r="A83" s="3" t="s">
        <v>296</v>
      </c>
      <c r="B83" s="3" t="s">
        <v>13</v>
      </c>
      <c r="C83" s="2">
        <v>45700</v>
      </c>
      <c r="D83" s="3" t="s">
        <v>27</v>
      </c>
      <c r="E83" s="3" t="s">
        <v>355</v>
      </c>
      <c r="F83" s="3">
        <v>15234</v>
      </c>
      <c r="G83" s="3">
        <v>1276</v>
      </c>
      <c r="H83" s="3">
        <v>670</v>
      </c>
      <c r="I83" s="3">
        <v>1860</v>
      </c>
      <c r="J83" s="3">
        <v>60397</v>
      </c>
      <c r="K83" s="3">
        <v>86413</v>
      </c>
      <c r="L83" s="3" t="s">
        <v>45</v>
      </c>
      <c r="M83" s="4">
        <v>0.19881267864788862</v>
      </c>
      <c r="N83" s="3" t="str">
        <f>INDEX(Table5_2[Objective], MATCH(L83,Table5_2[Campaign_Name], 0))</f>
        <v>Product Promotion</v>
      </c>
    </row>
    <row r="84" spans="1:14" x14ac:dyDescent="0.3">
      <c r="A84" s="3" t="s">
        <v>296</v>
      </c>
      <c r="B84" s="3" t="s">
        <v>13</v>
      </c>
      <c r="C84" s="2">
        <v>45700</v>
      </c>
      <c r="D84" s="3" t="s">
        <v>27</v>
      </c>
      <c r="E84" s="3" t="s">
        <v>356</v>
      </c>
      <c r="F84" s="3">
        <v>15234</v>
      </c>
      <c r="G84" s="3">
        <v>1276</v>
      </c>
      <c r="H84" s="3">
        <v>670</v>
      </c>
      <c r="I84" s="3">
        <v>1860</v>
      </c>
      <c r="J84" s="3">
        <v>60397</v>
      </c>
      <c r="K84" s="3">
        <v>86413</v>
      </c>
      <c r="L84" s="3" t="s">
        <v>45</v>
      </c>
      <c r="M84" s="4">
        <v>0.19881267864788862</v>
      </c>
      <c r="N84" s="3" t="str">
        <f>INDEX(Table5_2[Objective], MATCH(L84,Table5_2[Campaign_Name], 0))</f>
        <v>Product Promotion</v>
      </c>
    </row>
    <row r="85" spans="1:14" x14ac:dyDescent="0.3">
      <c r="A85" s="3" t="s">
        <v>129</v>
      </c>
      <c r="B85" s="3" t="s">
        <v>40</v>
      </c>
      <c r="C85" s="2">
        <v>45637</v>
      </c>
      <c r="D85" s="3" t="s">
        <v>34</v>
      </c>
      <c r="E85" s="3" t="s">
        <v>365</v>
      </c>
      <c r="F85" s="3">
        <v>22645</v>
      </c>
      <c r="G85" s="3">
        <v>545</v>
      </c>
      <c r="H85" s="3">
        <v>972</v>
      </c>
      <c r="I85" s="3">
        <v>321</v>
      </c>
      <c r="J85" s="3">
        <v>8396</v>
      </c>
      <c r="K85" s="3">
        <v>121537</v>
      </c>
      <c r="L85" s="3" t="s">
        <v>45</v>
      </c>
      <c r="M85" s="4">
        <v>0.19880365649966678</v>
      </c>
      <c r="N85" s="3" t="str">
        <f>INDEX(Table5_2[Objective], MATCH(L85,Table5_2[Campaign_Name], 0))</f>
        <v>Product Promotion</v>
      </c>
    </row>
    <row r="86" spans="1:14" x14ac:dyDescent="0.3">
      <c r="A86" s="3" t="s">
        <v>129</v>
      </c>
      <c r="B86" s="3" t="s">
        <v>40</v>
      </c>
      <c r="C86" s="2">
        <v>45637</v>
      </c>
      <c r="D86" s="3" t="s">
        <v>34</v>
      </c>
      <c r="E86" s="3" t="s">
        <v>359</v>
      </c>
      <c r="F86" s="3">
        <v>22645</v>
      </c>
      <c r="G86" s="3">
        <v>545</v>
      </c>
      <c r="H86" s="3">
        <v>972</v>
      </c>
      <c r="I86" s="3">
        <v>321</v>
      </c>
      <c r="J86" s="3">
        <v>8396</v>
      </c>
      <c r="K86" s="3">
        <v>121537</v>
      </c>
      <c r="L86" s="3" t="s">
        <v>45</v>
      </c>
      <c r="M86" s="4">
        <v>0.19880365649966678</v>
      </c>
      <c r="N86" s="3" t="str">
        <f>INDEX(Table5_2[Objective], MATCH(L86,Table5_2[Campaign_Name], 0))</f>
        <v>Product Promotion</v>
      </c>
    </row>
    <row r="87" spans="1:14" x14ac:dyDescent="0.3">
      <c r="A87" s="3" t="s">
        <v>199</v>
      </c>
      <c r="B87" s="3" t="s">
        <v>18</v>
      </c>
      <c r="C87" s="2">
        <v>45755</v>
      </c>
      <c r="D87" s="3" t="s">
        <v>27</v>
      </c>
      <c r="E87" s="3" t="s">
        <v>353</v>
      </c>
      <c r="F87" s="3">
        <v>15568</v>
      </c>
      <c r="G87" s="3">
        <v>1166</v>
      </c>
      <c r="H87" s="3">
        <v>546</v>
      </c>
      <c r="I87" s="3">
        <v>826</v>
      </c>
      <c r="J87" s="3">
        <v>21836</v>
      </c>
      <c r="K87" s="3">
        <v>87055</v>
      </c>
      <c r="L87" s="3" t="s">
        <v>16</v>
      </c>
      <c r="M87" s="4">
        <v>0.19849520418126471</v>
      </c>
      <c r="N87" s="3" t="str">
        <f>INDEX(Table5_2[Objective], MATCH(L87,Table5_2[Campaign_Name], 0))</f>
        <v>Health &amp; Fitness Awareness</v>
      </c>
    </row>
    <row r="88" spans="1:14" x14ac:dyDescent="0.3">
      <c r="A88" s="3" t="s">
        <v>199</v>
      </c>
      <c r="B88" s="3" t="s">
        <v>18</v>
      </c>
      <c r="C88" s="2">
        <v>45755</v>
      </c>
      <c r="D88" s="3" t="s">
        <v>27</v>
      </c>
      <c r="E88" s="3" t="s">
        <v>354</v>
      </c>
      <c r="F88" s="3">
        <v>15568</v>
      </c>
      <c r="G88" s="3">
        <v>1166</v>
      </c>
      <c r="H88" s="3">
        <v>546</v>
      </c>
      <c r="I88" s="3">
        <v>826</v>
      </c>
      <c r="J88" s="3">
        <v>21836</v>
      </c>
      <c r="K88" s="3">
        <v>87055</v>
      </c>
      <c r="L88" s="3" t="s">
        <v>16</v>
      </c>
      <c r="M88" s="4">
        <v>0.19849520418126471</v>
      </c>
      <c r="N88" s="3" t="str">
        <f>INDEX(Table5_2[Objective], MATCH(L88,Table5_2[Campaign_Name], 0))</f>
        <v>Health &amp; Fitness Awareness</v>
      </c>
    </row>
    <row r="89" spans="1:14" x14ac:dyDescent="0.3">
      <c r="A89" s="3" t="s">
        <v>336</v>
      </c>
      <c r="B89" s="3" t="s">
        <v>18</v>
      </c>
      <c r="C89" s="2">
        <v>45926</v>
      </c>
      <c r="D89" s="3" t="s">
        <v>27</v>
      </c>
      <c r="E89" s="3" t="s">
        <v>365</v>
      </c>
      <c r="F89" s="3">
        <v>21216</v>
      </c>
      <c r="G89" s="3">
        <v>226</v>
      </c>
      <c r="H89" s="3">
        <v>187</v>
      </c>
      <c r="I89" s="3">
        <v>1573</v>
      </c>
      <c r="J89" s="3">
        <v>62688</v>
      </c>
      <c r="K89" s="3">
        <v>111031</v>
      </c>
      <c r="L89" s="3" t="s">
        <v>20</v>
      </c>
      <c r="M89" s="4">
        <v>0.19480145184678152</v>
      </c>
      <c r="N89" s="3" t="str">
        <f>INDEX(Table5_2[Objective], MATCH(L89,Table5_2[Campaign_Name], 0))</f>
        <v>Brand Engagement</v>
      </c>
    </row>
    <row r="90" spans="1:14" x14ac:dyDescent="0.3">
      <c r="A90" s="3" t="s">
        <v>336</v>
      </c>
      <c r="B90" s="3" t="s">
        <v>18</v>
      </c>
      <c r="C90" s="2">
        <v>45926</v>
      </c>
      <c r="D90" s="3" t="s">
        <v>27</v>
      </c>
      <c r="E90" s="3" t="s">
        <v>359</v>
      </c>
      <c r="F90" s="3">
        <v>21216</v>
      </c>
      <c r="G90" s="3">
        <v>226</v>
      </c>
      <c r="H90" s="3">
        <v>187</v>
      </c>
      <c r="I90" s="3">
        <v>1573</v>
      </c>
      <c r="J90" s="3">
        <v>62688</v>
      </c>
      <c r="K90" s="3">
        <v>111031</v>
      </c>
      <c r="L90" s="3" t="s">
        <v>20</v>
      </c>
      <c r="M90" s="4">
        <v>0.19480145184678152</v>
      </c>
      <c r="N90" s="3" t="str">
        <f>INDEX(Table5_2[Objective], MATCH(L90,Table5_2[Campaign_Name], 0))</f>
        <v>Brand Engagement</v>
      </c>
    </row>
    <row r="91" spans="1:14" x14ac:dyDescent="0.3">
      <c r="A91" s="3" t="s">
        <v>103</v>
      </c>
      <c r="B91" s="3" t="s">
        <v>22</v>
      </c>
      <c r="C91" s="2">
        <v>45634</v>
      </c>
      <c r="D91" s="3" t="s">
        <v>27</v>
      </c>
      <c r="E91" s="3" t="s">
        <v>355</v>
      </c>
      <c r="F91" s="3">
        <v>10427</v>
      </c>
      <c r="G91" s="3">
        <v>1014</v>
      </c>
      <c r="H91" s="3">
        <v>166</v>
      </c>
      <c r="I91" s="3">
        <v>1649</v>
      </c>
      <c r="J91" s="3">
        <v>15145</v>
      </c>
      <c r="K91" s="3">
        <v>59816</v>
      </c>
      <c r="L91" s="3" t="s">
        <v>25</v>
      </c>
      <c r="M91" s="4">
        <v>0.19404507155276179</v>
      </c>
      <c r="N91" s="3" t="str">
        <f>INDEX(Table5_2[Objective], MATCH(L91,Table5_2[Campaign_Name], 0))</f>
        <v>Sustainability Branding</v>
      </c>
    </row>
    <row r="92" spans="1:14" x14ac:dyDescent="0.3">
      <c r="A92" s="3" t="s">
        <v>103</v>
      </c>
      <c r="B92" s="3" t="s">
        <v>22</v>
      </c>
      <c r="C92" s="2">
        <v>45634</v>
      </c>
      <c r="D92" s="3" t="s">
        <v>27</v>
      </c>
      <c r="E92" s="3" t="s">
        <v>356</v>
      </c>
      <c r="F92" s="3">
        <v>10427</v>
      </c>
      <c r="G92" s="3">
        <v>1014</v>
      </c>
      <c r="H92" s="3">
        <v>166</v>
      </c>
      <c r="I92" s="3">
        <v>1649</v>
      </c>
      <c r="J92" s="3">
        <v>15145</v>
      </c>
      <c r="K92" s="3">
        <v>59816</v>
      </c>
      <c r="L92" s="3" t="s">
        <v>25</v>
      </c>
      <c r="M92" s="4">
        <v>0.19404507155276179</v>
      </c>
      <c r="N92" s="3" t="str">
        <f>INDEX(Table5_2[Objective], MATCH(L92,Table5_2[Campaign_Name], 0))</f>
        <v>Sustainability Branding</v>
      </c>
    </row>
    <row r="93" spans="1:14" x14ac:dyDescent="0.3">
      <c r="A93" s="3" t="s">
        <v>162</v>
      </c>
      <c r="B93" s="3" t="s">
        <v>18</v>
      </c>
      <c r="C93" s="2">
        <v>45744</v>
      </c>
      <c r="D93" s="3" t="s">
        <v>14</v>
      </c>
      <c r="E93" s="3" t="s">
        <v>363</v>
      </c>
      <c r="F93" s="3">
        <v>13637</v>
      </c>
      <c r="G93" s="3">
        <v>1135</v>
      </c>
      <c r="H93" s="3">
        <v>540</v>
      </c>
      <c r="I93" s="3">
        <v>1288</v>
      </c>
      <c r="J93" s="3">
        <v>45183</v>
      </c>
      <c r="K93" s="3">
        <v>79062</v>
      </c>
      <c r="L93" s="3" t="s">
        <v>45</v>
      </c>
      <c r="M93" s="4">
        <v>0.19367079001290127</v>
      </c>
      <c r="N93" s="3" t="str">
        <f>INDEX(Table5_2[Objective], MATCH(L93,Table5_2[Campaign_Name], 0))</f>
        <v>Product Promotion</v>
      </c>
    </row>
    <row r="94" spans="1:14" x14ac:dyDescent="0.3">
      <c r="A94" s="3" t="s">
        <v>162</v>
      </c>
      <c r="B94" s="3" t="s">
        <v>18</v>
      </c>
      <c r="C94" s="2">
        <v>45744</v>
      </c>
      <c r="D94" s="3" t="s">
        <v>14</v>
      </c>
      <c r="E94" s="3" t="s">
        <v>364</v>
      </c>
      <c r="F94" s="3">
        <v>13637</v>
      </c>
      <c r="G94" s="3">
        <v>1135</v>
      </c>
      <c r="H94" s="3">
        <v>540</v>
      </c>
      <c r="I94" s="3">
        <v>1288</v>
      </c>
      <c r="J94" s="3">
        <v>45183</v>
      </c>
      <c r="K94" s="3">
        <v>79062</v>
      </c>
      <c r="L94" s="3" t="s">
        <v>45</v>
      </c>
      <c r="M94" s="4">
        <v>0.19367079001290127</v>
      </c>
      <c r="N94" s="3" t="str">
        <f>INDEX(Table5_2[Objective], MATCH(L94,Table5_2[Campaign_Name], 0))</f>
        <v>Product Promotion</v>
      </c>
    </row>
    <row r="95" spans="1:14" x14ac:dyDescent="0.3">
      <c r="A95" s="3" t="s">
        <v>165</v>
      </c>
      <c r="B95" s="3" t="s">
        <v>18</v>
      </c>
      <c r="C95" s="2">
        <v>45494</v>
      </c>
      <c r="D95" s="3" t="s">
        <v>14</v>
      </c>
      <c r="E95" s="3" t="s">
        <v>359</v>
      </c>
      <c r="F95" s="3">
        <v>11911</v>
      </c>
      <c r="G95" s="3">
        <v>1360</v>
      </c>
      <c r="H95" s="3">
        <v>778</v>
      </c>
      <c r="I95" s="3">
        <v>1168</v>
      </c>
      <c r="J95" s="3">
        <v>16483</v>
      </c>
      <c r="K95" s="3">
        <v>72556</v>
      </c>
      <c r="L95" s="3" t="s">
        <v>25</v>
      </c>
      <c r="M95" s="4">
        <v>0.19362974805667346</v>
      </c>
      <c r="N95" s="3" t="str">
        <f>INDEX(Table5_2[Objective], MATCH(L95,Table5_2[Campaign_Name], 0))</f>
        <v>Sustainability Branding</v>
      </c>
    </row>
    <row r="96" spans="1:14" x14ac:dyDescent="0.3">
      <c r="A96" s="3" t="s">
        <v>165</v>
      </c>
      <c r="B96" s="3" t="s">
        <v>18</v>
      </c>
      <c r="C96" s="2">
        <v>45494</v>
      </c>
      <c r="D96" s="3" t="s">
        <v>14</v>
      </c>
      <c r="E96" s="3" t="s">
        <v>360</v>
      </c>
      <c r="F96" s="3">
        <v>11911</v>
      </c>
      <c r="G96" s="3">
        <v>1360</v>
      </c>
      <c r="H96" s="3">
        <v>778</v>
      </c>
      <c r="I96" s="3">
        <v>1168</v>
      </c>
      <c r="J96" s="3">
        <v>16483</v>
      </c>
      <c r="K96" s="3">
        <v>72556</v>
      </c>
      <c r="L96" s="3" t="s">
        <v>25</v>
      </c>
      <c r="M96" s="4">
        <v>0.19362974805667346</v>
      </c>
      <c r="N96" s="3" t="str">
        <f>INDEX(Table5_2[Objective], MATCH(L96,Table5_2[Campaign_Name], 0))</f>
        <v>Sustainability Branding</v>
      </c>
    </row>
    <row r="97" spans="1:14" x14ac:dyDescent="0.3">
      <c r="A97" s="3" t="s">
        <v>133</v>
      </c>
      <c r="B97" s="3" t="s">
        <v>40</v>
      </c>
      <c r="C97" s="2">
        <v>45517</v>
      </c>
      <c r="D97" s="3" t="s">
        <v>34</v>
      </c>
      <c r="E97" s="3" t="s">
        <v>368</v>
      </c>
      <c r="F97" s="3">
        <v>6854</v>
      </c>
      <c r="G97" s="3">
        <v>417</v>
      </c>
      <c r="H97" s="3">
        <v>467</v>
      </c>
      <c r="I97" s="3">
        <v>1003</v>
      </c>
      <c r="J97" s="3">
        <v>61333</v>
      </c>
      <c r="K97" s="3">
        <v>40281</v>
      </c>
      <c r="L97" s="3" t="s">
        <v>16</v>
      </c>
      <c r="M97" s="4">
        <v>0.19210049402944315</v>
      </c>
      <c r="N97" s="3" t="str">
        <f>INDEX(Table5_2[Objective], MATCH(L97,Table5_2[Campaign_Name], 0))</f>
        <v>Health &amp; Fitness Awareness</v>
      </c>
    </row>
    <row r="98" spans="1:14" x14ac:dyDescent="0.3">
      <c r="A98" s="3" t="s">
        <v>133</v>
      </c>
      <c r="B98" s="3" t="s">
        <v>40</v>
      </c>
      <c r="C98" s="2">
        <v>45517</v>
      </c>
      <c r="D98" s="3" t="s">
        <v>34</v>
      </c>
      <c r="E98" s="3" t="s">
        <v>369</v>
      </c>
      <c r="F98" s="3">
        <v>6854</v>
      </c>
      <c r="G98" s="3">
        <v>417</v>
      </c>
      <c r="H98" s="3">
        <v>467</v>
      </c>
      <c r="I98" s="3">
        <v>1003</v>
      </c>
      <c r="J98" s="3">
        <v>61333</v>
      </c>
      <c r="K98" s="3">
        <v>40281</v>
      </c>
      <c r="L98" s="3" t="s">
        <v>16</v>
      </c>
      <c r="M98" s="4">
        <v>0.19210049402944315</v>
      </c>
      <c r="N98" s="3" t="str">
        <f>INDEX(Table5_2[Objective], MATCH(L98,Table5_2[Campaign_Name], 0))</f>
        <v>Health &amp; Fitness Awareness</v>
      </c>
    </row>
    <row r="99" spans="1:14" x14ac:dyDescent="0.3">
      <c r="A99" s="3" t="s">
        <v>82</v>
      </c>
      <c r="B99" s="3" t="s">
        <v>18</v>
      </c>
      <c r="C99" s="2">
        <v>45712</v>
      </c>
      <c r="D99" s="3" t="s">
        <v>23</v>
      </c>
      <c r="E99" s="3" t="s">
        <v>365</v>
      </c>
      <c r="F99" s="3">
        <v>24984</v>
      </c>
      <c r="G99" s="3">
        <v>753</v>
      </c>
      <c r="H99" s="3">
        <v>461</v>
      </c>
      <c r="I99" s="3">
        <v>2710</v>
      </c>
      <c r="J99" s="3">
        <v>20792</v>
      </c>
      <c r="K99" s="3">
        <v>141520</v>
      </c>
      <c r="L99" s="3" t="s">
        <v>25</v>
      </c>
      <c r="M99" s="4">
        <v>0.18511871113623515</v>
      </c>
      <c r="N99" s="3" t="str">
        <f>INDEX(Table5_2[Objective], MATCH(L99,Table5_2[Campaign_Name], 0))</f>
        <v>Sustainability Branding</v>
      </c>
    </row>
    <row r="100" spans="1:14" x14ac:dyDescent="0.3">
      <c r="A100" s="3" t="s">
        <v>82</v>
      </c>
      <c r="B100" s="3" t="s">
        <v>18</v>
      </c>
      <c r="C100" s="2">
        <v>45712</v>
      </c>
      <c r="D100" s="3" t="s">
        <v>23</v>
      </c>
      <c r="E100" s="3" t="s">
        <v>359</v>
      </c>
      <c r="F100" s="3">
        <v>24984</v>
      </c>
      <c r="G100" s="3">
        <v>753</v>
      </c>
      <c r="H100" s="3">
        <v>461</v>
      </c>
      <c r="I100" s="3">
        <v>2710</v>
      </c>
      <c r="J100" s="3">
        <v>20792</v>
      </c>
      <c r="K100" s="3">
        <v>141520</v>
      </c>
      <c r="L100" s="3" t="s">
        <v>25</v>
      </c>
      <c r="M100" s="4">
        <v>0.18511871113623515</v>
      </c>
      <c r="N100" s="3" t="str">
        <f>INDEX(Table5_2[Objective], MATCH(L100,Table5_2[Campaign_Name], 0))</f>
        <v>Sustainability Branding</v>
      </c>
    </row>
    <row r="101" spans="1:14" x14ac:dyDescent="0.3">
      <c r="A101" s="3" t="s">
        <v>188</v>
      </c>
      <c r="B101" s="3" t="s">
        <v>13</v>
      </c>
      <c r="C101" s="2">
        <v>45934</v>
      </c>
      <c r="D101" s="3" t="s">
        <v>27</v>
      </c>
      <c r="E101" s="3" t="s">
        <v>368</v>
      </c>
      <c r="F101" s="3">
        <v>12488</v>
      </c>
      <c r="G101" s="3">
        <v>1403</v>
      </c>
      <c r="H101" s="3">
        <v>247</v>
      </c>
      <c r="I101" s="3">
        <v>1350</v>
      </c>
      <c r="J101" s="3">
        <v>28370</v>
      </c>
      <c r="K101" s="3">
        <v>76487</v>
      </c>
      <c r="L101" s="3" t="s">
        <v>20</v>
      </c>
      <c r="M101" s="4">
        <v>0.18484186855282597</v>
      </c>
      <c r="N101" s="3" t="str">
        <f>INDEX(Table5_2[Objective], MATCH(L101,Table5_2[Campaign_Name], 0))</f>
        <v>Brand Engagement</v>
      </c>
    </row>
    <row r="102" spans="1:14" x14ac:dyDescent="0.3">
      <c r="A102" s="3" t="s">
        <v>188</v>
      </c>
      <c r="B102" s="3" t="s">
        <v>13</v>
      </c>
      <c r="C102" s="2">
        <v>45934</v>
      </c>
      <c r="D102" s="3" t="s">
        <v>27</v>
      </c>
      <c r="E102" s="3" t="s">
        <v>369</v>
      </c>
      <c r="F102" s="3">
        <v>12488</v>
      </c>
      <c r="G102" s="3">
        <v>1403</v>
      </c>
      <c r="H102" s="3">
        <v>247</v>
      </c>
      <c r="I102" s="3">
        <v>1350</v>
      </c>
      <c r="J102" s="3">
        <v>28370</v>
      </c>
      <c r="K102" s="3">
        <v>76487</v>
      </c>
      <c r="L102" s="3" t="s">
        <v>20</v>
      </c>
      <c r="M102" s="4">
        <v>0.18484186855282597</v>
      </c>
      <c r="N102" s="3" t="str">
        <f>INDEX(Table5_2[Objective], MATCH(L102,Table5_2[Campaign_Name], 0))</f>
        <v>Brand Engagement</v>
      </c>
    </row>
    <row r="103" spans="1:14" x14ac:dyDescent="0.3">
      <c r="A103" s="3" t="s">
        <v>266</v>
      </c>
      <c r="B103" s="3" t="s">
        <v>22</v>
      </c>
      <c r="C103" s="2">
        <v>45488</v>
      </c>
      <c r="D103" s="3" t="s">
        <v>27</v>
      </c>
      <c r="E103" s="3" t="s">
        <v>32</v>
      </c>
      <c r="F103" s="3">
        <v>12554</v>
      </c>
      <c r="G103" s="3">
        <v>381</v>
      </c>
      <c r="H103" s="3">
        <v>211</v>
      </c>
      <c r="I103" s="3">
        <v>2286</v>
      </c>
      <c r="J103" s="3">
        <v>50567</v>
      </c>
      <c r="K103" s="3">
        <v>72779</v>
      </c>
      <c r="L103" s="3" t="s">
        <v>16</v>
      </c>
      <c r="M103" s="4">
        <v>0.18062902760411656</v>
      </c>
      <c r="N103" s="3" t="str">
        <f>INDEX(Table5_2[Objective], MATCH(L103,Table5_2[Campaign_Name], 0))</f>
        <v>Health &amp; Fitness Awareness</v>
      </c>
    </row>
    <row r="104" spans="1:14" x14ac:dyDescent="0.3">
      <c r="A104" s="3" t="s">
        <v>184</v>
      </c>
      <c r="B104" s="3" t="s">
        <v>13</v>
      </c>
      <c r="C104" s="2">
        <v>45762</v>
      </c>
      <c r="D104" s="3" t="s">
        <v>27</v>
      </c>
      <c r="E104" s="3" t="s">
        <v>365</v>
      </c>
      <c r="F104" s="3">
        <v>20977</v>
      </c>
      <c r="G104" s="3">
        <v>1402</v>
      </c>
      <c r="H104" s="3">
        <v>301</v>
      </c>
      <c r="I104" s="3">
        <v>1284</v>
      </c>
      <c r="J104" s="3">
        <v>24620</v>
      </c>
      <c r="K104" s="3">
        <v>128009</v>
      </c>
      <c r="L104" s="3" t="s">
        <v>16</v>
      </c>
      <c r="M104" s="4">
        <v>0.17717504237983267</v>
      </c>
      <c r="N104" s="3" t="str">
        <f>INDEX(Table5_2[Objective], MATCH(L104,Table5_2[Campaign_Name], 0))</f>
        <v>Health &amp; Fitness Awareness</v>
      </c>
    </row>
    <row r="105" spans="1:14" x14ac:dyDescent="0.3">
      <c r="A105" s="3" t="s">
        <v>184</v>
      </c>
      <c r="B105" s="3" t="s">
        <v>13</v>
      </c>
      <c r="C105" s="2">
        <v>45762</v>
      </c>
      <c r="D105" s="3" t="s">
        <v>27</v>
      </c>
      <c r="E105" s="3" t="s">
        <v>359</v>
      </c>
      <c r="F105" s="3">
        <v>20977</v>
      </c>
      <c r="G105" s="3">
        <v>1402</v>
      </c>
      <c r="H105" s="3">
        <v>301</v>
      </c>
      <c r="I105" s="3">
        <v>1284</v>
      </c>
      <c r="J105" s="3">
        <v>24620</v>
      </c>
      <c r="K105" s="3">
        <v>128009</v>
      </c>
      <c r="L105" s="3" t="s">
        <v>16</v>
      </c>
      <c r="M105" s="4">
        <v>0.17717504237983267</v>
      </c>
      <c r="N105" s="3" t="str">
        <f>INDEX(Table5_2[Objective], MATCH(L105,Table5_2[Campaign_Name], 0))</f>
        <v>Health &amp; Fitness Awareness</v>
      </c>
    </row>
    <row r="106" spans="1:14" x14ac:dyDescent="0.3">
      <c r="A106" s="3" t="s">
        <v>175</v>
      </c>
      <c r="B106" s="3" t="s">
        <v>13</v>
      </c>
      <c r="C106" s="2">
        <v>45594</v>
      </c>
      <c r="D106" s="3" t="s">
        <v>23</v>
      </c>
      <c r="E106" s="3" t="s">
        <v>359</v>
      </c>
      <c r="F106" s="3">
        <v>23969</v>
      </c>
      <c r="G106" s="3">
        <v>1433</v>
      </c>
      <c r="H106" s="3">
        <v>372</v>
      </c>
      <c r="I106" s="3">
        <v>1092</v>
      </c>
      <c r="J106" s="3">
        <v>32147</v>
      </c>
      <c r="K106" s="3">
        <v>145823</v>
      </c>
      <c r="L106" s="3" t="s">
        <v>25</v>
      </c>
      <c r="M106" s="4">
        <v>0.17674852389540743</v>
      </c>
      <c r="N106" s="3" t="str">
        <f>INDEX(Table5_2[Objective], MATCH(L106,Table5_2[Campaign_Name], 0))</f>
        <v>Sustainability Branding</v>
      </c>
    </row>
    <row r="107" spans="1:14" x14ac:dyDescent="0.3">
      <c r="A107" s="3" t="s">
        <v>175</v>
      </c>
      <c r="B107" s="3" t="s">
        <v>13</v>
      </c>
      <c r="C107" s="2">
        <v>45594</v>
      </c>
      <c r="D107" s="3" t="s">
        <v>23</v>
      </c>
      <c r="E107" s="3" t="s">
        <v>366</v>
      </c>
      <c r="F107" s="3">
        <v>23969</v>
      </c>
      <c r="G107" s="3">
        <v>1433</v>
      </c>
      <c r="H107" s="3">
        <v>372</v>
      </c>
      <c r="I107" s="3">
        <v>1092</v>
      </c>
      <c r="J107" s="3">
        <v>32147</v>
      </c>
      <c r="K107" s="3">
        <v>145823</v>
      </c>
      <c r="L107" s="3" t="s">
        <v>25</v>
      </c>
      <c r="M107" s="4">
        <v>0.17674852389540743</v>
      </c>
      <c r="N107" s="3" t="str">
        <f>INDEX(Table5_2[Objective], MATCH(L107,Table5_2[Campaign_Name], 0))</f>
        <v>Sustainability Branding</v>
      </c>
    </row>
    <row r="108" spans="1:14" x14ac:dyDescent="0.3">
      <c r="A108" s="3" t="s">
        <v>57</v>
      </c>
      <c r="B108" s="3" t="s">
        <v>40</v>
      </c>
      <c r="C108" s="2">
        <v>45602</v>
      </c>
      <c r="D108" s="3" t="s">
        <v>34</v>
      </c>
      <c r="E108" s="3" t="s">
        <v>359</v>
      </c>
      <c r="F108" s="3">
        <v>8938</v>
      </c>
      <c r="G108" s="3">
        <v>800</v>
      </c>
      <c r="H108" s="3">
        <v>842</v>
      </c>
      <c r="I108" s="3">
        <v>2072</v>
      </c>
      <c r="J108" s="3">
        <v>31736</v>
      </c>
      <c r="K108" s="3">
        <v>59975</v>
      </c>
      <c r="L108" s="3" t="s">
        <v>29</v>
      </c>
      <c r="M108" s="4">
        <v>0.17640683618174238</v>
      </c>
      <c r="N108" s="3" t="str">
        <f>INDEX(Table5_2[Objective], MATCH(L108,Table5_2[Campaign_Name], 0))</f>
        <v>Product Launch</v>
      </c>
    </row>
    <row r="109" spans="1:14" x14ac:dyDescent="0.3">
      <c r="A109" s="3" t="s">
        <v>57</v>
      </c>
      <c r="B109" s="3" t="s">
        <v>40</v>
      </c>
      <c r="C109" s="2">
        <v>45602</v>
      </c>
      <c r="D109" s="3" t="s">
        <v>34</v>
      </c>
      <c r="E109" s="3" t="s">
        <v>366</v>
      </c>
      <c r="F109" s="3">
        <v>8938</v>
      </c>
      <c r="G109" s="3">
        <v>800</v>
      </c>
      <c r="H109" s="3">
        <v>842</v>
      </c>
      <c r="I109" s="3">
        <v>2072</v>
      </c>
      <c r="J109" s="3">
        <v>31736</v>
      </c>
      <c r="K109" s="3">
        <v>59975</v>
      </c>
      <c r="L109" s="3" t="s">
        <v>29</v>
      </c>
      <c r="M109" s="4">
        <v>0.17640683618174238</v>
      </c>
      <c r="N109" s="3" t="str">
        <f>INDEX(Table5_2[Objective], MATCH(L109,Table5_2[Campaign_Name], 0))</f>
        <v>Product Launch</v>
      </c>
    </row>
    <row r="110" spans="1:14" x14ac:dyDescent="0.3">
      <c r="A110" s="3" t="s">
        <v>161</v>
      </c>
      <c r="B110" s="3" t="s">
        <v>22</v>
      </c>
      <c r="C110" s="2">
        <v>45543</v>
      </c>
      <c r="D110" s="3" t="s">
        <v>34</v>
      </c>
      <c r="E110" s="3" t="s">
        <v>353</v>
      </c>
      <c r="F110" s="3">
        <v>8090</v>
      </c>
      <c r="G110" s="3">
        <v>570</v>
      </c>
      <c r="H110" s="3">
        <v>399</v>
      </c>
      <c r="I110" s="3">
        <v>1862</v>
      </c>
      <c r="J110" s="3">
        <v>34088</v>
      </c>
      <c r="K110" s="3">
        <v>52115</v>
      </c>
      <c r="L110" s="3" t="s">
        <v>16</v>
      </c>
      <c r="M110" s="4">
        <v>0.17382711311522595</v>
      </c>
      <c r="N110" s="3" t="str">
        <f>INDEX(Table5_2[Objective], MATCH(L110,Table5_2[Campaign_Name], 0))</f>
        <v>Health &amp; Fitness Awareness</v>
      </c>
    </row>
    <row r="111" spans="1:14" x14ac:dyDescent="0.3">
      <c r="A111" s="3" t="s">
        <v>161</v>
      </c>
      <c r="B111" s="3" t="s">
        <v>22</v>
      </c>
      <c r="C111" s="2">
        <v>45543</v>
      </c>
      <c r="D111" s="3" t="s">
        <v>34</v>
      </c>
      <c r="E111" s="3" t="s">
        <v>354</v>
      </c>
      <c r="F111" s="3">
        <v>8090</v>
      </c>
      <c r="G111" s="3">
        <v>570</v>
      </c>
      <c r="H111" s="3">
        <v>399</v>
      </c>
      <c r="I111" s="3">
        <v>1862</v>
      </c>
      <c r="J111" s="3">
        <v>34088</v>
      </c>
      <c r="K111" s="3">
        <v>52115</v>
      </c>
      <c r="L111" s="3" t="s">
        <v>16</v>
      </c>
      <c r="M111" s="4">
        <v>0.17382711311522595</v>
      </c>
      <c r="N111" s="3" t="str">
        <f>INDEX(Table5_2[Objective], MATCH(L111,Table5_2[Campaign_Name], 0))</f>
        <v>Health &amp; Fitness Awareness</v>
      </c>
    </row>
    <row r="112" spans="1:14" x14ac:dyDescent="0.3">
      <c r="A112" s="3" t="s">
        <v>127</v>
      </c>
      <c r="B112" s="3" t="s">
        <v>18</v>
      </c>
      <c r="C112" s="2">
        <v>45924</v>
      </c>
      <c r="D112" s="3" t="s">
        <v>23</v>
      </c>
      <c r="E112" s="3" t="s">
        <v>361</v>
      </c>
      <c r="F112" s="3">
        <v>12209</v>
      </c>
      <c r="G112" s="3">
        <v>222</v>
      </c>
      <c r="H112" s="3">
        <v>479</v>
      </c>
      <c r="I112" s="3">
        <v>2748</v>
      </c>
      <c r="J112" s="3">
        <v>24615</v>
      </c>
      <c r="K112" s="3">
        <v>74707</v>
      </c>
      <c r="L112" s="3" t="s">
        <v>20</v>
      </c>
      <c r="M112" s="4">
        <v>0.17280843829895459</v>
      </c>
      <c r="N112" s="3" t="str">
        <f>INDEX(Table5_2[Objective], MATCH(L112,Table5_2[Campaign_Name], 0))</f>
        <v>Brand Engagement</v>
      </c>
    </row>
    <row r="113" spans="1:14" x14ac:dyDescent="0.3">
      <c r="A113" s="3" t="s">
        <v>127</v>
      </c>
      <c r="B113" s="3" t="s">
        <v>18</v>
      </c>
      <c r="C113" s="2">
        <v>45924</v>
      </c>
      <c r="D113" s="3" t="s">
        <v>23</v>
      </c>
      <c r="E113" s="3" t="s">
        <v>362</v>
      </c>
      <c r="F113" s="3">
        <v>12209</v>
      </c>
      <c r="G113" s="3">
        <v>222</v>
      </c>
      <c r="H113" s="3">
        <v>479</v>
      </c>
      <c r="I113" s="3">
        <v>2748</v>
      </c>
      <c r="J113" s="3">
        <v>24615</v>
      </c>
      <c r="K113" s="3">
        <v>74707</v>
      </c>
      <c r="L113" s="3" t="s">
        <v>20</v>
      </c>
      <c r="M113" s="4">
        <v>0.17280843829895459</v>
      </c>
      <c r="N113" s="3" t="str">
        <f>INDEX(Table5_2[Objective], MATCH(L113,Table5_2[Campaign_Name], 0))</f>
        <v>Brand Engagement</v>
      </c>
    </row>
    <row r="114" spans="1:14" x14ac:dyDescent="0.3">
      <c r="A114" s="3" t="s">
        <v>79</v>
      </c>
      <c r="B114" s="3" t="s">
        <v>18</v>
      </c>
      <c r="C114" s="2">
        <v>45718</v>
      </c>
      <c r="D114" s="3" t="s">
        <v>27</v>
      </c>
      <c r="E114" s="3" t="s">
        <v>367</v>
      </c>
      <c r="F114" s="3">
        <v>22562</v>
      </c>
      <c r="G114" s="3">
        <v>778</v>
      </c>
      <c r="H114" s="3">
        <v>907</v>
      </c>
      <c r="I114" s="3">
        <v>1354</v>
      </c>
      <c r="J114" s="3">
        <v>34475</v>
      </c>
      <c r="K114" s="3">
        <v>141459</v>
      </c>
      <c r="L114" s="3" t="s">
        <v>29</v>
      </c>
      <c r="M114" s="4">
        <v>0.17140655596321194</v>
      </c>
      <c r="N114" s="3" t="str">
        <f>INDEX(Table5_2[Objective], MATCH(L114,Table5_2[Campaign_Name], 0))</f>
        <v>Product Launch</v>
      </c>
    </row>
    <row r="115" spans="1:14" x14ac:dyDescent="0.3">
      <c r="A115" s="3" t="s">
        <v>79</v>
      </c>
      <c r="B115" s="3" t="s">
        <v>18</v>
      </c>
      <c r="C115" s="2">
        <v>45718</v>
      </c>
      <c r="D115" s="3" t="s">
        <v>27</v>
      </c>
      <c r="E115" s="3" t="s">
        <v>32</v>
      </c>
      <c r="F115" s="3">
        <v>22562</v>
      </c>
      <c r="G115" s="3">
        <v>778</v>
      </c>
      <c r="H115" s="3">
        <v>907</v>
      </c>
      <c r="I115" s="3">
        <v>1354</v>
      </c>
      <c r="J115" s="3">
        <v>34475</v>
      </c>
      <c r="K115" s="3">
        <v>141459</v>
      </c>
      <c r="L115" s="3" t="s">
        <v>29</v>
      </c>
      <c r="M115" s="4">
        <v>0.17140655596321194</v>
      </c>
      <c r="N115" s="3" t="str">
        <f>INDEX(Table5_2[Objective], MATCH(L115,Table5_2[Campaign_Name], 0))</f>
        <v>Product Launch</v>
      </c>
    </row>
    <row r="116" spans="1:14" x14ac:dyDescent="0.3">
      <c r="A116" s="3" t="s">
        <v>312</v>
      </c>
      <c r="B116" s="3" t="s">
        <v>18</v>
      </c>
      <c r="C116" s="2">
        <v>45450</v>
      </c>
      <c r="D116" s="3" t="s">
        <v>27</v>
      </c>
      <c r="E116" s="3" t="s">
        <v>359</v>
      </c>
      <c r="F116" s="3">
        <v>8233</v>
      </c>
      <c r="G116" s="3">
        <v>436</v>
      </c>
      <c r="H116" s="3">
        <v>269</v>
      </c>
      <c r="I116" s="3">
        <v>2037</v>
      </c>
      <c r="J116" s="3">
        <v>8875</v>
      </c>
      <c r="K116" s="3">
        <v>52289</v>
      </c>
      <c r="L116" s="3" t="s">
        <v>16</v>
      </c>
      <c r="M116" s="4">
        <v>0.17093461339861157</v>
      </c>
      <c r="N116" s="3" t="str">
        <f>INDEX(Table5_2[Objective], MATCH(L116,Table5_2[Campaign_Name], 0))</f>
        <v>Health &amp; Fitness Awareness</v>
      </c>
    </row>
    <row r="117" spans="1:14" x14ac:dyDescent="0.3">
      <c r="A117" s="3" t="s">
        <v>312</v>
      </c>
      <c r="B117" s="3" t="s">
        <v>18</v>
      </c>
      <c r="C117" s="2">
        <v>45450</v>
      </c>
      <c r="D117" s="3" t="s">
        <v>27</v>
      </c>
      <c r="E117" s="3" t="s">
        <v>360</v>
      </c>
      <c r="F117" s="3">
        <v>8233</v>
      </c>
      <c r="G117" s="3">
        <v>436</v>
      </c>
      <c r="H117" s="3">
        <v>269</v>
      </c>
      <c r="I117" s="3">
        <v>2037</v>
      </c>
      <c r="J117" s="3">
        <v>8875</v>
      </c>
      <c r="K117" s="3">
        <v>52289</v>
      </c>
      <c r="L117" s="3" t="s">
        <v>16</v>
      </c>
      <c r="M117" s="4">
        <v>0.17093461339861157</v>
      </c>
      <c r="N117" s="3" t="str">
        <f>INDEX(Table5_2[Objective], MATCH(L117,Table5_2[Campaign_Name], 0))</f>
        <v>Health &amp; Fitness Awareness</v>
      </c>
    </row>
    <row r="118" spans="1:14" x14ac:dyDescent="0.3">
      <c r="A118" s="3" t="s">
        <v>196</v>
      </c>
      <c r="B118" s="3" t="s">
        <v>18</v>
      </c>
      <c r="C118" s="2">
        <v>45528</v>
      </c>
      <c r="D118" s="3" t="s">
        <v>23</v>
      </c>
      <c r="E118" s="3" t="s">
        <v>367</v>
      </c>
      <c r="F118" s="3">
        <v>22527</v>
      </c>
      <c r="G118" s="3">
        <v>865</v>
      </c>
      <c r="H118" s="3">
        <v>646</v>
      </c>
      <c r="I118" s="3">
        <v>992</v>
      </c>
      <c r="J118" s="3">
        <v>18654</v>
      </c>
      <c r="K118" s="3">
        <v>141376</v>
      </c>
      <c r="L118" s="3" t="s">
        <v>45</v>
      </c>
      <c r="M118" s="4">
        <v>0.17002885921231325</v>
      </c>
      <c r="N118" s="3" t="str">
        <f>INDEX(Table5_2[Objective], MATCH(L118,Table5_2[Campaign_Name], 0))</f>
        <v>Product Promotion</v>
      </c>
    </row>
    <row r="119" spans="1:14" x14ac:dyDescent="0.3">
      <c r="A119" s="3" t="s">
        <v>196</v>
      </c>
      <c r="B119" s="3" t="s">
        <v>18</v>
      </c>
      <c r="C119" s="2">
        <v>45528</v>
      </c>
      <c r="D119" s="3" t="s">
        <v>23</v>
      </c>
      <c r="E119" s="3" t="s">
        <v>32</v>
      </c>
      <c r="F119" s="3">
        <v>22527</v>
      </c>
      <c r="G119" s="3">
        <v>865</v>
      </c>
      <c r="H119" s="3">
        <v>646</v>
      </c>
      <c r="I119" s="3">
        <v>992</v>
      </c>
      <c r="J119" s="3">
        <v>18654</v>
      </c>
      <c r="K119" s="3">
        <v>141376</v>
      </c>
      <c r="L119" s="3" t="s">
        <v>45</v>
      </c>
      <c r="M119" s="4">
        <v>0.17002885921231325</v>
      </c>
      <c r="N119" s="3" t="str">
        <f>INDEX(Table5_2[Objective], MATCH(L119,Table5_2[Campaign_Name], 0))</f>
        <v>Product Promotion</v>
      </c>
    </row>
    <row r="120" spans="1:14" x14ac:dyDescent="0.3">
      <c r="A120" s="3" t="s">
        <v>194</v>
      </c>
      <c r="B120" s="3" t="s">
        <v>40</v>
      </c>
      <c r="C120" s="2">
        <v>45515</v>
      </c>
      <c r="D120" s="3" t="s">
        <v>34</v>
      </c>
      <c r="E120" s="3" t="s">
        <v>355</v>
      </c>
      <c r="F120" s="3">
        <v>14394</v>
      </c>
      <c r="G120" s="3">
        <v>1202</v>
      </c>
      <c r="H120" s="3">
        <v>188</v>
      </c>
      <c r="I120" s="3">
        <v>1259</v>
      </c>
      <c r="J120" s="3">
        <v>21925</v>
      </c>
      <c r="K120" s="3">
        <v>94061</v>
      </c>
      <c r="L120" s="3" t="s">
        <v>29</v>
      </c>
      <c r="M120" s="4">
        <v>0.1678059982351878</v>
      </c>
      <c r="N120" s="3" t="str">
        <f>INDEX(Table5_2[Objective], MATCH(L120,Table5_2[Campaign_Name], 0))</f>
        <v>Product Launch</v>
      </c>
    </row>
    <row r="121" spans="1:14" x14ac:dyDescent="0.3">
      <c r="A121" s="3" t="s">
        <v>194</v>
      </c>
      <c r="B121" s="3" t="s">
        <v>40</v>
      </c>
      <c r="C121" s="2">
        <v>45515</v>
      </c>
      <c r="D121" s="3" t="s">
        <v>34</v>
      </c>
      <c r="E121" s="3" t="s">
        <v>356</v>
      </c>
      <c r="F121" s="3">
        <v>14394</v>
      </c>
      <c r="G121" s="3">
        <v>1202</v>
      </c>
      <c r="H121" s="3">
        <v>188</v>
      </c>
      <c r="I121" s="3">
        <v>1259</v>
      </c>
      <c r="J121" s="3">
        <v>21925</v>
      </c>
      <c r="K121" s="3">
        <v>94061</v>
      </c>
      <c r="L121" s="3" t="s">
        <v>29</v>
      </c>
      <c r="M121" s="4">
        <v>0.1678059982351878</v>
      </c>
      <c r="N121" s="3" t="str">
        <f>INDEX(Table5_2[Objective], MATCH(L121,Table5_2[Campaign_Name], 0))</f>
        <v>Product Launch</v>
      </c>
    </row>
    <row r="122" spans="1:14" x14ac:dyDescent="0.3">
      <c r="A122" s="3" t="s">
        <v>238</v>
      </c>
      <c r="B122" s="3" t="s">
        <v>18</v>
      </c>
      <c r="C122" s="2">
        <v>45921</v>
      </c>
      <c r="D122" s="3" t="s">
        <v>14</v>
      </c>
      <c r="E122" s="3" t="s">
        <v>368</v>
      </c>
      <c r="F122" s="3">
        <v>19680</v>
      </c>
      <c r="G122" s="3">
        <v>999</v>
      </c>
      <c r="H122" s="3">
        <v>838</v>
      </c>
      <c r="I122" s="3">
        <v>891</v>
      </c>
      <c r="J122" s="3">
        <v>29576</v>
      </c>
      <c r="K122" s="3">
        <v>129152</v>
      </c>
      <c r="L122" s="3" t="s">
        <v>20</v>
      </c>
      <c r="M122" s="4">
        <v>0.16660214321110009</v>
      </c>
      <c r="N122" s="3" t="str">
        <f>INDEX(Table5_2[Objective], MATCH(L122,Table5_2[Campaign_Name], 0))</f>
        <v>Brand Engagement</v>
      </c>
    </row>
    <row r="123" spans="1:14" x14ac:dyDescent="0.3">
      <c r="A123" s="3" t="s">
        <v>238</v>
      </c>
      <c r="B123" s="3" t="s">
        <v>18</v>
      </c>
      <c r="C123" s="2">
        <v>45921</v>
      </c>
      <c r="D123" s="3" t="s">
        <v>14</v>
      </c>
      <c r="E123" s="3" t="s">
        <v>369</v>
      </c>
      <c r="F123" s="3">
        <v>19680</v>
      </c>
      <c r="G123" s="3">
        <v>999</v>
      </c>
      <c r="H123" s="3">
        <v>838</v>
      </c>
      <c r="I123" s="3">
        <v>891</v>
      </c>
      <c r="J123" s="3">
        <v>29576</v>
      </c>
      <c r="K123" s="3">
        <v>129152</v>
      </c>
      <c r="L123" s="3" t="s">
        <v>20</v>
      </c>
      <c r="M123" s="4">
        <v>0.16660214321110009</v>
      </c>
      <c r="N123" s="3" t="str">
        <f>INDEX(Table5_2[Objective], MATCH(L123,Table5_2[Campaign_Name], 0))</f>
        <v>Brand Engagement</v>
      </c>
    </row>
    <row r="124" spans="1:14" x14ac:dyDescent="0.3">
      <c r="A124" s="3" t="s">
        <v>108</v>
      </c>
      <c r="B124" s="3" t="s">
        <v>22</v>
      </c>
      <c r="C124" s="2">
        <v>45921</v>
      </c>
      <c r="D124" s="3" t="s">
        <v>27</v>
      </c>
      <c r="E124" s="3" t="s">
        <v>353</v>
      </c>
      <c r="F124" s="3">
        <v>23103</v>
      </c>
      <c r="G124" s="3">
        <v>1380</v>
      </c>
      <c r="H124" s="3">
        <v>191</v>
      </c>
      <c r="I124" s="3">
        <v>1547</v>
      </c>
      <c r="J124" s="3">
        <v>77798</v>
      </c>
      <c r="K124" s="3">
        <v>148856</v>
      </c>
      <c r="L124" s="3" t="s">
        <v>20</v>
      </c>
      <c r="M124" s="4">
        <v>0.16575751061428495</v>
      </c>
      <c r="N124" s="3" t="str">
        <f>INDEX(Table5_2[Objective], MATCH(L124,Table5_2[Campaign_Name], 0))</f>
        <v>Brand Engagement</v>
      </c>
    </row>
    <row r="125" spans="1:14" x14ac:dyDescent="0.3">
      <c r="A125" s="3" t="s">
        <v>108</v>
      </c>
      <c r="B125" s="3" t="s">
        <v>22</v>
      </c>
      <c r="C125" s="2">
        <v>45921</v>
      </c>
      <c r="D125" s="3" t="s">
        <v>27</v>
      </c>
      <c r="E125" s="3" t="s">
        <v>354</v>
      </c>
      <c r="F125" s="3">
        <v>23103</v>
      </c>
      <c r="G125" s="3">
        <v>1380</v>
      </c>
      <c r="H125" s="3">
        <v>191</v>
      </c>
      <c r="I125" s="3">
        <v>1547</v>
      </c>
      <c r="J125" s="3">
        <v>77798</v>
      </c>
      <c r="K125" s="3">
        <v>148856</v>
      </c>
      <c r="L125" s="3" t="s">
        <v>20</v>
      </c>
      <c r="M125" s="4">
        <v>0.16575751061428495</v>
      </c>
      <c r="N125" s="3" t="str">
        <f>INDEX(Table5_2[Objective], MATCH(L125,Table5_2[Campaign_Name], 0))</f>
        <v>Brand Engagement</v>
      </c>
    </row>
    <row r="126" spans="1:14" x14ac:dyDescent="0.3">
      <c r="A126" s="3" t="s">
        <v>257</v>
      </c>
      <c r="B126" s="3" t="s">
        <v>13</v>
      </c>
      <c r="C126" s="2">
        <v>45739</v>
      </c>
      <c r="D126" s="3" t="s">
        <v>34</v>
      </c>
      <c r="E126" s="3" t="s">
        <v>361</v>
      </c>
      <c r="F126" s="3">
        <v>17728</v>
      </c>
      <c r="G126" s="3">
        <v>1487</v>
      </c>
      <c r="H126" s="3">
        <v>210</v>
      </c>
      <c r="I126" s="3">
        <v>2469</v>
      </c>
      <c r="J126" s="3">
        <v>30565</v>
      </c>
      <c r="K126" s="3">
        <v>117576</v>
      </c>
      <c r="L126" s="3" t="s">
        <v>16</v>
      </c>
      <c r="M126" s="4">
        <v>0.16521228822208614</v>
      </c>
      <c r="N126" s="3" t="str">
        <f>INDEX(Table5_2[Objective], MATCH(L126,Table5_2[Campaign_Name], 0))</f>
        <v>Health &amp; Fitness Awareness</v>
      </c>
    </row>
    <row r="127" spans="1:14" x14ac:dyDescent="0.3">
      <c r="A127" s="3" t="s">
        <v>257</v>
      </c>
      <c r="B127" s="3" t="s">
        <v>13</v>
      </c>
      <c r="C127" s="2">
        <v>45739</v>
      </c>
      <c r="D127" s="3" t="s">
        <v>34</v>
      </c>
      <c r="E127" s="3" t="s">
        <v>362</v>
      </c>
      <c r="F127" s="3">
        <v>17728</v>
      </c>
      <c r="G127" s="3">
        <v>1487</v>
      </c>
      <c r="H127" s="3">
        <v>210</v>
      </c>
      <c r="I127" s="3">
        <v>2469</v>
      </c>
      <c r="J127" s="3">
        <v>30565</v>
      </c>
      <c r="K127" s="3">
        <v>117576</v>
      </c>
      <c r="L127" s="3" t="s">
        <v>16</v>
      </c>
      <c r="M127" s="4">
        <v>0.16521228822208614</v>
      </c>
      <c r="N127" s="3" t="str">
        <f>INDEX(Table5_2[Objective], MATCH(L127,Table5_2[Campaign_Name], 0))</f>
        <v>Health &amp; Fitness Awareness</v>
      </c>
    </row>
    <row r="128" spans="1:14" x14ac:dyDescent="0.3">
      <c r="A128" s="3" t="s">
        <v>321</v>
      </c>
      <c r="B128" s="3" t="s">
        <v>40</v>
      </c>
      <c r="C128" s="2">
        <v>45491</v>
      </c>
      <c r="D128" s="3" t="s">
        <v>27</v>
      </c>
      <c r="E128" s="3" t="s">
        <v>353</v>
      </c>
      <c r="F128" s="3">
        <v>16594</v>
      </c>
      <c r="G128" s="3">
        <v>809</v>
      </c>
      <c r="H128" s="3">
        <v>784</v>
      </c>
      <c r="I128" s="3">
        <v>1655</v>
      </c>
      <c r="J128" s="3">
        <v>35505</v>
      </c>
      <c r="K128" s="3">
        <v>112588</v>
      </c>
      <c r="L128" s="3" t="s">
        <v>25</v>
      </c>
      <c r="M128" s="4">
        <v>0.16153586527871533</v>
      </c>
      <c r="N128" s="3" t="str">
        <f>INDEX(Table5_2[Objective], MATCH(L128,Table5_2[Campaign_Name], 0))</f>
        <v>Sustainability Branding</v>
      </c>
    </row>
    <row r="129" spans="1:14" x14ac:dyDescent="0.3">
      <c r="A129" s="3" t="s">
        <v>321</v>
      </c>
      <c r="B129" s="3" t="s">
        <v>40</v>
      </c>
      <c r="C129" s="2">
        <v>45491</v>
      </c>
      <c r="D129" s="3" t="s">
        <v>27</v>
      </c>
      <c r="E129" s="3" t="s">
        <v>354</v>
      </c>
      <c r="F129" s="3">
        <v>16594</v>
      </c>
      <c r="G129" s="3">
        <v>809</v>
      </c>
      <c r="H129" s="3">
        <v>784</v>
      </c>
      <c r="I129" s="3">
        <v>1655</v>
      </c>
      <c r="J129" s="3">
        <v>35505</v>
      </c>
      <c r="K129" s="3">
        <v>112588</v>
      </c>
      <c r="L129" s="3" t="s">
        <v>25</v>
      </c>
      <c r="M129" s="4">
        <v>0.16153586527871533</v>
      </c>
      <c r="N129" s="3" t="str">
        <f>INDEX(Table5_2[Objective], MATCH(L129,Table5_2[Campaign_Name], 0))</f>
        <v>Sustainability Branding</v>
      </c>
    </row>
    <row r="130" spans="1:14" x14ac:dyDescent="0.3">
      <c r="A130" s="3" t="s">
        <v>97</v>
      </c>
      <c r="B130" s="3" t="s">
        <v>13</v>
      </c>
      <c r="C130" s="2">
        <v>45920</v>
      </c>
      <c r="D130" s="3" t="s">
        <v>14</v>
      </c>
      <c r="E130" s="3" t="s">
        <v>359</v>
      </c>
      <c r="F130" s="3">
        <v>18633</v>
      </c>
      <c r="G130" s="3">
        <v>797</v>
      </c>
      <c r="H130" s="3">
        <v>303</v>
      </c>
      <c r="I130" s="3">
        <v>659</v>
      </c>
      <c r="J130" s="3">
        <v>7</v>
      </c>
      <c r="K130" s="3">
        <v>122189</v>
      </c>
      <c r="L130" s="3" t="s">
        <v>20</v>
      </c>
      <c r="M130" s="4">
        <v>0.16149571565361859</v>
      </c>
      <c r="N130" s="3" t="str">
        <f>INDEX(Table5_2[Objective], MATCH(L130,Table5_2[Campaign_Name], 0))</f>
        <v>Brand Engagement</v>
      </c>
    </row>
    <row r="131" spans="1:14" x14ac:dyDescent="0.3">
      <c r="A131" s="3" t="s">
        <v>97</v>
      </c>
      <c r="B131" s="3" t="s">
        <v>13</v>
      </c>
      <c r="C131" s="2">
        <v>45920</v>
      </c>
      <c r="D131" s="3" t="s">
        <v>14</v>
      </c>
      <c r="E131" s="3" t="s">
        <v>366</v>
      </c>
      <c r="F131" s="3">
        <v>18633</v>
      </c>
      <c r="G131" s="3">
        <v>797</v>
      </c>
      <c r="H131" s="3">
        <v>303</v>
      </c>
      <c r="I131" s="3">
        <v>659</v>
      </c>
      <c r="J131" s="3">
        <v>7</v>
      </c>
      <c r="K131" s="3">
        <v>122189</v>
      </c>
      <c r="L131" s="3" t="s">
        <v>20</v>
      </c>
      <c r="M131" s="4">
        <v>0.16149571565361859</v>
      </c>
      <c r="N131" s="3" t="str">
        <f>INDEX(Table5_2[Objective], MATCH(L131,Table5_2[Campaign_Name], 0))</f>
        <v>Brand Engagement</v>
      </c>
    </row>
    <row r="132" spans="1:14" x14ac:dyDescent="0.3">
      <c r="A132" s="3" t="s">
        <v>110</v>
      </c>
      <c r="B132" s="3" t="s">
        <v>22</v>
      </c>
      <c r="C132" s="2">
        <v>45505</v>
      </c>
      <c r="D132" s="3" t="s">
        <v>14</v>
      </c>
      <c r="E132" s="3" t="s">
        <v>357</v>
      </c>
      <c r="F132" s="3">
        <v>21758</v>
      </c>
      <c r="G132" s="3">
        <v>1380</v>
      </c>
      <c r="H132" s="3">
        <v>188</v>
      </c>
      <c r="I132" s="3">
        <v>1735</v>
      </c>
      <c r="J132" s="3">
        <v>20998</v>
      </c>
      <c r="K132" s="3">
        <v>147803</v>
      </c>
      <c r="L132" s="3" t="s">
        <v>45</v>
      </c>
      <c r="M132" s="4">
        <v>0.15781817689762725</v>
      </c>
      <c r="N132" s="3" t="str">
        <f>INDEX(Table5_2[Objective], MATCH(L132,Table5_2[Campaign_Name], 0))</f>
        <v>Product Promotion</v>
      </c>
    </row>
    <row r="133" spans="1:14" x14ac:dyDescent="0.3">
      <c r="A133" s="3" t="s">
        <v>110</v>
      </c>
      <c r="B133" s="3" t="s">
        <v>22</v>
      </c>
      <c r="C133" s="2">
        <v>45505</v>
      </c>
      <c r="D133" s="3" t="s">
        <v>14</v>
      </c>
      <c r="E133" s="3" t="s">
        <v>358</v>
      </c>
      <c r="F133" s="3">
        <v>21758</v>
      </c>
      <c r="G133" s="3">
        <v>1380</v>
      </c>
      <c r="H133" s="3">
        <v>188</v>
      </c>
      <c r="I133" s="3">
        <v>1735</v>
      </c>
      <c r="J133" s="3">
        <v>20998</v>
      </c>
      <c r="K133" s="3">
        <v>147803</v>
      </c>
      <c r="L133" s="3" t="s">
        <v>45</v>
      </c>
      <c r="M133" s="4">
        <v>0.15781817689762725</v>
      </c>
      <c r="N133" s="3" t="str">
        <f>INDEX(Table5_2[Objective], MATCH(L133,Table5_2[Campaign_Name], 0))</f>
        <v>Product Promotion</v>
      </c>
    </row>
    <row r="134" spans="1:14" x14ac:dyDescent="0.3">
      <c r="A134" s="3" t="s">
        <v>225</v>
      </c>
      <c r="B134" s="3" t="s">
        <v>13</v>
      </c>
      <c r="C134" s="2">
        <v>45740</v>
      </c>
      <c r="D134" s="3" t="s">
        <v>14</v>
      </c>
      <c r="E134" s="3" t="s">
        <v>32</v>
      </c>
      <c r="F134" s="3">
        <v>10172</v>
      </c>
      <c r="G134" s="3">
        <v>1398</v>
      </c>
      <c r="H134" s="3">
        <v>394</v>
      </c>
      <c r="I134" s="3">
        <v>2358</v>
      </c>
      <c r="J134" s="3">
        <v>59610</v>
      </c>
      <c r="K134" s="3">
        <v>76321</v>
      </c>
      <c r="L134" s="3" t="s">
        <v>29</v>
      </c>
      <c r="M134" s="4">
        <v>0.15675895231980713</v>
      </c>
      <c r="N134" s="3" t="str">
        <f>INDEX(Table5_2[Objective], MATCH(L134,Table5_2[Campaign_Name], 0))</f>
        <v>Product Launch</v>
      </c>
    </row>
    <row r="135" spans="1:14" x14ac:dyDescent="0.3">
      <c r="A135" s="3" t="s">
        <v>85</v>
      </c>
      <c r="B135" s="3" t="s">
        <v>40</v>
      </c>
      <c r="C135" s="2">
        <v>45476</v>
      </c>
      <c r="D135" s="3" t="s">
        <v>23</v>
      </c>
      <c r="E135" s="3" t="s">
        <v>361</v>
      </c>
      <c r="F135" s="3">
        <v>14338</v>
      </c>
      <c r="G135" s="3">
        <v>1454</v>
      </c>
      <c r="H135" s="3">
        <v>697</v>
      </c>
      <c r="I135" s="3">
        <v>2703</v>
      </c>
      <c r="J135" s="3">
        <v>21288</v>
      </c>
      <c r="K135" s="3">
        <v>107649</v>
      </c>
      <c r="L135" s="3" t="s">
        <v>29</v>
      </c>
      <c r="M135" s="4">
        <v>0.1531737405828201</v>
      </c>
      <c r="N135" s="3" t="str">
        <f>INDEX(Table5_2[Objective], MATCH(L135,Table5_2[Campaign_Name], 0))</f>
        <v>Product Launch</v>
      </c>
    </row>
    <row r="136" spans="1:14" x14ac:dyDescent="0.3">
      <c r="A136" s="3" t="s">
        <v>85</v>
      </c>
      <c r="B136" s="3" t="s">
        <v>40</v>
      </c>
      <c r="C136" s="2">
        <v>45476</v>
      </c>
      <c r="D136" s="3" t="s">
        <v>23</v>
      </c>
      <c r="E136" s="3" t="s">
        <v>362</v>
      </c>
      <c r="F136" s="3">
        <v>14338</v>
      </c>
      <c r="G136" s="3">
        <v>1454</v>
      </c>
      <c r="H136" s="3">
        <v>697</v>
      </c>
      <c r="I136" s="3">
        <v>2703</v>
      </c>
      <c r="J136" s="3">
        <v>21288</v>
      </c>
      <c r="K136" s="3">
        <v>107649</v>
      </c>
      <c r="L136" s="3" t="s">
        <v>29</v>
      </c>
      <c r="M136" s="4">
        <v>0.1531737405828201</v>
      </c>
      <c r="N136" s="3" t="str">
        <f>INDEX(Table5_2[Objective], MATCH(L136,Table5_2[Campaign_Name], 0))</f>
        <v>Product Launch</v>
      </c>
    </row>
    <row r="137" spans="1:14" x14ac:dyDescent="0.3">
      <c r="A137" s="3" t="s">
        <v>168</v>
      </c>
      <c r="B137" s="3" t="s">
        <v>22</v>
      </c>
      <c r="C137" s="2">
        <v>45720</v>
      </c>
      <c r="D137" s="3" t="s">
        <v>27</v>
      </c>
      <c r="E137" s="3" t="s">
        <v>355</v>
      </c>
      <c r="F137" s="3">
        <v>5266</v>
      </c>
      <c r="G137" s="3">
        <v>316</v>
      </c>
      <c r="H137" s="3">
        <v>837</v>
      </c>
      <c r="I137" s="3">
        <v>2276</v>
      </c>
      <c r="J137" s="3">
        <v>20967</v>
      </c>
      <c r="K137" s="3">
        <v>41969</v>
      </c>
      <c r="L137" s="3" t="s">
        <v>45</v>
      </c>
      <c r="M137" s="4">
        <v>0.1529462222116324</v>
      </c>
      <c r="N137" s="3" t="str">
        <f>INDEX(Table5_2[Objective], MATCH(L137,Table5_2[Campaign_Name], 0))</f>
        <v>Product Promotion</v>
      </c>
    </row>
    <row r="138" spans="1:14" x14ac:dyDescent="0.3">
      <c r="A138" s="3" t="s">
        <v>168</v>
      </c>
      <c r="B138" s="3" t="s">
        <v>22</v>
      </c>
      <c r="C138" s="2">
        <v>45720</v>
      </c>
      <c r="D138" s="3" t="s">
        <v>27</v>
      </c>
      <c r="E138" s="3" t="s">
        <v>356</v>
      </c>
      <c r="F138" s="3">
        <v>5266</v>
      </c>
      <c r="G138" s="3">
        <v>316</v>
      </c>
      <c r="H138" s="3">
        <v>837</v>
      </c>
      <c r="I138" s="3">
        <v>2276</v>
      </c>
      <c r="J138" s="3">
        <v>20967</v>
      </c>
      <c r="K138" s="3">
        <v>41969</v>
      </c>
      <c r="L138" s="3" t="s">
        <v>45</v>
      </c>
      <c r="M138" s="4">
        <v>0.1529462222116324</v>
      </c>
      <c r="N138" s="3" t="str">
        <f>INDEX(Table5_2[Objective], MATCH(L138,Table5_2[Campaign_Name], 0))</f>
        <v>Product Promotion</v>
      </c>
    </row>
    <row r="139" spans="1:14" x14ac:dyDescent="0.3">
      <c r="A139" s="3" t="s">
        <v>75</v>
      </c>
      <c r="B139" s="3" t="s">
        <v>13</v>
      </c>
      <c r="C139" s="2">
        <v>45914</v>
      </c>
      <c r="D139" s="3" t="s">
        <v>34</v>
      </c>
      <c r="E139" s="3" t="s">
        <v>363</v>
      </c>
      <c r="F139" s="3">
        <v>19844</v>
      </c>
      <c r="G139" s="3">
        <v>1020</v>
      </c>
      <c r="H139" s="3">
        <v>247</v>
      </c>
      <c r="I139" s="3">
        <v>2354</v>
      </c>
      <c r="J139" s="3">
        <v>37792</v>
      </c>
      <c r="K139" s="3">
        <v>138317</v>
      </c>
      <c r="L139" s="3" t="s">
        <v>20</v>
      </c>
      <c r="M139" s="4">
        <v>0.15262765965138053</v>
      </c>
      <c r="N139" s="3" t="str">
        <f>INDEX(Table5_2[Objective], MATCH(L139,Table5_2[Campaign_Name], 0))</f>
        <v>Brand Engagement</v>
      </c>
    </row>
    <row r="140" spans="1:14" x14ac:dyDescent="0.3">
      <c r="A140" s="3" t="s">
        <v>75</v>
      </c>
      <c r="B140" s="3" t="s">
        <v>13</v>
      </c>
      <c r="C140" s="2">
        <v>45914</v>
      </c>
      <c r="D140" s="3" t="s">
        <v>34</v>
      </c>
      <c r="E140" s="3" t="s">
        <v>364</v>
      </c>
      <c r="F140" s="3">
        <v>19844</v>
      </c>
      <c r="G140" s="3">
        <v>1020</v>
      </c>
      <c r="H140" s="3">
        <v>247</v>
      </c>
      <c r="I140" s="3">
        <v>2354</v>
      </c>
      <c r="J140" s="3">
        <v>37792</v>
      </c>
      <c r="K140" s="3">
        <v>138317</v>
      </c>
      <c r="L140" s="3" t="s">
        <v>20</v>
      </c>
      <c r="M140" s="4">
        <v>0.15262765965138053</v>
      </c>
      <c r="N140" s="3" t="str">
        <f>INDEX(Table5_2[Objective], MATCH(L140,Table5_2[Campaign_Name], 0))</f>
        <v>Brand Engagement</v>
      </c>
    </row>
    <row r="141" spans="1:14" x14ac:dyDescent="0.3">
      <c r="A141" s="3" t="s">
        <v>112</v>
      </c>
      <c r="B141" s="3" t="s">
        <v>18</v>
      </c>
      <c r="C141" s="2">
        <v>45720</v>
      </c>
      <c r="D141" s="3" t="s">
        <v>34</v>
      </c>
      <c r="E141" s="3" t="s">
        <v>365</v>
      </c>
      <c r="F141" s="3">
        <v>13470</v>
      </c>
      <c r="G141" s="3">
        <v>523</v>
      </c>
      <c r="H141" s="3">
        <v>280</v>
      </c>
      <c r="I141" s="3">
        <v>2682</v>
      </c>
      <c r="J141" s="3">
        <v>8538</v>
      </c>
      <c r="K141" s="3">
        <v>95204</v>
      </c>
      <c r="L141" s="3" t="s">
        <v>16</v>
      </c>
      <c r="M141" s="4">
        <v>0.14992017142136885</v>
      </c>
      <c r="N141" s="3" t="str">
        <f>INDEX(Table5_2[Objective], MATCH(L141,Table5_2[Campaign_Name], 0))</f>
        <v>Health &amp; Fitness Awareness</v>
      </c>
    </row>
    <row r="142" spans="1:14" x14ac:dyDescent="0.3">
      <c r="A142" s="3" t="s">
        <v>112</v>
      </c>
      <c r="B142" s="3" t="s">
        <v>18</v>
      </c>
      <c r="C142" s="2">
        <v>45720</v>
      </c>
      <c r="D142" s="3" t="s">
        <v>34</v>
      </c>
      <c r="E142" s="3" t="s">
        <v>359</v>
      </c>
      <c r="F142" s="3">
        <v>13470</v>
      </c>
      <c r="G142" s="3">
        <v>523</v>
      </c>
      <c r="H142" s="3">
        <v>280</v>
      </c>
      <c r="I142" s="3">
        <v>2682</v>
      </c>
      <c r="J142" s="3">
        <v>8538</v>
      </c>
      <c r="K142" s="3">
        <v>95204</v>
      </c>
      <c r="L142" s="3" t="s">
        <v>16</v>
      </c>
      <c r="M142" s="4">
        <v>0.14992017142136885</v>
      </c>
      <c r="N142" s="3" t="str">
        <f>INDEX(Table5_2[Objective], MATCH(L142,Table5_2[Campaign_Name], 0))</f>
        <v>Health &amp; Fitness Awareness</v>
      </c>
    </row>
    <row r="143" spans="1:14" x14ac:dyDescent="0.3">
      <c r="A143" s="3" t="s">
        <v>300</v>
      </c>
      <c r="B143" s="3" t="s">
        <v>22</v>
      </c>
      <c r="C143" s="2">
        <v>45687</v>
      </c>
      <c r="D143" s="3" t="s">
        <v>23</v>
      </c>
      <c r="E143" s="3" t="s">
        <v>367</v>
      </c>
      <c r="F143" s="3">
        <v>12954</v>
      </c>
      <c r="G143" s="3">
        <v>913</v>
      </c>
      <c r="H143" s="3">
        <v>722</v>
      </c>
      <c r="I143" s="3">
        <v>1049</v>
      </c>
      <c r="J143" s="3">
        <v>475</v>
      </c>
      <c r="K143" s="3">
        <v>97716</v>
      </c>
      <c r="L143" s="3" t="s">
        <v>16</v>
      </c>
      <c r="M143" s="4">
        <v>0.14930001228048631</v>
      </c>
      <c r="N143" s="3" t="str">
        <f>INDEX(Table5_2[Objective], MATCH(L143,Table5_2[Campaign_Name], 0))</f>
        <v>Health &amp; Fitness Awareness</v>
      </c>
    </row>
    <row r="144" spans="1:14" x14ac:dyDescent="0.3">
      <c r="A144" s="3" t="s">
        <v>300</v>
      </c>
      <c r="B144" s="3" t="s">
        <v>22</v>
      </c>
      <c r="C144" s="2">
        <v>45687</v>
      </c>
      <c r="D144" s="3" t="s">
        <v>23</v>
      </c>
      <c r="E144" s="3" t="s">
        <v>32</v>
      </c>
      <c r="F144" s="3">
        <v>12954</v>
      </c>
      <c r="G144" s="3">
        <v>913</v>
      </c>
      <c r="H144" s="3">
        <v>722</v>
      </c>
      <c r="I144" s="3">
        <v>1049</v>
      </c>
      <c r="J144" s="3">
        <v>475</v>
      </c>
      <c r="K144" s="3">
        <v>97716</v>
      </c>
      <c r="L144" s="3" t="s">
        <v>16</v>
      </c>
      <c r="M144" s="4">
        <v>0.14930001228048631</v>
      </c>
      <c r="N144" s="3" t="str">
        <f>INDEX(Table5_2[Objective], MATCH(L144,Table5_2[Campaign_Name], 0))</f>
        <v>Health &amp; Fitness Awareness</v>
      </c>
    </row>
    <row r="145" spans="1:14" x14ac:dyDescent="0.3">
      <c r="A145" s="3" t="s">
        <v>144</v>
      </c>
      <c r="B145" s="3" t="s">
        <v>18</v>
      </c>
      <c r="C145" s="2">
        <v>45928</v>
      </c>
      <c r="D145" s="3" t="s">
        <v>34</v>
      </c>
      <c r="E145" s="3" t="s">
        <v>363</v>
      </c>
      <c r="F145" s="3">
        <v>21963</v>
      </c>
      <c r="G145" s="3">
        <v>1356</v>
      </c>
      <c r="H145" s="3">
        <v>349</v>
      </c>
      <c r="I145" s="3">
        <v>1206</v>
      </c>
      <c r="J145" s="3">
        <v>51755</v>
      </c>
      <c r="K145" s="3">
        <v>159273</v>
      </c>
      <c r="L145" s="3" t="s">
        <v>20</v>
      </c>
      <c r="M145" s="4">
        <v>0.14860020216860359</v>
      </c>
      <c r="N145" s="3" t="str">
        <f>INDEX(Table5_2[Objective], MATCH(L145,Table5_2[Campaign_Name], 0))</f>
        <v>Brand Engagement</v>
      </c>
    </row>
    <row r="146" spans="1:14" x14ac:dyDescent="0.3">
      <c r="A146" s="3" t="s">
        <v>144</v>
      </c>
      <c r="B146" s="3" t="s">
        <v>18</v>
      </c>
      <c r="C146" s="2">
        <v>45928</v>
      </c>
      <c r="D146" s="3" t="s">
        <v>34</v>
      </c>
      <c r="E146" s="3" t="s">
        <v>364</v>
      </c>
      <c r="F146" s="3">
        <v>21963</v>
      </c>
      <c r="G146" s="3">
        <v>1356</v>
      </c>
      <c r="H146" s="3">
        <v>349</v>
      </c>
      <c r="I146" s="3">
        <v>1206</v>
      </c>
      <c r="J146" s="3">
        <v>51755</v>
      </c>
      <c r="K146" s="3">
        <v>159273</v>
      </c>
      <c r="L146" s="3" t="s">
        <v>20</v>
      </c>
      <c r="M146" s="4">
        <v>0.14860020216860359</v>
      </c>
      <c r="N146" s="3" t="str">
        <f>INDEX(Table5_2[Objective], MATCH(L146,Table5_2[Campaign_Name], 0))</f>
        <v>Brand Engagement</v>
      </c>
    </row>
    <row r="147" spans="1:14" x14ac:dyDescent="0.3">
      <c r="A147" s="3" t="s">
        <v>284</v>
      </c>
      <c r="B147" s="3" t="s">
        <v>22</v>
      </c>
      <c r="C147" s="2">
        <v>45914</v>
      </c>
      <c r="D147" s="3" t="s">
        <v>34</v>
      </c>
      <c r="E147" s="3" t="s">
        <v>359</v>
      </c>
      <c r="F147" s="3">
        <v>12787</v>
      </c>
      <c r="G147" s="3">
        <v>945</v>
      </c>
      <c r="H147" s="3">
        <v>974</v>
      </c>
      <c r="I147" s="3">
        <v>1407</v>
      </c>
      <c r="J147" s="3">
        <v>4037</v>
      </c>
      <c r="K147" s="3">
        <v>99182</v>
      </c>
      <c r="L147" s="3" t="s">
        <v>20</v>
      </c>
      <c r="M147" s="4">
        <v>0.14827287209372669</v>
      </c>
      <c r="N147" s="3" t="str">
        <f>INDEX(Table5_2[Objective], MATCH(L147,Table5_2[Campaign_Name], 0))</f>
        <v>Brand Engagement</v>
      </c>
    </row>
    <row r="148" spans="1:14" x14ac:dyDescent="0.3">
      <c r="A148" s="3" t="s">
        <v>284</v>
      </c>
      <c r="B148" s="3" t="s">
        <v>22</v>
      </c>
      <c r="C148" s="2">
        <v>45914</v>
      </c>
      <c r="D148" s="3" t="s">
        <v>34</v>
      </c>
      <c r="E148" s="3" t="s">
        <v>366</v>
      </c>
      <c r="F148" s="3">
        <v>12787</v>
      </c>
      <c r="G148" s="3">
        <v>945</v>
      </c>
      <c r="H148" s="3">
        <v>974</v>
      </c>
      <c r="I148" s="3">
        <v>1407</v>
      </c>
      <c r="J148" s="3">
        <v>4037</v>
      </c>
      <c r="K148" s="3">
        <v>99182</v>
      </c>
      <c r="L148" s="3" t="s">
        <v>20</v>
      </c>
      <c r="M148" s="4">
        <v>0.14827287209372669</v>
      </c>
      <c r="N148" s="3" t="str">
        <f>INDEX(Table5_2[Objective], MATCH(L148,Table5_2[Campaign_Name], 0))</f>
        <v>Brand Engagement</v>
      </c>
    </row>
    <row r="149" spans="1:14" x14ac:dyDescent="0.3">
      <c r="A149" s="3" t="s">
        <v>140</v>
      </c>
      <c r="B149" s="3" t="s">
        <v>18</v>
      </c>
      <c r="C149" s="2">
        <v>45739</v>
      </c>
      <c r="D149" s="3" t="s">
        <v>14</v>
      </c>
      <c r="E149" s="3" t="s">
        <v>357</v>
      </c>
      <c r="F149" s="3">
        <v>24711</v>
      </c>
      <c r="G149" s="3">
        <v>882</v>
      </c>
      <c r="H149" s="3">
        <v>876</v>
      </c>
      <c r="I149" s="3">
        <v>2728</v>
      </c>
      <c r="J149" s="3">
        <v>32015</v>
      </c>
      <c r="K149" s="3">
        <v>180272</v>
      </c>
      <c r="L149" s="3" t="s">
        <v>29</v>
      </c>
      <c r="M149" s="4">
        <v>0.1468281263867933</v>
      </c>
      <c r="N149" s="3" t="str">
        <f>INDEX(Table5_2[Objective], MATCH(L149,Table5_2[Campaign_Name], 0))</f>
        <v>Product Launch</v>
      </c>
    </row>
    <row r="150" spans="1:14" x14ac:dyDescent="0.3">
      <c r="A150" s="3" t="s">
        <v>140</v>
      </c>
      <c r="B150" s="3" t="s">
        <v>18</v>
      </c>
      <c r="C150" s="2">
        <v>45739</v>
      </c>
      <c r="D150" s="3" t="s">
        <v>14</v>
      </c>
      <c r="E150" s="3" t="s">
        <v>358</v>
      </c>
      <c r="F150" s="3">
        <v>24711</v>
      </c>
      <c r="G150" s="3">
        <v>882</v>
      </c>
      <c r="H150" s="3">
        <v>876</v>
      </c>
      <c r="I150" s="3">
        <v>2728</v>
      </c>
      <c r="J150" s="3">
        <v>32015</v>
      </c>
      <c r="K150" s="3">
        <v>180272</v>
      </c>
      <c r="L150" s="3" t="s">
        <v>29</v>
      </c>
      <c r="M150" s="4">
        <v>0.1468281263867933</v>
      </c>
      <c r="N150" s="3" t="str">
        <f>INDEX(Table5_2[Objective], MATCH(L150,Table5_2[Campaign_Name], 0))</f>
        <v>Product Launch</v>
      </c>
    </row>
    <row r="151" spans="1:14" x14ac:dyDescent="0.3">
      <c r="A151" s="3" t="s">
        <v>278</v>
      </c>
      <c r="B151" s="3" t="s">
        <v>13</v>
      </c>
      <c r="C151" s="2">
        <v>45912</v>
      </c>
      <c r="D151" s="3" t="s">
        <v>27</v>
      </c>
      <c r="E151" s="3" t="s">
        <v>361</v>
      </c>
      <c r="F151" s="3">
        <v>15918</v>
      </c>
      <c r="G151" s="3">
        <v>1114</v>
      </c>
      <c r="H151" s="3">
        <v>392</v>
      </c>
      <c r="I151" s="3">
        <v>1641</v>
      </c>
      <c r="J151" s="3">
        <v>28044</v>
      </c>
      <c r="K151" s="3">
        <v>118714</v>
      </c>
      <c r="L151" s="3" t="s">
        <v>20</v>
      </c>
      <c r="M151" s="4">
        <v>0.14677291642097814</v>
      </c>
      <c r="N151" s="3" t="str">
        <f>INDEX(Table5_2[Objective], MATCH(L151,Table5_2[Campaign_Name], 0))</f>
        <v>Brand Engagement</v>
      </c>
    </row>
    <row r="152" spans="1:14" x14ac:dyDescent="0.3">
      <c r="A152" s="3" t="s">
        <v>278</v>
      </c>
      <c r="B152" s="3" t="s">
        <v>13</v>
      </c>
      <c r="C152" s="2">
        <v>45912</v>
      </c>
      <c r="D152" s="3" t="s">
        <v>27</v>
      </c>
      <c r="E152" s="3" t="s">
        <v>362</v>
      </c>
      <c r="F152" s="3">
        <v>15918</v>
      </c>
      <c r="G152" s="3">
        <v>1114</v>
      </c>
      <c r="H152" s="3">
        <v>392</v>
      </c>
      <c r="I152" s="3">
        <v>1641</v>
      </c>
      <c r="J152" s="3">
        <v>28044</v>
      </c>
      <c r="K152" s="3">
        <v>118714</v>
      </c>
      <c r="L152" s="3" t="s">
        <v>20</v>
      </c>
      <c r="M152" s="4">
        <v>0.14677291642097814</v>
      </c>
      <c r="N152" s="3" t="str">
        <f>INDEX(Table5_2[Objective], MATCH(L152,Table5_2[Campaign_Name], 0))</f>
        <v>Brand Engagement</v>
      </c>
    </row>
    <row r="153" spans="1:14" x14ac:dyDescent="0.3">
      <c r="A153" s="3" t="s">
        <v>191</v>
      </c>
      <c r="B153" s="3" t="s">
        <v>22</v>
      </c>
      <c r="C153" s="2">
        <v>45647</v>
      </c>
      <c r="D153" s="3" t="s">
        <v>14</v>
      </c>
      <c r="E153" s="3" t="s">
        <v>353</v>
      </c>
      <c r="F153" s="3">
        <v>12453</v>
      </c>
      <c r="G153" s="3">
        <v>376</v>
      </c>
      <c r="H153" s="3">
        <v>320</v>
      </c>
      <c r="I153" s="3">
        <v>2546</v>
      </c>
      <c r="J153" s="3">
        <v>22617</v>
      </c>
      <c r="K153" s="3">
        <v>90138</v>
      </c>
      <c r="L153" s="3" t="s">
        <v>25</v>
      </c>
      <c r="M153" s="4">
        <v>0.14587632297144379</v>
      </c>
      <c r="N153" s="3" t="str">
        <f>INDEX(Table5_2[Objective], MATCH(L153,Table5_2[Campaign_Name], 0))</f>
        <v>Sustainability Branding</v>
      </c>
    </row>
    <row r="154" spans="1:14" x14ac:dyDescent="0.3">
      <c r="A154" s="3" t="s">
        <v>191</v>
      </c>
      <c r="B154" s="3" t="s">
        <v>22</v>
      </c>
      <c r="C154" s="2">
        <v>45647</v>
      </c>
      <c r="D154" s="3" t="s">
        <v>14</v>
      </c>
      <c r="E154" s="3" t="s">
        <v>354</v>
      </c>
      <c r="F154" s="3">
        <v>12453</v>
      </c>
      <c r="G154" s="3">
        <v>376</v>
      </c>
      <c r="H154" s="3">
        <v>320</v>
      </c>
      <c r="I154" s="3">
        <v>2546</v>
      </c>
      <c r="J154" s="3">
        <v>22617</v>
      </c>
      <c r="K154" s="3">
        <v>90138</v>
      </c>
      <c r="L154" s="3" t="s">
        <v>25</v>
      </c>
      <c r="M154" s="4">
        <v>0.14587632297144379</v>
      </c>
      <c r="N154" s="3" t="str">
        <f>INDEX(Table5_2[Objective], MATCH(L154,Table5_2[Campaign_Name], 0))</f>
        <v>Sustainability Branding</v>
      </c>
    </row>
    <row r="155" spans="1:14" x14ac:dyDescent="0.3">
      <c r="A155" s="3" t="s">
        <v>268</v>
      </c>
      <c r="B155" s="3" t="s">
        <v>18</v>
      </c>
      <c r="C155" s="2">
        <v>45776</v>
      </c>
      <c r="D155" s="3" t="s">
        <v>34</v>
      </c>
      <c r="E155" s="3" t="s">
        <v>363</v>
      </c>
      <c r="F155" s="3">
        <v>16277</v>
      </c>
      <c r="G155" s="3">
        <v>1109</v>
      </c>
      <c r="H155" s="3">
        <v>375</v>
      </c>
      <c r="I155" s="3">
        <v>2225</v>
      </c>
      <c r="J155" s="3">
        <v>1044</v>
      </c>
      <c r="K155" s="3">
        <v>121889</v>
      </c>
      <c r="L155" s="3" t="s">
        <v>29</v>
      </c>
      <c r="M155" s="4">
        <v>0.14571454356012437</v>
      </c>
      <c r="N155" s="3" t="str">
        <f>INDEX(Table5_2[Objective], MATCH(L155,Table5_2[Campaign_Name], 0))</f>
        <v>Product Launch</v>
      </c>
    </row>
    <row r="156" spans="1:14" x14ac:dyDescent="0.3">
      <c r="A156" s="3" t="s">
        <v>268</v>
      </c>
      <c r="B156" s="3" t="s">
        <v>18</v>
      </c>
      <c r="C156" s="2">
        <v>45776</v>
      </c>
      <c r="D156" s="3" t="s">
        <v>34</v>
      </c>
      <c r="E156" s="3" t="s">
        <v>364</v>
      </c>
      <c r="F156" s="3">
        <v>16277</v>
      </c>
      <c r="G156" s="3">
        <v>1109</v>
      </c>
      <c r="H156" s="3">
        <v>375</v>
      </c>
      <c r="I156" s="3">
        <v>2225</v>
      </c>
      <c r="J156" s="3">
        <v>1044</v>
      </c>
      <c r="K156" s="3">
        <v>121889</v>
      </c>
      <c r="L156" s="3" t="s">
        <v>29</v>
      </c>
      <c r="M156" s="4">
        <v>0.14571454356012437</v>
      </c>
      <c r="N156" s="3" t="str">
        <f>INDEX(Table5_2[Objective], MATCH(L156,Table5_2[Campaign_Name], 0))</f>
        <v>Product Launch</v>
      </c>
    </row>
    <row r="157" spans="1:14" x14ac:dyDescent="0.3">
      <c r="A157" s="3" t="s">
        <v>260</v>
      </c>
      <c r="B157" s="3" t="s">
        <v>18</v>
      </c>
      <c r="C157" s="2">
        <v>45907</v>
      </c>
      <c r="D157" s="3" t="s">
        <v>23</v>
      </c>
      <c r="E157" s="3" t="s">
        <v>368</v>
      </c>
      <c r="F157" s="3">
        <v>4472</v>
      </c>
      <c r="G157" s="3">
        <v>1301</v>
      </c>
      <c r="H157" s="3">
        <v>956</v>
      </c>
      <c r="I157" s="3">
        <v>1186</v>
      </c>
      <c r="J157" s="3">
        <v>3363</v>
      </c>
      <c r="K157" s="3">
        <v>46471</v>
      </c>
      <c r="L157" s="3" t="s">
        <v>20</v>
      </c>
      <c r="M157" s="4">
        <v>0.14479998278496267</v>
      </c>
      <c r="N157" s="3" t="str">
        <f>INDEX(Table5_2[Objective], MATCH(L157,Table5_2[Campaign_Name], 0))</f>
        <v>Brand Engagement</v>
      </c>
    </row>
    <row r="158" spans="1:14" x14ac:dyDescent="0.3">
      <c r="A158" s="3" t="s">
        <v>260</v>
      </c>
      <c r="B158" s="3" t="s">
        <v>18</v>
      </c>
      <c r="C158" s="2">
        <v>45907</v>
      </c>
      <c r="D158" s="3" t="s">
        <v>23</v>
      </c>
      <c r="E158" s="3" t="s">
        <v>369</v>
      </c>
      <c r="F158" s="3">
        <v>4472</v>
      </c>
      <c r="G158" s="3">
        <v>1301</v>
      </c>
      <c r="H158" s="3">
        <v>956</v>
      </c>
      <c r="I158" s="3">
        <v>1186</v>
      </c>
      <c r="J158" s="3">
        <v>3363</v>
      </c>
      <c r="K158" s="3">
        <v>46471</v>
      </c>
      <c r="L158" s="3" t="s">
        <v>20</v>
      </c>
      <c r="M158" s="4">
        <v>0.14479998278496267</v>
      </c>
      <c r="N158" s="3" t="str">
        <f>INDEX(Table5_2[Objective], MATCH(L158,Table5_2[Campaign_Name], 0))</f>
        <v>Brand Engagement</v>
      </c>
    </row>
    <row r="159" spans="1:14" x14ac:dyDescent="0.3">
      <c r="A159" s="3" t="s">
        <v>102</v>
      </c>
      <c r="B159" s="3" t="s">
        <v>18</v>
      </c>
      <c r="C159" s="2">
        <v>45745</v>
      </c>
      <c r="D159" s="3" t="s">
        <v>27</v>
      </c>
      <c r="E159" s="3" t="s">
        <v>363</v>
      </c>
      <c r="F159" s="3">
        <v>19461</v>
      </c>
      <c r="G159" s="3">
        <v>1382</v>
      </c>
      <c r="H159" s="3">
        <v>445</v>
      </c>
      <c r="I159" s="3">
        <v>1307</v>
      </c>
      <c r="J159" s="3">
        <v>84691</v>
      </c>
      <c r="K159" s="3">
        <v>151453</v>
      </c>
      <c r="L159" s="3" t="s">
        <v>29</v>
      </c>
      <c r="M159" s="4">
        <v>0.14055845707909384</v>
      </c>
      <c r="N159" s="3" t="str">
        <f>INDEX(Table5_2[Objective], MATCH(L159,Table5_2[Campaign_Name], 0))</f>
        <v>Product Launch</v>
      </c>
    </row>
    <row r="160" spans="1:14" x14ac:dyDescent="0.3">
      <c r="A160" s="3" t="s">
        <v>102</v>
      </c>
      <c r="B160" s="3" t="s">
        <v>18</v>
      </c>
      <c r="C160" s="2">
        <v>45745</v>
      </c>
      <c r="D160" s="3" t="s">
        <v>27</v>
      </c>
      <c r="E160" s="3" t="s">
        <v>364</v>
      </c>
      <c r="F160" s="3">
        <v>19461</v>
      </c>
      <c r="G160" s="3">
        <v>1382</v>
      </c>
      <c r="H160" s="3">
        <v>445</v>
      </c>
      <c r="I160" s="3">
        <v>1307</v>
      </c>
      <c r="J160" s="3">
        <v>84691</v>
      </c>
      <c r="K160" s="3">
        <v>151453</v>
      </c>
      <c r="L160" s="3" t="s">
        <v>29</v>
      </c>
      <c r="M160" s="4">
        <v>0.14055845707909384</v>
      </c>
      <c r="N160" s="3" t="str">
        <f>INDEX(Table5_2[Objective], MATCH(L160,Table5_2[Campaign_Name], 0))</f>
        <v>Product Launch</v>
      </c>
    </row>
    <row r="161" spans="1:14" x14ac:dyDescent="0.3">
      <c r="A161" s="3" t="s">
        <v>239</v>
      </c>
      <c r="B161" s="3" t="s">
        <v>13</v>
      </c>
      <c r="C161" s="2">
        <v>45617</v>
      </c>
      <c r="D161" s="3" t="s">
        <v>14</v>
      </c>
      <c r="E161" s="3" t="s">
        <v>363</v>
      </c>
      <c r="F161" s="3">
        <v>8229</v>
      </c>
      <c r="G161" s="3">
        <v>977</v>
      </c>
      <c r="H161" s="3">
        <v>152</v>
      </c>
      <c r="I161" s="3">
        <v>1633</v>
      </c>
      <c r="J161" s="3">
        <v>71447</v>
      </c>
      <c r="K161" s="3">
        <v>67723</v>
      </c>
      <c r="L161" s="3" t="s">
        <v>45</v>
      </c>
      <c r="M161" s="4">
        <v>0.13818052950991538</v>
      </c>
      <c r="N161" s="3" t="str">
        <f>INDEX(Table5_2[Objective], MATCH(L161,Table5_2[Campaign_Name], 0))</f>
        <v>Product Promotion</v>
      </c>
    </row>
    <row r="162" spans="1:14" x14ac:dyDescent="0.3">
      <c r="A162" s="3" t="s">
        <v>239</v>
      </c>
      <c r="B162" s="3" t="s">
        <v>13</v>
      </c>
      <c r="C162" s="2">
        <v>45617</v>
      </c>
      <c r="D162" s="3" t="s">
        <v>14</v>
      </c>
      <c r="E162" s="3" t="s">
        <v>364</v>
      </c>
      <c r="F162" s="3">
        <v>8229</v>
      </c>
      <c r="G162" s="3">
        <v>977</v>
      </c>
      <c r="H162" s="3">
        <v>152</v>
      </c>
      <c r="I162" s="3">
        <v>1633</v>
      </c>
      <c r="J162" s="3">
        <v>71447</v>
      </c>
      <c r="K162" s="3">
        <v>67723</v>
      </c>
      <c r="L162" s="3" t="s">
        <v>45</v>
      </c>
      <c r="M162" s="4">
        <v>0.13818052950991538</v>
      </c>
      <c r="N162" s="3" t="str">
        <f>INDEX(Table5_2[Objective], MATCH(L162,Table5_2[Campaign_Name], 0))</f>
        <v>Product Promotion</v>
      </c>
    </row>
    <row r="163" spans="1:14" x14ac:dyDescent="0.3">
      <c r="A163" s="3" t="s">
        <v>220</v>
      </c>
      <c r="B163" s="3" t="s">
        <v>13</v>
      </c>
      <c r="C163" s="2">
        <v>45943</v>
      </c>
      <c r="D163" s="3" t="s">
        <v>27</v>
      </c>
      <c r="E163" s="3" t="s">
        <v>359</v>
      </c>
      <c r="F163" s="3">
        <v>19302</v>
      </c>
      <c r="G163" s="3">
        <v>1367</v>
      </c>
      <c r="H163" s="3">
        <v>188</v>
      </c>
      <c r="I163" s="3">
        <v>637</v>
      </c>
      <c r="J163" s="3">
        <v>31404</v>
      </c>
      <c r="K163" s="3">
        <v>154044</v>
      </c>
      <c r="L163" s="3" t="s">
        <v>20</v>
      </c>
      <c r="M163" s="4">
        <v>0.13539638025499209</v>
      </c>
      <c r="N163" s="3" t="str">
        <f>INDEX(Table5_2[Objective], MATCH(L163,Table5_2[Campaign_Name], 0))</f>
        <v>Brand Engagement</v>
      </c>
    </row>
    <row r="164" spans="1:14" x14ac:dyDescent="0.3">
      <c r="A164" s="3" t="s">
        <v>220</v>
      </c>
      <c r="B164" s="3" t="s">
        <v>13</v>
      </c>
      <c r="C164" s="2">
        <v>45943</v>
      </c>
      <c r="D164" s="3" t="s">
        <v>27</v>
      </c>
      <c r="E164" s="3" t="s">
        <v>366</v>
      </c>
      <c r="F164" s="3">
        <v>19302</v>
      </c>
      <c r="G164" s="3">
        <v>1367</v>
      </c>
      <c r="H164" s="3">
        <v>188</v>
      </c>
      <c r="I164" s="3">
        <v>637</v>
      </c>
      <c r="J164" s="3">
        <v>31404</v>
      </c>
      <c r="K164" s="3">
        <v>154044</v>
      </c>
      <c r="L164" s="3" t="s">
        <v>20</v>
      </c>
      <c r="M164" s="4">
        <v>0.13539638025499209</v>
      </c>
      <c r="N164" s="3" t="str">
        <f>INDEX(Table5_2[Objective], MATCH(L164,Table5_2[Campaign_Name], 0))</f>
        <v>Brand Engagement</v>
      </c>
    </row>
    <row r="165" spans="1:14" x14ac:dyDescent="0.3">
      <c r="A165" s="3" t="s">
        <v>124</v>
      </c>
      <c r="B165" s="3" t="s">
        <v>22</v>
      </c>
      <c r="C165" s="2">
        <v>45480</v>
      </c>
      <c r="D165" s="3" t="s">
        <v>23</v>
      </c>
      <c r="E165" s="3" t="s">
        <v>355</v>
      </c>
      <c r="F165" s="3">
        <v>24625</v>
      </c>
      <c r="G165" s="3">
        <v>749</v>
      </c>
      <c r="H165" s="3">
        <v>193</v>
      </c>
      <c r="I165" s="3">
        <v>1340</v>
      </c>
      <c r="J165" s="3">
        <v>4890</v>
      </c>
      <c r="K165" s="3">
        <v>189381</v>
      </c>
      <c r="L165" s="3" t="s">
        <v>16</v>
      </c>
      <c r="M165" s="4">
        <v>0.13500298340382616</v>
      </c>
      <c r="N165" s="3" t="str">
        <f>INDEX(Table5_2[Objective], MATCH(L165,Table5_2[Campaign_Name], 0))</f>
        <v>Health &amp; Fitness Awareness</v>
      </c>
    </row>
    <row r="166" spans="1:14" x14ac:dyDescent="0.3">
      <c r="A166" s="3" t="s">
        <v>124</v>
      </c>
      <c r="B166" s="3" t="s">
        <v>22</v>
      </c>
      <c r="C166" s="2">
        <v>45480</v>
      </c>
      <c r="D166" s="3" t="s">
        <v>23</v>
      </c>
      <c r="E166" s="3" t="s">
        <v>356</v>
      </c>
      <c r="F166" s="3">
        <v>24625</v>
      </c>
      <c r="G166" s="3">
        <v>749</v>
      </c>
      <c r="H166" s="3">
        <v>193</v>
      </c>
      <c r="I166" s="3">
        <v>1340</v>
      </c>
      <c r="J166" s="3">
        <v>4890</v>
      </c>
      <c r="K166" s="3">
        <v>189381</v>
      </c>
      <c r="L166" s="3" t="s">
        <v>16</v>
      </c>
      <c r="M166" s="4">
        <v>0.13500298340382616</v>
      </c>
      <c r="N166" s="3" t="str">
        <f>INDEX(Table5_2[Objective], MATCH(L166,Table5_2[Campaign_Name], 0))</f>
        <v>Health &amp; Fitness Awareness</v>
      </c>
    </row>
    <row r="167" spans="1:14" x14ac:dyDescent="0.3">
      <c r="A167" s="3" t="s">
        <v>74</v>
      </c>
      <c r="B167" s="3" t="s">
        <v>22</v>
      </c>
      <c r="C167" s="2">
        <v>45913</v>
      </c>
      <c r="D167" s="3" t="s">
        <v>34</v>
      </c>
      <c r="E167" s="3" t="s">
        <v>361</v>
      </c>
      <c r="F167" s="3">
        <v>17106</v>
      </c>
      <c r="G167" s="3">
        <v>702</v>
      </c>
      <c r="H167" s="3">
        <v>459</v>
      </c>
      <c r="I167" s="3">
        <v>999</v>
      </c>
      <c r="J167" s="3">
        <v>59627</v>
      </c>
      <c r="K167" s="3">
        <v>136059</v>
      </c>
      <c r="L167" s="3" t="s">
        <v>20</v>
      </c>
      <c r="M167" s="4">
        <v>0.13425793222058077</v>
      </c>
      <c r="N167" s="3" t="str">
        <f>INDEX(Table5_2[Objective], MATCH(L167,Table5_2[Campaign_Name], 0))</f>
        <v>Brand Engagement</v>
      </c>
    </row>
    <row r="168" spans="1:14" x14ac:dyDescent="0.3">
      <c r="A168" s="3" t="s">
        <v>74</v>
      </c>
      <c r="B168" s="3" t="s">
        <v>22</v>
      </c>
      <c r="C168" s="2">
        <v>45913</v>
      </c>
      <c r="D168" s="3" t="s">
        <v>34</v>
      </c>
      <c r="E168" s="3" t="s">
        <v>362</v>
      </c>
      <c r="F168" s="3">
        <v>17106</v>
      </c>
      <c r="G168" s="3">
        <v>702</v>
      </c>
      <c r="H168" s="3">
        <v>459</v>
      </c>
      <c r="I168" s="3">
        <v>999</v>
      </c>
      <c r="J168" s="3">
        <v>59627</v>
      </c>
      <c r="K168" s="3">
        <v>136059</v>
      </c>
      <c r="L168" s="3" t="s">
        <v>20</v>
      </c>
      <c r="M168" s="4">
        <v>0.13425793222058077</v>
      </c>
      <c r="N168" s="3" t="str">
        <f>INDEX(Table5_2[Objective], MATCH(L168,Table5_2[Campaign_Name], 0))</f>
        <v>Brand Engagement</v>
      </c>
    </row>
    <row r="169" spans="1:14" x14ac:dyDescent="0.3">
      <c r="A169" s="3" t="s">
        <v>204</v>
      </c>
      <c r="B169" s="3" t="s">
        <v>13</v>
      </c>
      <c r="C169" s="2">
        <v>45608</v>
      </c>
      <c r="D169" s="3" t="s">
        <v>14</v>
      </c>
      <c r="E169" s="3" t="s">
        <v>355</v>
      </c>
      <c r="F169" s="3">
        <v>19022</v>
      </c>
      <c r="G169" s="3">
        <v>541</v>
      </c>
      <c r="H169" s="3">
        <v>575</v>
      </c>
      <c r="I169" s="3">
        <v>2063</v>
      </c>
      <c r="J169" s="3">
        <v>42743</v>
      </c>
      <c r="K169" s="3">
        <v>150169</v>
      </c>
      <c r="L169" s="3" t="s">
        <v>16</v>
      </c>
      <c r="M169" s="4">
        <v>0.13410224480418728</v>
      </c>
      <c r="N169" s="3" t="str">
        <f>INDEX(Table5_2[Objective], MATCH(L169,Table5_2[Campaign_Name], 0))</f>
        <v>Health &amp; Fitness Awareness</v>
      </c>
    </row>
    <row r="170" spans="1:14" x14ac:dyDescent="0.3">
      <c r="A170" s="3" t="s">
        <v>204</v>
      </c>
      <c r="B170" s="3" t="s">
        <v>13</v>
      </c>
      <c r="C170" s="2">
        <v>45608</v>
      </c>
      <c r="D170" s="3" t="s">
        <v>14</v>
      </c>
      <c r="E170" s="3" t="s">
        <v>356</v>
      </c>
      <c r="F170" s="3">
        <v>19022</v>
      </c>
      <c r="G170" s="3">
        <v>541</v>
      </c>
      <c r="H170" s="3">
        <v>575</v>
      </c>
      <c r="I170" s="3">
        <v>2063</v>
      </c>
      <c r="J170" s="3">
        <v>42743</v>
      </c>
      <c r="K170" s="3">
        <v>150169</v>
      </c>
      <c r="L170" s="3" t="s">
        <v>16</v>
      </c>
      <c r="M170" s="4">
        <v>0.13410224480418728</v>
      </c>
      <c r="N170" s="3" t="str">
        <f>INDEX(Table5_2[Objective], MATCH(L170,Table5_2[Campaign_Name], 0))</f>
        <v>Health &amp; Fitness Awareness</v>
      </c>
    </row>
    <row r="171" spans="1:14" x14ac:dyDescent="0.3">
      <c r="A171" s="3" t="s">
        <v>95</v>
      </c>
      <c r="B171" s="3" t="s">
        <v>22</v>
      </c>
      <c r="C171" s="2">
        <v>45685</v>
      </c>
      <c r="D171" s="3" t="s">
        <v>23</v>
      </c>
      <c r="E171" s="3" t="s">
        <v>363</v>
      </c>
      <c r="F171" s="3">
        <v>9239</v>
      </c>
      <c r="G171" s="3">
        <v>1477</v>
      </c>
      <c r="H171" s="3">
        <v>631</v>
      </c>
      <c r="I171" s="3">
        <v>1556</v>
      </c>
      <c r="J171" s="3">
        <v>11580</v>
      </c>
      <c r="K171" s="3">
        <v>84738</v>
      </c>
      <c r="L171" s="3" t="s">
        <v>25</v>
      </c>
      <c r="M171" s="4">
        <v>0.13390686586891359</v>
      </c>
      <c r="N171" s="3" t="str">
        <f>INDEX(Table5_2[Objective], MATCH(L171,Table5_2[Campaign_Name], 0))</f>
        <v>Sustainability Branding</v>
      </c>
    </row>
    <row r="172" spans="1:14" x14ac:dyDescent="0.3">
      <c r="A172" s="3" t="s">
        <v>95</v>
      </c>
      <c r="B172" s="3" t="s">
        <v>22</v>
      </c>
      <c r="C172" s="2">
        <v>45685</v>
      </c>
      <c r="D172" s="3" t="s">
        <v>23</v>
      </c>
      <c r="E172" s="3" t="s">
        <v>364</v>
      </c>
      <c r="F172" s="3">
        <v>9239</v>
      </c>
      <c r="G172" s="3">
        <v>1477</v>
      </c>
      <c r="H172" s="3">
        <v>631</v>
      </c>
      <c r="I172" s="3">
        <v>1556</v>
      </c>
      <c r="J172" s="3">
        <v>11580</v>
      </c>
      <c r="K172" s="3">
        <v>84738</v>
      </c>
      <c r="L172" s="3" t="s">
        <v>25</v>
      </c>
      <c r="M172" s="4">
        <v>0.13390686586891359</v>
      </c>
      <c r="N172" s="3" t="str">
        <f>INDEX(Table5_2[Objective], MATCH(L172,Table5_2[Campaign_Name], 0))</f>
        <v>Sustainability Branding</v>
      </c>
    </row>
    <row r="173" spans="1:14" x14ac:dyDescent="0.3">
      <c r="A173" s="3" t="s">
        <v>183</v>
      </c>
      <c r="B173" s="3" t="s">
        <v>13</v>
      </c>
      <c r="C173" s="2">
        <v>45586</v>
      </c>
      <c r="D173" s="3" t="s">
        <v>23</v>
      </c>
      <c r="E173" s="3" t="s">
        <v>365</v>
      </c>
      <c r="F173" s="3">
        <v>20777</v>
      </c>
      <c r="G173" s="3">
        <v>962</v>
      </c>
      <c r="H173" s="3">
        <v>308</v>
      </c>
      <c r="I173" s="3">
        <v>2777</v>
      </c>
      <c r="J173" s="3">
        <v>25529</v>
      </c>
      <c r="K173" s="3">
        <v>165354</v>
      </c>
      <c r="L173" s="3" t="s">
        <v>16</v>
      </c>
      <c r="M173" s="4">
        <v>0.13333212380710477</v>
      </c>
      <c r="N173" s="3" t="str">
        <f>INDEX(Table5_2[Objective], MATCH(L173,Table5_2[Campaign_Name], 0))</f>
        <v>Health &amp; Fitness Awareness</v>
      </c>
    </row>
    <row r="174" spans="1:14" x14ac:dyDescent="0.3">
      <c r="A174" s="3" t="s">
        <v>183</v>
      </c>
      <c r="B174" s="3" t="s">
        <v>13</v>
      </c>
      <c r="C174" s="2">
        <v>45586</v>
      </c>
      <c r="D174" s="3" t="s">
        <v>23</v>
      </c>
      <c r="E174" s="3" t="s">
        <v>359</v>
      </c>
      <c r="F174" s="3">
        <v>20777</v>
      </c>
      <c r="G174" s="3">
        <v>962</v>
      </c>
      <c r="H174" s="3">
        <v>308</v>
      </c>
      <c r="I174" s="3">
        <v>2777</v>
      </c>
      <c r="J174" s="3">
        <v>25529</v>
      </c>
      <c r="K174" s="3">
        <v>165354</v>
      </c>
      <c r="L174" s="3" t="s">
        <v>16</v>
      </c>
      <c r="M174" s="4">
        <v>0.13333212380710477</v>
      </c>
      <c r="N174" s="3" t="str">
        <f>INDEX(Table5_2[Objective], MATCH(L174,Table5_2[Campaign_Name], 0))</f>
        <v>Health &amp; Fitness Awareness</v>
      </c>
    </row>
    <row r="175" spans="1:14" x14ac:dyDescent="0.3">
      <c r="A175" s="3" t="s">
        <v>107</v>
      </c>
      <c r="B175" s="3" t="s">
        <v>40</v>
      </c>
      <c r="C175" s="2">
        <v>45719</v>
      </c>
      <c r="D175" s="3" t="s">
        <v>34</v>
      </c>
      <c r="E175" s="3" t="s">
        <v>359</v>
      </c>
      <c r="F175" s="3">
        <v>24928</v>
      </c>
      <c r="G175" s="3">
        <v>214</v>
      </c>
      <c r="H175" s="3">
        <v>765</v>
      </c>
      <c r="I175" s="3">
        <v>1556</v>
      </c>
      <c r="J175" s="3">
        <v>5239</v>
      </c>
      <c r="K175" s="3">
        <v>194571</v>
      </c>
      <c r="L175" s="3" t="s">
        <v>45</v>
      </c>
      <c r="M175" s="4">
        <v>0.13314933880177415</v>
      </c>
      <c r="N175" s="3" t="str">
        <f>INDEX(Table5_2[Objective], MATCH(L175,Table5_2[Campaign_Name], 0))</f>
        <v>Product Promotion</v>
      </c>
    </row>
    <row r="176" spans="1:14" x14ac:dyDescent="0.3">
      <c r="A176" s="3" t="s">
        <v>107</v>
      </c>
      <c r="B176" s="3" t="s">
        <v>40</v>
      </c>
      <c r="C176" s="2">
        <v>45719</v>
      </c>
      <c r="D176" s="3" t="s">
        <v>34</v>
      </c>
      <c r="E176" s="3" t="s">
        <v>366</v>
      </c>
      <c r="F176" s="3">
        <v>24928</v>
      </c>
      <c r="G176" s="3">
        <v>214</v>
      </c>
      <c r="H176" s="3">
        <v>765</v>
      </c>
      <c r="I176" s="3">
        <v>1556</v>
      </c>
      <c r="J176" s="3">
        <v>5239</v>
      </c>
      <c r="K176" s="3">
        <v>194571</v>
      </c>
      <c r="L176" s="3" t="s">
        <v>45</v>
      </c>
      <c r="M176" s="4">
        <v>0.13314933880177415</v>
      </c>
      <c r="N176" s="3" t="str">
        <f>INDEX(Table5_2[Objective], MATCH(L176,Table5_2[Campaign_Name], 0))</f>
        <v>Product Promotion</v>
      </c>
    </row>
    <row r="177" spans="1:14" x14ac:dyDescent="0.3">
      <c r="A177" s="3" t="s">
        <v>301</v>
      </c>
      <c r="B177" s="3" t="s">
        <v>13</v>
      </c>
      <c r="C177" s="2">
        <v>45708</v>
      </c>
      <c r="D177" s="3" t="s">
        <v>34</v>
      </c>
      <c r="E177" s="3" t="s">
        <v>365</v>
      </c>
      <c r="F177" s="3">
        <v>15703</v>
      </c>
      <c r="G177" s="3">
        <v>1381</v>
      </c>
      <c r="H177" s="3">
        <v>639</v>
      </c>
      <c r="I177" s="3">
        <v>984</v>
      </c>
      <c r="J177" s="3">
        <v>10967</v>
      </c>
      <c r="K177" s="3">
        <v>133747</v>
      </c>
      <c r="L177" s="3" t="s">
        <v>45</v>
      </c>
      <c r="M177" s="4">
        <v>0.13251138343289942</v>
      </c>
      <c r="N177" s="3" t="str">
        <f>INDEX(Table5_2[Objective], MATCH(L177,Table5_2[Campaign_Name], 0))</f>
        <v>Product Promotion</v>
      </c>
    </row>
    <row r="178" spans="1:14" x14ac:dyDescent="0.3">
      <c r="A178" s="3" t="s">
        <v>301</v>
      </c>
      <c r="B178" s="3" t="s">
        <v>13</v>
      </c>
      <c r="C178" s="2">
        <v>45708</v>
      </c>
      <c r="D178" s="3" t="s">
        <v>34</v>
      </c>
      <c r="E178" s="3" t="s">
        <v>359</v>
      </c>
      <c r="F178" s="3">
        <v>15703</v>
      </c>
      <c r="G178" s="3">
        <v>1381</v>
      </c>
      <c r="H178" s="3">
        <v>639</v>
      </c>
      <c r="I178" s="3">
        <v>984</v>
      </c>
      <c r="J178" s="3">
        <v>10967</v>
      </c>
      <c r="K178" s="3">
        <v>133747</v>
      </c>
      <c r="L178" s="3" t="s">
        <v>45</v>
      </c>
      <c r="M178" s="4">
        <v>0.13251138343289942</v>
      </c>
      <c r="N178" s="3" t="str">
        <f>INDEX(Table5_2[Objective], MATCH(L178,Table5_2[Campaign_Name], 0))</f>
        <v>Product Promotion</v>
      </c>
    </row>
    <row r="179" spans="1:14" x14ac:dyDescent="0.3">
      <c r="A179" s="3" t="s">
        <v>33</v>
      </c>
      <c r="B179" s="3" t="s">
        <v>22</v>
      </c>
      <c r="C179" s="2">
        <v>45467</v>
      </c>
      <c r="D179" s="3" t="s">
        <v>34</v>
      </c>
      <c r="E179" s="3" t="s">
        <v>361</v>
      </c>
      <c r="F179" s="3">
        <v>7713</v>
      </c>
      <c r="G179" s="3">
        <v>575</v>
      </c>
      <c r="H179" s="3">
        <v>417</v>
      </c>
      <c r="I179" s="3">
        <v>336</v>
      </c>
      <c r="J179" s="3">
        <v>61660</v>
      </c>
      <c r="K179" s="3">
        <v>66017</v>
      </c>
      <c r="L179" s="3" t="s">
        <v>29</v>
      </c>
      <c r="M179" s="4">
        <v>0.13185997546086614</v>
      </c>
      <c r="N179" s="3" t="str">
        <f>INDEX(Table5_2[Objective], MATCH(L179,Table5_2[Campaign_Name], 0))</f>
        <v>Product Launch</v>
      </c>
    </row>
    <row r="180" spans="1:14" x14ac:dyDescent="0.3">
      <c r="A180" s="3" t="s">
        <v>33</v>
      </c>
      <c r="B180" s="3" t="s">
        <v>22</v>
      </c>
      <c r="C180" s="2">
        <v>45467</v>
      </c>
      <c r="D180" s="3" t="s">
        <v>34</v>
      </c>
      <c r="E180" s="3" t="s">
        <v>362</v>
      </c>
      <c r="F180" s="3">
        <v>7713</v>
      </c>
      <c r="G180" s="3">
        <v>575</v>
      </c>
      <c r="H180" s="3">
        <v>417</v>
      </c>
      <c r="I180" s="3">
        <v>336</v>
      </c>
      <c r="J180" s="3">
        <v>61660</v>
      </c>
      <c r="K180" s="3">
        <v>66017</v>
      </c>
      <c r="L180" s="3" t="s">
        <v>29</v>
      </c>
      <c r="M180" s="4">
        <v>0.13185997546086614</v>
      </c>
      <c r="N180" s="3" t="str">
        <f>INDEX(Table5_2[Objective], MATCH(L180,Table5_2[Campaign_Name], 0))</f>
        <v>Product Launch</v>
      </c>
    </row>
    <row r="181" spans="1:14" x14ac:dyDescent="0.3">
      <c r="A181" s="3" t="s">
        <v>136</v>
      </c>
      <c r="B181" s="3" t="s">
        <v>22</v>
      </c>
      <c r="C181" s="2">
        <v>45925</v>
      </c>
      <c r="D181" s="3" t="s">
        <v>14</v>
      </c>
      <c r="E181" s="3" t="s">
        <v>32</v>
      </c>
      <c r="F181" s="3">
        <v>20564</v>
      </c>
      <c r="G181" s="3">
        <v>1433</v>
      </c>
      <c r="H181" s="3">
        <v>488</v>
      </c>
      <c r="I181" s="3">
        <v>1015</v>
      </c>
      <c r="J181" s="3">
        <v>24333</v>
      </c>
      <c r="K181" s="3">
        <v>172130</v>
      </c>
      <c r="L181" s="3" t="s">
        <v>20</v>
      </c>
      <c r="M181" s="4">
        <v>0.13062801371056759</v>
      </c>
      <c r="N181" s="3" t="str">
        <f>INDEX(Table5_2[Objective], MATCH(L181,Table5_2[Campaign_Name], 0))</f>
        <v>Brand Engagement</v>
      </c>
    </row>
    <row r="182" spans="1:14" x14ac:dyDescent="0.3">
      <c r="A182" s="3" t="s">
        <v>330</v>
      </c>
      <c r="B182" s="3" t="s">
        <v>40</v>
      </c>
      <c r="C182" s="2">
        <v>45462</v>
      </c>
      <c r="D182" s="3" t="s">
        <v>34</v>
      </c>
      <c r="E182" s="3" t="s">
        <v>367</v>
      </c>
      <c r="F182" s="3">
        <v>20444</v>
      </c>
      <c r="G182" s="3">
        <v>233</v>
      </c>
      <c r="H182" s="3">
        <v>189</v>
      </c>
      <c r="I182" s="3">
        <v>2879</v>
      </c>
      <c r="J182" s="3">
        <v>28185</v>
      </c>
      <c r="K182" s="3">
        <v>159891</v>
      </c>
      <c r="L182" s="3" t="s">
        <v>29</v>
      </c>
      <c r="M182" s="4">
        <v>0.13050140408153055</v>
      </c>
      <c r="N182" s="3" t="str">
        <f>INDEX(Table5_2[Objective], MATCH(L182,Table5_2[Campaign_Name], 0))</f>
        <v>Product Launch</v>
      </c>
    </row>
    <row r="183" spans="1:14" x14ac:dyDescent="0.3">
      <c r="A183" s="3" t="s">
        <v>330</v>
      </c>
      <c r="B183" s="3" t="s">
        <v>40</v>
      </c>
      <c r="C183" s="2">
        <v>45462</v>
      </c>
      <c r="D183" s="3" t="s">
        <v>34</v>
      </c>
      <c r="E183" s="3" t="s">
        <v>32</v>
      </c>
      <c r="F183" s="3">
        <v>20444</v>
      </c>
      <c r="G183" s="3">
        <v>233</v>
      </c>
      <c r="H183" s="3">
        <v>189</v>
      </c>
      <c r="I183" s="3">
        <v>2879</v>
      </c>
      <c r="J183" s="3">
        <v>28185</v>
      </c>
      <c r="K183" s="3">
        <v>159891</v>
      </c>
      <c r="L183" s="3" t="s">
        <v>29</v>
      </c>
      <c r="M183" s="4">
        <v>0.13050140408153055</v>
      </c>
      <c r="N183" s="3" t="str">
        <f>INDEX(Table5_2[Objective], MATCH(L183,Table5_2[Campaign_Name], 0))</f>
        <v>Product Launch</v>
      </c>
    </row>
    <row r="184" spans="1:14" x14ac:dyDescent="0.3">
      <c r="A184" s="3" t="s">
        <v>12</v>
      </c>
      <c r="B184" s="3" t="s">
        <v>13</v>
      </c>
      <c r="C184" s="2">
        <v>45649</v>
      </c>
      <c r="D184" s="3" t="s">
        <v>14</v>
      </c>
      <c r="E184" s="3" t="s">
        <v>353</v>
      </c>
      <c r="F184" s="3">
        <v>24516</v>
      </c>
      <c r="G184" s="3">
        <v>976</v>
      </c>
      <c r="H184" s="3">
        <v>974</v>
      </c>
      <c r="I184" s="3">
        <v>2675</v>
      </c>
      <c r="J184" s="3">
        <v>23275</v>
      </c>
      <c r="K184" s="3">
        <v>202932</v>
      </c>
      <c r="L184" s="3" t="s">
        <v>16</v>
      </c>
      <c r="M184" s="4">
        <v>0.13041807107799658</v>
      </c>
      <c r="N184" s="3" t="str">
        <f>INDEX(Table5_2[Objective], MATCH(L184,Table5_2[Campaign_Name], 0))</f>
        <v>Health &amp; Fitness Awareness</v>
      </c>
    </row>
    <row r="185" spans="1:14" x14ac:dyDescent="0.3">
      <c r="A185" s="3" t="s">
        <v>12</v>
      </c>
      <c r="B185" s="3" t="s">
        <v>13</v>
      </c>
      <c r="C185" s="2">
        <v>45649</v>
      </c>
      <c r="D185" s="3" t="s">
        <v>14</v>
      </c>
      <c r="E185" s="3" t="s">
        <v>354</v>
      </c>
      <c r="F185" s="3">
        <v>24516</v>
      </c>
      <c r="G185" s="3">
        <v>976</v>
      </c>
      <c r="H185" s="3">
        <v>974</v>
      </c>
      <c r="I185" s="3">
        <v>2675</v>
      </c>
      <c r="J185" s="3">
        <v>23275</v>
      </c>
      <c r="K185" s="3">
        <v>202932</v>
      </c>
      <c r="L185" s="3" t="s">
        <v>16</v>
      </c>
      <c r="M185" s="4">
        <v>0.13041807107799658</v>
      </c>
      <c r="N185" s="3" t="str">
        <f>INDEX(Table5_2[Objective], MATCH(L185,Table5_2[Campaign_Name], 0))</f>
        <v>Health &amp; Fitness Awareness</v>
      </c>
    </row>
    <row r="186" spans="1:14" x14ac:dyDescent="0.3">
      <c r="A186" s="3" t="s">
        <v>120</v>
      </c>
      <c r="B186" s="3" t="s">
        <v>18</v>
      </c>
      <c r="C186" s="2">
        <v>45635</v>
      </c>
      <c r="D186" s="3" t="s">
        <v>14</v>
      </c>
      <c r="E186" s="3" t="s">
        <v>355</v>
      </c>
      <c r="F186" s="3">
        <v>15051</v>
      </c>
      <c r="G186" s="3">
        <v>268</v>
      </c>
      <c r="H186" s="3">
        <v>251</v>
      </c>
      <c r="I186" s="3">
        <v>783</v>
      </c>
      <c r="J186" s="3">
        <v>34154</v>
      </c>
      <c r="K186" s="3">
        <v>119671</v>
      </c>
      <c r="L186" s="3" t="s">
        <v>29</v>
      </c>
      <c r="M186" s="4">
        <v>0.13010670922779954</v>
      </c>
      <c r="N186" s="3" t="str">
        <f>INDEX(Table5_2[Objective], MATCH(L186,Table5_2[Campaign_Name], 0))</f>
        <v>Product Launch</v>
      </c>
    </row>
    <row r="187" spans="1:14" x14ac:dyDescent="0.3">
      <c r="A187" s="3" t="s">
        <v>120</v>
      </c>
      <c r="B187" s="3" t="s">
        <v>18</v>
      </c>
      <c r="C187" s="2">
        <v>45635</v>
      </c>
      <c r="D187" s="3" t="s">
        <v>14</v>
      </c>
      <c r="E187" s="3" t="s">
        <v>356</v>
      </c>
      <c r="F187" s="3">
        <v>15051</v>
      </c>
      <c r="G187" s="3">
        <v>268</v>
      </c>
      <c r="H187" s="3">
        <v>251</v>
      </c>
      <c r="I187" s="3">
        <v>783</v>
      </c>
      <c r="J187" s="3">
        <v>34154</v>
      </c>
      <c r="K187" s="3">
        <v>119671</v>
      </c>
      <c r="L187" s="3" t="s">
        <v>29</v>
      </c>
      <c r="M187" s="4">
        <v>0.13010670922779954</v>
      </c>
      <c r="N187" s="3" t="str">
        <f>INDEX(Table5_2[Objective], MATCH(L187,Table5_2[Campaign_Name], 0))</f>
        <v>Product Launch</v>
      </c>
    </row>
    <row r="188" spans="1:14" x14ac:dyDescent="0.3">
      <c r="A188" s="3" t="s">
        <v>88</v>
      </c>
      <c r="B188" s="3" t="s">
        <v>13</v>
      </c>
      <c r="C188" s="2">
        <v>45712</v>
      </c>
      <c r="D188" s="3" t="s">
        <v>14</v>
      </c>
      <c r="E188" s="3" t="s">
        <v>359</v>
      </c>
      <c r="F188" s="3">
        <v>23949</v>
      </c>
      <c r="G188" s="3">
        <v>356</v>
      </c>
      <c r="H188" s="3">
        <v>616</v>
      </c>
      <c r="I188" s="3">
        <v>1847</v>
      </c>
      <c r="J188" s="3">
        <v>3144</v>
      </c>
      <c r="K188" s="3">
        <v>192999</v>
      </c>
      <c r="L188" s="3" t="s">
        <v>29</v>
      </c>
      <c r="M188" s="4">
        <v>0.12912502137316773</v>
      </c>
      <c r="N188" s="3" t="str">
        <f>INDEX(Table5_2[Objective], MATCH(L188,Table5_2[Campaign_Name], 0))</f>
        <v>Product Launch</v>
      </c>
    </row>
    <row r="189" spans="1:14" x14ac:dyDescent="0.3">
      <c r="A189" s="3" t="s">
        <v>88</v>
      </c>
      <c r="B189" s="3" t="s">
        <v>13</v>
      </c>
      <c r="C189" s="2">
        <v>45712</v>
      </c>
      <c r="D189" s="3" t="s">
        <v>14</v>
      </c>
      <c r="E189" s="3" t="s">
        <v>366</v>
      </c>
      <c r="F189" s="3">
        <v>23949</v>
      </c>
      <c r="G189" s="3">
        <v>356</v>
      </c>
      <c r="H189" s="3">
        <v>616</v>
      </c>
      <c r="I189" s="3">
        <v>1847</v>
      </c>
      <c r="J189" s="3">
        <v>3144</v>
      </c>
      <c r="K189" s="3">
        <v>192999</v>
      </c>
      <c r="L189" s="3" t="s">
        <v>29</v>
      </c>
      <c r="M189" s="4">
        <v>0.12912502137316773</v>
      </c>
      <c r="N189" s="3" t="str">
        <f>INDEX(Table5_2[Objective], MATCH(L189,Table5_2[Campaign_Name], 0))</f>
        <v>Product Launch</v>
      </c>
    </row>
    <row r="190" spans="1:14" x14ac:dyDescent="0.3">
      <c r="A190" s="3" t="s">
        <v>174</v>
      </c>
      <c r="B190" s="3" t="s">
        <v>22</v>
      </c>
      <c r="C190" s="2">
        <v>45745</v>
      </c>
      <c r="D190" s="3" t="s">
        <v>34</v>
      </c>
      <c r="E190" s="3" t="s">
        <v>357</v>
      </c>
      <c r="F190" s="3">
        <v>23508</v>
      </c>
      <c r="G190" s="3">
        <v>585</v>
      </c>
      <c r="H190" s="3">
        <v>743</v>
      </c>
      <c r="I190" s="3">
        <v>2155</v>
      </c>
      <c r="J190" s="3">
        <v>3704</v>
      </c>
      <c r="K190" s="3">
        <v>194268</v>
      </c>
      <c r="L190" s="3" t="s">
        <v>29</v>
      </c>
      <c r="M190" s="4">
        <v>0.1278440093067309</v>
      </c>
      <c r="N190" s="3" t="str">
        <f>INDEX(Table5_2[Objective], MATCH(L190,Table5_2[Campaign_Name], 0))</f>
        <v>Product Launch</v>
      </c>
    </row>
    <row r="191" spans="1:14" x14ac:dyDescent="0.3">
      <c r="A191" s="3" t="s">
        <v>174</v>
      </c>
      <c r="B191" s="3" t="s">
        <v>22</v>
      </c>
      <c r="C191" s="2">
        <v>45745</v>
      </c>
      <c r="D191" s="3" t="s">
        <v>34</v>
      </c>
      <c r="E191" s="3" t="s">
        <v>358</v>
      </c>
      <c r="F191" s="3">
        <v>23508</v>
      </c>
      <c r="G191" s="3">
        <v>585</v>
      </c>
      <c r="H191" s="3">
        <v>743</v>
      </c>
      <c r="I191" s="3">
        <v>2155</v>
      </c>
      <c r="J191" s="3">
        <v>3704</v>
      </c>
      <c r="K191" s="3">
        <v>194268</v>
      </c>
      <c r="L191" s="3" t="s">
        <v>29</v>
      </c>
      <c r="M191" s="4">
        <v>0.1278440093067309</v>
      </c>
      <c r="N191" s="3" t="str">
        <f>INDEX(Table5_2[Objective], MATCH(L191,Table5_2[Campaign_Name], 0))</f>
        <v>Product Launch</v>
      </c>
    </row>
    <row r="192" spans="1:14" x14ac:dyDescent="0.3">
      <c r="A192" s="3" t="s">
        <v>230</v>
      </c>
      <c r="B192" s="3" t="s">
        <v>13</v>
      </c>
      <c r="C192" s="2">
        <v>45567</v>
      </c>
      <c r="D192" s="3" t="s">
        <v>27</v>
      </c>
      <c r="E192" s="3" t="s">
        <v>361</v>
      </c>
      <c r="F192" s="3">
        <v>5086</v>
      </c>
      <c r="G192" s="3">
        <v>1336</v>
      </c>
      <c r="H192" s="3">
        <v>897</v>
      </c>
      <c r="I192" s="3">
        <v>1715</v>
      </c>
      <c r="J192" s="3">
        <v>60592</v>
      </c>
      <c r="K192" s="3">
        <v>57772</v>
      </c>
      <c r="L192" s="3" t="s">
        <v>25</v>
      </c>
      <c r="M192" s="4">
        <v>0.12668766876687668</v>
      </c>
      <c r="N192" s="3" t="str">
        <f>INDEX(Table5_2[Objective], MATCH(L192,Table5_2[Campaign_Name], 0))</f>
        <v>Sustainability Branding</v>
      </c>
    </row>
    <row r="193" spans="1:14" x14ac:dyDescent="0.3">
      <c r="A193" s="3" t="s">
        <v>230</v>
      </c>
      <c r="B193" s="3" t="s">
        <v>13</v>
      </c>
      <c r="C193" s="2">
        <v>45567</v>
      </c>
      <c r="D193" s="3" t="s">
        <v>27</v>
      </c>
      <c r="E193" s="3" t="s">
        <v>362</v>
      </c>
      <c r="F193" s="3">
        <v>5086</v>
      </c>
      <c r="G193" s="3">
        <v>1336</v>
      </c>
      <c r="H193" s="3">
        <v>897</v>
      </c>
      <c r="I193" s="3">
        <v>1715</v>
      </c>
      <c r="J193" s="3">
        <v>60592</v>
      </c>
      <c r="K193" s="3">
        <v>57772</v>
      </c>
      <c r="L193" s="3" t="s">
        <v>25</v>
      </c>
      <c r="M193" s="4">
        <v>0.12668766876687668</v>
      </c>
      <c r="N193" s="3" t="str">
        <f>INDEX(Table5_2[Objective], MATCH(L193,Table5_2[Campaign_Name], 0))</f>
        <v>Sustainability Branding</v>
      </c>
    </row>
    <row r="194" spans="1:14" x14ac:dyDescent="0.3">
      <c r="A194" s="3" t="s">
        <v>171</v>
      </c>
      <c r="B194" s="3" t="s">
        <v>13</v>
      </c>
      <c r="C194" s="2">
        <v>45624</v>
      </c>
      <c r="D194" s="3" t="s">
        <v>34</v>
      </c>
      <c r="E194" s="3" t="s">
        <v>365</v>
      </c>
      <c r="F194" s="3">
        <v>19055</v>
      </c>
      <c r="G194" s="3">
        <v>443</v>
      </c>
      <c r="H194" s="3">
        <v>976</v>
      </c>
      <c r="I194" s="3">
        <v>869</v>
      </c>
      <c r="J194" s="3">
        <v>75437</v>
      </c>
      <c r="K194" s="3">
        <v>161863</v>
      </c>
      <c r="L194" s="3" t="s">
        <v>25</v>
      </c>
      <c r="M194" s="4">
        <v>0.12648968572187591</v>
      </c>
      <c r="N194" s="3" t="str">
        <f>INDEX(Table5_2[Objective], MATCH(L194,Table5_2[Campaign_Name], 0))</f>
        <v>Sustainability Branding</v>
      </c>
    </row>
    <row r="195" spans="1:14" x14ac:dyDescent="0.3">
      <c r="A195" s="3" t="s">
        <v>171</v>
      </c>
      <c r="B195" s="3" t="s">
        <v>13</v>
      </c>
      <c r="C195" s="2">
        <v>45624</v>
      </c>
      <c r="D195" s="3" t="s">
        <v>34</v>
      </c>
      <c r="E195" s="3" t="s">
        <v>359</v>
      </c>
      <c r="F195" s="3">
        <v>19055</v>
      </c>
      <c r="G195" s="3">
        <v>443</v>
      </c>
      <c r="H195" s="3">
        <v>976</v>
      </c>
      <c r="I195" s="3">
        <v>869</v>
      </c>
      <c r="J195" s="3">
        <v>75437</v>
      </c>
      <c r="K195" s="3">
        <v>161863</v>
      </c>
      <c r="L195" s="3" t="s">
        <v>25</v>
      </c>
      <c r="M195" s="4">
        <v>0.12648968572187591</v>
      </c>
      <c r="N195" s="3" t="str">
        <f>INDEX(Table5_2[Objective], MATCH(L195,Table5_2[Campaign_Name], 0))</f>
        <v>Sustainability Branding</v>
      </c>
    </row>
    <row r="196" spans="1:14" x14ac:dyDescent="0.3">
      <c r="A196" s="3" t="s">
        <v>241</v>
      </c>
      <c r="B196" s="3" t="s">
        <v>18</v>
      </c>
      <c r="C196" s="2">
        <v>45923</v>
      </c>
      <c r="D196" s="3" t="s">
        <v>23</v>
      </c>
      <c r="E196" s="3" t="s">
        <v>359</v>
      </c>
      <c r="F196" s="3">
        <v>17147</v>
      </c>
      <c r="G196" s="3">
        <v>286</v>
      </c>
      <c r="H196" s="3">
        <v>291</v>
      </c>
      <c r="I196" s="3">
        <v>2439</v>
      </c>
      <c r="J196" s="3">
        <v>45631</v>
      </c>
      <c r="K196" s="3">
        <v>140494</v>
      </c>
      <c r="L196" s="3" t="s">
        <v>20</v>
      </c>
      <c r="M196" s="4">
        <v>0.12615485358805359</v>
      </c>
      <c r="N196" s="3" t="str">
        <f>INDEX(Table5_2[Objective], MATCH(L196,Table5_2[Campaign_Name], 0))</f>
        <v>Brand Engagement</v>
      </c>
    </row>
    <row r="197" spans="1:14" x14ac:dyDescent="0.3">
      <c r="A197" s="3" t="s">
        <v>241</v>
      </c>
      <c r="B197" s="3" t="s">
        <v>18</v>
      </c>
      <c r="C197" s="2">
        <v>45923</v>
      </c>
      <c r="D197" s="3" t="s">
        <v>23</v>
      </c>
      <c r="E197" s="3" t="s">
        <v>366</v>
      </c>
      <c r="F197" s="3">
        <v>17147</v>
      </c>
      <c r="G197" s="3">
        <v>286</v>
      </c>
      <c r="H197" s="3">
        <v>291</v>
      </c>
      <c r="I197" s="3">
        <v>2439</v>
      </c>
      <c r="J197" s="3">
        <v>45631</v>
      </c>
      <c r="K197" s="3">
        <v>140494</v>
      </c>
      <c r="L197" s="3" t="s">
        <v>20</v>
      </c>
      <c r="M197" s="4">
        <v>0.12615485358805359</v>
      </c>
      <c r="N197" s="3" t="str">
        <f>INDEX(Table5_2[Objective], MATCH(L197,Table5_2[Campaign_Name], 0))</f>
        <v>Brand Engagement</v>
      </c>
    </row>
    <row r="198" spans="1:14" x14ac:dyDescent="0.3">
      <c r="A198" s="3" t="s">
        <v>58</v>
      </c>
      <c r="B198" s="3" t="s">
        <v>18</v>
      </c>
      <c r="C198" s="2">
        <v>45680</v>
      </c>
      <c r="D198" s="3" t="s">
        <v>27</v>
      </c>
      <c r="E198" s="3" t="s">
        <v>365</v>
      </c>
      <c r="F198" s="3">
        <v>23168</v>
      </c>
      <c r="G198" s="3">
        <v>1265</v>
      </c>
      <c r="H198" s="3">
        <v>441</v>
      </c>
      <c r="I198" s="3">
        <v>1612</v>
      </c>
      <c r="J198" s="3">
        <v>66615</v>
      </c>
      <c r="K198" s="3">
        <v>197795</v>
      </c>
      <c r="L198" s="3" t="s">
        <v>29</v>
      </c>
      <c r="M198" s="4">
        <v>0.12575646502692181</v>
      </c>
      <c r="N198" s="3" t="str">
        <f>INDEX(Table5_2[Objective], MATCH(L198,Table5_2[Campaign_Name], 0))</f>
        <v>Product Launch</v>
      </c>
    </row>
    <row r="199" spans="1:14" x14ac:dyDescent="0.3">
      <c r="A199" s="3" t="s">
        <v>58</v>
      </c>
      <c r="B199" s="3" t="s">
        <v>18</v>
      </c>
      <c r="C199" s="2">
        <v>45680</v>
      </c>
      <c r="D199" s="3" t="s">
        <v>27</v>
      </c>
      <c r="E199" s="3" t="s">
        <v>359</v>
      </c>
      <c r="F199" s="3">
        <v>23168</v>
      </c>
      <c r="G199" s="3">
        <v>1265</v>
      </c>
      <c r="H199" s="3">
        <v>441</v>
      </c>
      <c r="I199" s="3">
        <v>1612</v>
      </c>
      <c r="J199" s="3">
        <v>66615</v>
      </c>
      <c r="K199" s="3">
        <v>197795</v>
      </c>
      <c r="L199" s="3" t="s">
        <v>29</v>
      </c>
      <c r="M199" s="4">
        <v>0.12575646502692181</v>
      </c>
      <c r="N199" s="3" t="str">
        <f>INDEX(Table5_2[Objective], MATCH(L199,Table5_2[Campaign_Name], 0))</f>
        <v>Product Launch</v>
      </c>
    </row>
    <row r="200" spans="1:14" x14ac:dyDescent="0.3">
      <c r="A200" s="3" t="s">
        <v>307</v>
      </c>
      <c r="B200" s="3" t="s">
        <v>40</v>
      </c>
      <c r="C200" s="2">
        <v>45582</v>
      </c>
      <c r="D200" s="3" t="s">
        <v>27</v>
      </c>
      <c r="E200" s="3" t="s">
        <v>357</v>
      </c>
      <c r="F200" s="3">
        <v>18608</v>
      </c>
      <c r="G200" s="3">
        <v>1338</v>
      </c>
      <c r="H200" s="3">
        <v>365</v>
      </c>
      <c r="I200" s="3">
        <v>2289</v>
      </c>
      <c r="J200" s="3">
        <v>20785</v>
      </c>
      <c r="K200" s="3">
        <v>161999</v>
      </c>
      <c r="L200" s="3" t="s">
        <v>16</v>
      </c>
      <c r="M200" s="4">
        <v>0.12537731714393299</v>
      </c>
      <c r="N200" s="3" t="str">
        <f>INDEX(Table5_2[Objective], MATCH(L200,Table5_2[Campaign_Name], 0))</f>
        <v>Health &amp; Fitness Awareness</v>
      </c>
    </row>
    <row r="201" spans="1:14" x14ac:dyDescent="0.3">
      <c r="A201" s="3" t="s">
        <v>307</v>
      </c>
      <c r="B201" s="3" t="s">
        <v>40</v>
      </c>
      <c r="C201" s="2">
        <v>45582</v>
      </c>
      <c r="D201" s="3" t="s">
        <v>27</v>
      </c>
      <c r="E201" s="3" t="s">
        <v>358</v>
      </c>
      <c r="F201" s="3">
        <v>18608</v>
      </c>
      <c r="G201" s="3">
        <v>1338</v>
      </c>
      <c r="H201" s="3">
        <v>365</v>
      </c>
      <c r="I201" s="3">
        <v>2289</v>
      </c>
      <c r="J201" s="3">
        <v>20785</v>
      </c>
      <c r="K201" s="3">
        <v>161999</v>
      </c>
      <c r="L201" s="3" t="s">
        <v>16</v>
      </c>
      <c r="M201" s="4">
        <v>0.12537731714393299</v>
      </c>
      <c r="N201" s="3" t="str">
        <f>INDEX(Table5_2[Objective], MATCH(L201,Table5_2[Campaign_Name], 0))</f>
        <v>Health &amp; Fitness Awareness</v>
      </c>
    </row>
    <row r="202" spans="1:14" x14ac:dyDescent="0.3">
      <c r="A202" s="3" t="s">
        <v>167</v>
      </c>
      <c r="B202" s="3" t="s">
        <v>18</v>
      </c>
      <c r="C202" s="2">
        <v>45586</v>
      </c>
      <c r="D202" s="3" t="s">
        <v>14</v>
      </c>
      <c r="E202" s="3" t="s">
        <v>365</v>
      </c>
      <c r="F202" s="3">
        <v>20271</v>
      </c>
      <c r="G202" s="3">
        <v>512</v>
      </c>
      <c r="H202" s="3">
        <v>286</v>
      </c>
      <c r="I202" s="3">
        <v>1982</v>
      </c>
      <c r="J202" s="3">
        <v>43225</v>
      </c>
      <c r="K202" s="3">
        <v>168335</v>
      </c>
      <c r="L202" s="3" t="s">
        <v>29</v>
      </c>
      <c r="M202" s="4">
        <v>0.12516113701844536</v>
      </c>
      <c r="N202" s="3" t="str">
        <f>INDEX(Table5_2[Objective], MATCH(L202,Table5_2[Campaign_Name], 0))</f>
        <v>Product Launch</v>
      </c>
    </row>
    <row r="203" spans="1:14" x14ac:dyDescent="0.3">
      <c r="A203" s="3" t="s">
        <v>167</v>
      </c>
      <c r="B203" s="3" t="s">
        <v>18</v>
      </c>
      <c r="C203" s="2">
        <v>45586</v>
      </c>
      <c r="D203" s="3" t="s">
        <v>14</v>
      </c>
      <c r="E203" s="3" t="s">
        <v>359</v>
      </c>
      <c r="F203" s="3">
        <v>20271</v>
      </c>
      <c r="G203" s="3">
        <v>512</v>
      </c>
      <c r="H203" s="3">
        <v>286</v>
      </c>
      <c r="I203" s="3">
        <v>1982</v>
      </c>
      <c r="J203" s="3">
        <v>43225</v>
      </c>
      <c r="K203" s="3">
        <v>168335</v>
      </c>
      <c r="L203" s="3" t="s">
        <v>29</v>
      </c>
      <c r="M203" s="4">
        <v>0.12516113701844536</v>
      </c>
      <c r="N203" s="3" t="str">
        <f>INDEX(Table5_2[Objective], MATCH(L203,Table5_2[Campaign_Name], 0))</f>
        <v>Product Launch</v>
      </c>
    </row>
    <row r="204" spans="1:14" x14ac:dyDescent="0.3">
      <c r="A204" s="3" t="s">
        <v>71</v>
      </c>
      <c r="B204" s="3" t="s">
        <v>22</v>
      </c>
      <c r="C204" s="2">
        <v>45766</v>
      </c>
      <c r="D204" s="3" t="s">
        <v>34</v>
      </c>
      <c r="E204" s="3" t="s">
        <v>64</v>
      </c>
      <c r="F204" s="3">
        <v>20384</v>
      </c>
      <c r="G204" s="3">
        <v>344</v>
      </c>
      <c r="H204" s="3">
        <v>956</v>
      </c>
      <c r="I204" s="3">
        <v>655</v>
      </c>
      <c r="J204" s="3">
        <v>67621</v>
      </c>
      <c r="K204" s="3">
        <v>175720</v>
      </c>
      <c r="L204" s="3" t="s">
        <v>25</v>
      </c>
      <c r="M204" s="4">
        <v>0.12340086501251991</v>
      </c>
      <c r="N204" s="3" t="str">
        <f>INDEX(Table5_2[Objective], MATCH(L204,Table5_2[Campaign_Name], 0))</f>
        <v>Sustainability Branding</v>
      </c>
    </row>
    <row r="205" spans="1:14" x14ac:dyDescent="0.3">
      <c r="A205" s="3" t="s">
        <v>180</v>
      </c>
      <c r="B205" s="3" t="s">
        <v>18</v>
      </c>
      <c r="C205" s="2">
        <v>45593</v>
      </c>
      <c r="D205" s="3" t="s">
        <v>34</v>
      </c>
      <c r="E205" s="3" t="s">
        <v>367</v>
      </c>
      <c r="F205" s="3">
        <v>8981</v>
      </c>
      <c r="G205" s="3">
        <v>1138</v>
      </c>
      <c r="H205" s="3">
        <v>764</v>
      </c>
      <c r="I205" s="3">
        <v>2555</v>
      </c>
      <c r="J205" s="3">
        <v>92810</v>
      </c>
      <c r="K205" s="3">
        <v>88320</v>
      </c>
      <c r="L205" s="3" t="s">
        <v>45</v>
      </c>
      <c r="M205" s="4">
        <v>0.1232223731884058</v>
      </c>
      <c r="N205" s="3" t="str">
        <f>INDEX(Table5_2[Objective], MATCH(L205,Table5_2[Campaign_Name], 0))</f>
        <v>Product Promotion</v>
      </c>
    </row>
    <row r="206" spans="1:14" x14ac:dyDescent="0.3">
      <c r="A206" s="3" t="s">
        <v>180</v>
      </c>
      <c r="B206" s="3" t="s">
        <v>18</v>
      </c>
      <c r="C206" s="2">
        <v>45593</v>
      </c>
      <c r="D206" s="3" t="s">
        <v>34</v>
      </c>
      <c r="E206" s="3" t="s">
        <v>32</v>
      </c>
      <c r="F206" s="3">
        <v>8981</v>
      </c>
      <c r="G206" s="3">
        <v>1138</v>
      </c>
      <c r="H206" s="3">
        <v>764</v>
      </c>
      <c r="I206" s="3">
        <v>2555</v>
      </c>
      <c r="J206" s="3">
        <v>92810</v>
      </c>
      <c r="K206" s="3">
        <v>88320</v>
      </c>
      <c r="L206" s="3" t="s">
        <v>45</v>
      </c>
      <c r="M206" s="4">
        <v>0.1232223731884058</v>
      </c>
      <c r="N206" s="3" t="str">
        <f>INDEX(Table5_2[Objective], MATCH(L206,Table5_2[Campaign_Name], 0))</f>
        <v>Product Promotion</v>
      </c>
    </row>
    <row r="207" spans="1:14" x14ac:dyDescent="0.3">
      <c r="A207" s="3" t="s">
        <v>193</v>
      </c>
      <c r="B207" s="3" t="s">
        <v>13</v>
      </c>
      <c r="C207" s="2">
        <v>45496</v>
      </c>
      <c r="D207" s="3" t="s">
        <v>27</v>
      </c>
      <c r="E207" s="3" t="s">
        <v>367</v>
      </c>
      <c r="F207" s="3">
        <v>24877</v>
      </c>
      <c r="G207" s="3">
        <v>262</v>
      </c>
      <c r="H207" s="3">
        <v>513</v>
      </c>
      <c r="I207" s="3">
        <v>648</v>
      </c>
      <c r="J207" s="3">
        <v>47544</v>
      </c>
      <c r="K207" s="3">
        <v>208280</v>
      </c>
      <c r="L207" s="3" t="s">
        <v>25</v>
      </c>
      <c r="M207" s="4">
        <v>0.12316112924908777</v>
      </c>
      <c r="N207" s="3" t="str">
        <f>INDEX(Table5_2[Objective], MATCH(L207,Table5_2[Campaign_Name], 0))</f>
        <v>Sustainability Branding</v>
      </c>
    </row>
    <row r="208" spans="1:14" x14ac:dyDescent="0.3">
      <c r="A208" s="3" t="s">
        <v>193</v>
      </c>
      <c r="B208" s="3" t="s">
        <v>13</v>
      </c>
      <c r="C208" s="2">
        <v>45496</v>
      </c>
      <c r="D208" s="3" t="s">
        <v>27</v>
      </c>
      <c r="E208" s="3" t="s">
        <v>32</v>
      </c>
      <c r="F208" s="3">
        <v>24877</v>
      </c>
      <c r="G208" s="3">
        <v>262</v>
      </c>
      <c r="H208" s="3">
        <v>513</v>
      </c>
      <c r="I208" s="3">
        <v>648</v>
      </c>
      <c r="J208" s="3">
        <v>47544</v>
      </c>
      <c r="K208" s="3">
        <v>208280</v>
      </c>
      <c r="L208" s="3" t="s">
        <v>25</v>
      </c>
      <c r="M208" s="4">
        <v>0.12316112924908777</v>
      </c>
      <c r="N208" s="3" t="str">
        <f>INDEX(Table5_2[Objective], MATCH(L208,Table5_2[Campaign_Name], 0))</f>
        <v>Sustainability Branding</v>
      </c>
    </row>
    <row r="209" spans="1:14" x14ac:dyDescent="0.3">
      <c r="A209" s="3" t="s">
        <v>145</v>
      </c>
      <c r="B209" s="3" t="s">
        <v>40</v>
      </c>
      <c r="C209" s="2">
        <v>45512</v>
      </c>
      <c r="D209" s="3" t="s">
        <v>34</v>
      </c>
      <c r="E209" s="3" t="s">
        <v>363</v>
      </c>
      <c r="F209" s="3">
        <v>24355</v>
      </c>
      <c r="G209" s="3">
        <v>1087</v>
      </c>
      <c r="H209" s="3">
        <v>686</v>
      </c>
      <c r="I209" s="3">
        <v>2426</v>
      </c>
      <c r="J209" s="3">
        <v>24963</v>
      </c>
      <c r="K209" s="3">
        <v>212307</v>
      </c>
      <c r="L209" s="3" t="s">
        <v>16</v>
      </c>
      <c r="M209" s="4">
        <v>0.1230670679723231</v>
      </c>
      <c r="N209" s="3" t="str">
        <f>INDEX(Table5_2[Objective], MATCH(L209,Table5_2[Campaign_Name], 0))</f>
        <v>Health &amp; Fitness Awareness</v>
      </c>
    </row>
    <row r="210" spans="1:14" x14ac:dyDescent="0.3">
      <c r="A210" s="3" t="s">
        <v>145</v>
      </c>
      <c r="B210" s="3" t="s">
        <v>40</v>
      </c>
      <c r="C210" s="2">
        <v>45512</v>
      </c>
      <c r="D210" s="3" t="s">
        <v>34</v>
      </c>
      <c r="E210" s="3" t="s">
        <v>364</v>
      </c>
      <c r="F210" s="3">
        <v>24355</v>
      </c>
      <c r="G210" s="3">
        <v>1087</v>
      </c>
      <c r="H210" s="3">
        <v>686</v>
      </c>
      <c r="I210" s="3">
        <v>2426</v>
      </c>
      <c r="J210" s="3">
        <v>24963</v>
      </c>
      <c r="K210" s="3">
        <v>212307</v>
      </c>
      <c r="L210" s="3" t="s">
        <v>16</v>
      </c>
      <c r="M210" s="4">
        <v>0.1230670679723231</v>
      </c>
      <c r="N210" s="3" t="str">
        <f>INDEX(Table5_2[Objective], MATCH(L210,Table5_2[Campaign_Name], 0))</f>
        <v>Health &amp; Fitness Awareness</v>
      </c>
    </row>
    <row r="211" spans="1:14" x14ac:dyDescent="0.3">
      <c r="A211" s="3" t="s">
        <v>253</v>
      </c>
      <c r="B211" s="3" t="s">
        <v>18</v>
      </c>
      <c r="C211" s="2">
        <v>45926</v>
      </c>
      <c r="D211" s="3" t="s">
        <v>34</v>
      </c>
      <c r="E211" s="3" t="s">
        <v>353</v>
      </c>
      <c r="F211" s="3">
        <v>16369</v>
      </c>
      <c r="G211" s="3">
        <v>1452</v>
      </c>
      <c r="H211" s="3">
        <v>493</v>
      </c>
      <c r="I211" s="3">
        <v>1217</v>
      </c>
      <c r="J211" s="3">
        <v>91440</v>
      </c>
      <c r="K211" s="3">
        <v>149834</v>
      </c>
      <c r="L211" s="3" t="s">
        <v>20</v>
      </c>
      <c r="M211" s="4">
        <v>0.12222859965027964</v>
      </c>
      <c r="N211" s="3" t="str">
        <f>INDEX(Table5_2[Objective], MATCH(L211,Table5_2[Campaign_Name], 0))</f>
        <v>Brand Engagement</v>
      </c>
    </row>
    <row r="212" spans="1:14" x14ac:dyDescent="0.3">
      <c r="A212" s="3" t="s">
        <v>253</v>
      </c>
      <c r="B212" s="3" t="s">
        <v>18</v>
      </c>
      <c r="C212" s="2">
        <v>45926</v>
      </c>
      <c r="D212" s="3" t="s">
        <v>34</v>
      </c>
      <c r="E212" s="3" t="s">
        <v>354</v>
      </c>
      <c r="F212" s="3">
        <v>16369</v>
      </c>
      <c r="G212" s="3">
        <v>1452</v>
      </c>
      <c r="H212" s="3">
        <v>493</v>
      </c>
      <c r="I212" s="3">
        <v>1217</v>
      </c>
      <c r="J212" s="3">
        <v>91440</v>
      </c>
      <c r="K212" s="3">
        <v>149834</v>
      </c>
      <c r="L212" s="3" t="s">
        <v>20</v>
      </c>
      <c r="M212" s="4">
        <v>0.12222859965027964</v>
      </c>
      <c r="N212" s="3" t="str">
        <f>INDEX(Table5_2[Objective], MATCH(L212,Table5_2[Campaign_Name], 0))</f>
        <v>Brand Engagement</v>
      </c>
    </row>
    <row r="213" spans="1:14" x14ac:dyDescent="0.3">
      <c r="A213" s="3" t="s">
        <v>101</v>
      </c>
      <c r="B213" s="3" t="s">
        <v>40</v>
      </c>
      <c r="C213" s="2">
        <v>45499</v>
      </c>
      <c r="D213" s="3" t="s">
        <v>23</v>
      </c>
      <c r="E213" s="3" t="s">
        <v>363</v>
      </c>
      <c r="F213" s="3">
        <v>12176</v>
      </c>
      <c r="G213" s="3">
        <v>1005</v>
      </c>
      <c r="H213" s="3">
        <v>862</v>
      </c>
      <c r="I213" s="3">
        <v>974</v>
      </c>
      <c r="J213" s="3">
        <v>2285</v>
      </c>
      <c r="K213" s="3">
        <v>116619</v>
      </c>
      <c r="L213" s="3" t="s">
        <v>29</v>
      </c>
      <c r="M213" s="4">
        <v>0.12041777068916729</v>
      </c>
      <c r="N213" s="3" t="str">
        <f>INDEX(Table5_2[Objective], MATCH(L213,Table5_2[Campaign_Name], 0))</f>
        <v>Product Launch</v>
      </c>
    </row>
    <row r="214" spans="1:14" x14ac:dyDescent="0.3">
      <c r="A214" s="3" t="s">
        <v>101</v>
      </c>
      <c r="B214" s="3" t="s">
        <v>40</v>
      </c>
      <c r="C214" s="2">
        <v>45499</v>
      </c>
      <c r="D214" s="3" t="s">
        <v>23</v>
      </c>
      <c r="E214" s="3" t="s">
        <v>364</v>
      </c>
      <c r="F214" s="3">
        <v>12176</v>
      </c>
      <c r="G214" s="3">
        <v>1005</v>
      </c>
      <c r="H214" s="3">
        <v>862</v>
      </c>
      <c r="I214" s="3">
        <v>974</v>
      </c>
      <c r="J214" s="3">
        <v>2285</v>
      </c>
      <c r="K214" s="3">
        <v>116619</v>
      </c>
      <c r="L214" s="3" t="s">
        <v>29</v>
      </c>
      <c r="M214" s="4">
        <v>0.12041777068916729</v>
      </c>
      <c r="N214" s="3" t="str">
        <f>INDEX(Table5_2[Objective], MATCH(L214,Table5_2[Campaign_Name], 0))</f>
        <v>Product Launch</v>
      </c>
    </row>
    <row r="215" spans="1:14" x14ac:dyDescent="0.3">
      <c r="A215" s="3" t="s">
        <v>264</v>
      </c>
      <c r="B215" s="3" t="s">
        <v>40</v>
      </c>
      <c r="C215" s="2">
        <v>45474</v>
      </c>
      <c r="D215" s="3" t="s">
        <v>27</v>
      </c>
      <c r="E215" s="3" t="s">
        <v>357</v>
      </c>
      <c r="F215" s="3">
        <v>3761</v>
      </c>
      <c r="G215" s="3">
        <v>651</v>
      </c>
      <c r="H215" s="3">
        <v>493</v>
      </c>
      <c r="I215" s="3">
        <v>2294</v>
      </c>
      <c r="J215" s="3">
        <v>71696</v>
      </c>
      <c r="K215" s="3">
        <v>41177</v>
      </c>
      <c r="L215" s="3" t="s">
        <v>16</v>
      </c>
      <c r="M215" s="4">
        <v>0.11911989702989532</v>
      </c>
      <c r="N215" s="3" t="str">
        <f>INDEX(Table5_2[Objective], MATCH(L215,Table5_2[Campaign_Name], 0))</f>
        <v>Health &amp; Fitness Awareness</v>
      </c>
    </row>
    <row r="216" spans="1:14" x14ac:dyDescent="0.3">
      <c r="A216" s="3" t="s">
        <v>264</v>
      </c>
      <c r="B216" s="3" t="s">
        <v>40</v>
      </c>
      <c r="C216" s="2">
        <v>45474</v>
      </c>
      <c r="D216" s="3" t="s">
        <v>27</v>
      </c>
      <c r="E216" s="3" t="s">
        <v>358</v>
      </c>
      <c r="F216" s="3">
        <v>3761</v>
      </c>
      <c r="G216" s="3">
        <v>651</v>
      </c>
      <c r="H216" s="3">
        <v>493</v>
      </c>
      <c r="I216" s="3">
        <v>2294</v>
      </c>
      <c r="J216" s="3">
        <v>71696</v>
      </c>
      <c r="K216" s="3">
        <v>41177</v>
      </c>
      <c r="L216" s="3" t="s">
        <v>16</v>
      </c>
      <c r="M216" s="4">
        <v>0.11911989702989532</v>
      </c>
      <c r="N216" s="3" t="str">
        <f>INDEX(Table5_2[Objective], MATCH(L216,Table5_2[Campaign_Name], 0))</f>
        <v>Health &amp; Fitness Awareness</v>
      </c>
    </row>
    <row r="217" spans="1:14" x14ac:dyDescent="0.3">
      <c r="A217" s="3" t="s">
        <v>270</v>
      </c>
      <c r="B217" s="3" t="s">
        <v>18</v>
      </c>
      <c r="C217" s="2">
        <v>45444</v>
      </c>
      <c r="D217" s="3" t="s">
        <v>14</v>
      </c>
      <c r="E217" s="3" t="s">
        <v>361</v>
      </c>
      <c r="F217" s="3">
        <v>19844</v>
      </c>
      <c r="G217" s="3">
        <v>1022</v>
      </c>
      <c r="H217" s="3">
        <v>860</v>
      </c>
      <c r="I217" s="3">
        <v>2570</v>
      </c>
      <c r="J217" s="3">
        <v>23719</v>
      </c>
      <c r="K217" s="3">
        <v>182628</v>
      </c>
      <c r="L217" s="3" t="s">
        <v>25</v>
      </c>
      <c r="M217" s="4">
        <v>0.11896313818253498</v>
      </c>
      <c r="N217" s="3" t="str">
        <f>INDEX(Table5_2[Objective], MATCH(L217,Table5_2[Campaign_Name], 0))</f>
        <v>Sustainability Branding</v>
      </c>
    </row>
    <row r="218" spans="1:14" x14ac:dyDescent="0.3">
      <c r="A218" s="3" t="s">
        <v>270</v>
      </c>
      <c r="B218" s="3" t="s">
        <v>18</v>
      </c>
      <c r="C218" s="2">
        <v>45444</v>
      </c>
      <c r="D218" s="3" t="s">
        <v>14</v>
      </c>
      <c r="E218" s="3" t="s">
        <v>362</v>
      </c>
      <c r="F218" s="3">
        <v>19844</v>
      </c>
      <c r="G218" s="3">
        <v>1022</v>
      </c>
      <c r="H218" s="3">
        <v>860</v>
      </c>
      <c r="I218" s="3">
        <v>2570</v>
      </c>
      <c r="J218" s="3">
        <v>23719</v>
      </c>
      <c r="K218" s="3">
        <v>182628</v>
      </c>
      <c r="L218" s="3" t="s">
        <v>25</v>
      </c>
      <c r="M218" s="4">
        <v>0.11896313818253498</v>
      </c>
      <c r="N218" s="3" t="str">
        <f>INDEX(Table5_2[Objective], MATCH(L218,Table5_2[Campaign_Name], 0))</f>
        <v>Sustainability Branding</v>
      </c>
    </row>
    <row r="219" spans="1:14" x14ac:dyDescent="0.3">
      <c r="A219" s="3" t="s">
        <v>143</v>
      </c>
      <c r="B219" s="3" t="s">
        <v>40</v>
      </c>
      <c r="C219" s="2">
        <v>45464</v>
      </c>
      <c r="D219" s="3" t="s">
        <v>27</v>
      </c>
      <c r="E219" s="3" t="s">
        <v>359</v>
      </c>
      <c r="F219" s="3">
        <v>21216</v>
      </c>
      <c r="G219" s="3">
        <v>1207</v>
      </c>
      <c r="H219" s="3">
        <v>859</v>
      </c>
      <c r="I219" s="3">
        <v>328</v>
      </c>
      <c r="J219" s="3">
        <v>91296</v>
      </c>
      <c r="K219" s="3">
        <v>196683</v>
      </c>
      <c r="L219" s="3" t="s">
        <v>25</v>
      </c>
      <c r="M219" s="4">
        <v>0.1183732198512327</v>
      </c>
      <c r="N219" s="3" t="str">
        <f>INDEX(Table5_2[Objective], MATCH(L219,Table5_2[Campaign_Name], 0))</f>
        <v>Sustainability Branding</v>
      </c>
    </row>
    <row r="220" spans="1:14" x14ac:dyDescent="0.3">
      <c r="A220" s="3" t="s">
        <v>143</v>
      </c>
      <c r="B220" s="3" t="s">
        <v>40</v>
      </c>
      <c r="C220" s="2">
        <v>45464</v>
      </c>
      <c r="D220" s="3" t="s">
        <v>27</v>
      </c>
      <c r="E220" s="3" t="s">
        <v>360</v>
      </c>
      <c r="F220" s="3">
        <v>21216</v>
      </c>
      <c r="G220" s="3">
        <v>1207</v>
      </c>
      <c r="H220" s="3">
        <v>859</v>
      </c>
      <c r="I220" s="3">
        <v>328</v>
      </c>
      <c r="J220" s="3">
        <v>91296</v>
      </c>
      <c r="K220" s="3">
        <v>196683</v>
      </c>
      <c r="L220" s="3" t="s">
        <v>25</v>
      </c>
      <c r="M220" s="4">
        <v>0.1183732198512327</v>
      </c>
      <c r="N220" s="3" t="str">
        <f>INDEX(Table5_2[Objective], MATCH(L220,Table5_2[Campaign_Name], 0))</f>
        <v>Sustainability Branding</v>
      </c>
    </row>
    <row r="221" spans="1:14" x14ac:dyDescent="0.3">
      <c r="A221" s="3" t="s">
        <v>98</v>
      </c>
      <c r="B221" s="3" t="s">
        <v>22</v>
      </c>
      <c r="C221" s="2">
        <v>45504</v>
      </c>
      <c r="D221" s="3" t="s">
        <v>14</v>
      </c>
      <c r="E221" s="3" t="s">
        <v>353</v>
      </c>
      <c r="F221" s="3">
        <v>12357</v>
      </c>
      <c r="G221" s="3">
        <v>716</v>
      </c>
      <c r="H221" s="3">
        <v>599</v>
      </c>
      <c r="I221" s="3">
        <v>999</v>
      </c>
      <c r="J221" s="3">
        <v>89591</v>
      </c>
      <c r="K221" s="3">
        <v>116367</v>
      </c>
      <c r="L221" s="3" t="s">
        <v>16</v>
      </c>
      <c r="M221" s="4">
        <v>0.11749035379446063</v>
      </c>
      <c r="N221" s="3" t="str">
        <f>INDEX(Table5_2[Objective], MATCH(L221,Table5_2[Campaign_Name], 0))</f>
        <v>Health &amp; Fitness Awareness</v>
      </c>
    </row>
    <row r="222" spans="1:14" x14ac:dyDescent="0.3">
      <c r="A222" s="3" t="s">
        <v>98</v>
      </c>
      <c r="B222" s="3" t="s">
        <v>22</v>
      </c>
      <c r="C222" s="2">
        <v>45504</v>
      </c>
      <c r="D222" s="3" t="s">
        <v>14</v>
      </c>
      <c r="E222" s="3" t="s">
        <v>354</v>
      </c>
      <c r="F222" s="3">
        <v>12357</v>
      </c>
      <c r="G222" s="3">
        <v>716</v>
      </c>
      <c r="H222" s="3">
        <v>599</v>
      </c>
      <c r="I222" s="3">
        <v>999</v>
      </c>
      <c r="J222" s="3">
        <v>89591</v>
      </c>
      <c r="K222" s="3">
        <v>116367</v>
      </c>
      <c r="L222" s="3" t="s">
        <v>16</v>
      </c>
      <c r="M222" s="4">
        <v>0.11749035379446063</v>
      </c>
      <c r="N222" s="3" t="str">
        <f>INDEX(Table5_2[Objective], MATCH(L222,Table5_2[Campaign_Name], 0))</f>
        <v>Health &amp; Fitness Awareness</v>
      </c>
    </row>
    <row r="223" spans="1:14" x14ac:dyDescent="0.3">
      <c r="A223" s="3" t="s">
        <v>240</v>
      </c>
      <c r="B223" s="3" t="s">
        <v>22</v>
      </c>
      <c r="C223" s="2">
        <v>45922</v>
      </c>
      <c r="D223" s="3" t="s">
        <v>34</v>
      </c>
      <c r="E223" s="3" t="s">
        <v>32</v>
      </c>
      <c r="F223" s="3">
        <v>18509</v>
      </c>
      <c r="G223" s="3">
        <v>361</v>
      </c>
      <c r="H223" s="3">
        <v>578</v>
      </c>
      <c r="I223" s="3">
        <v>1409</v>
      </c>
      <c r="J223" s="3">
        <v>10569</v>
      </c>
      <c r="K223" s="3">
        <v>166969</v>
      </c>
      <c r="L223" s="3" t="s">
        <v>20</v>
      </c>
      <c r="M223" s="4">
        <v>0.11647671124580011</v>
      </c>
      <c r="N223" s="3" t="str">
        <f>INDEX(Table5_2[Objective], MATCH(L223,Table5_2[Campaign_Name], 0))</f>
        <v>Brand Engagement</v>
      </c>
    </row>
    <row r="224" spans="1:14" x14ac:dyDescent="0.3">
      <c r="A224" s="3" t="s">
        <v>286</v>
      </c>
      <c r="B224" s="3" t="s">
        <v>13</v>
      </c>
      <c r="C224" s="2">
        <v>45465</v>
      </c>
      <c r="D224" s="3" t="s">
        <v>23</v>
      </c>
      <c r="E224" s="3" t="s">
        <v>363</v>
      </c>
      <c r="F224" s="3">
        <v>7342</v>
      </c>
      <c r="G224" s="3">
        <v>906</v>
      </c>
      <c r="H224" s="3">
        <v>902</v>
      </c>
      <c r="I224" s="3">
        <v>1199</v>
      </c>
      <c r="J224" s="3">
        <v>68488</v>
      </c>
      <c r="K224" s="3">
        <v>79310</v>
      </c>
      <c r="L224" s="3" t="s">
        <v>16</v>
      </c>
      <c r="M224" s="4">
        <v>0.1153700668263775</v>
      </c>
      <c r="N224" s="3" t="str">
        <f>INDEX(Table5_2[Objective], MATCH(L224,Table5_2[Campaign_Name], 0))</f>
        <v>Health &amp; Fitness Awareness</v>
      </c>
    </row>
    <row r="225" spans="1:14" x14ac:dyDescent="0.3">
      <c r="A225" s="3" t="s">
        <v>286</v>
      </c>
      <c r="B225" s="3" t="s">
        <v>13</v>
      </c>
      <c r="C225" s="2">
        <v>45465</v>
      </c>
      <c r="D225" s="3" t="s">
        <v>23</v>
      </c>
      <c r="E225" s="3" t="s">
        <v>364</v>
      </c>
      <c r="F225" s="3">
        <v>7342</v>
      </c>
      <c r="G225" s="3">
        <v>906</v>
      </c>
      <c r="H225" s="3">
        <v>902</v>
      </c>
      <c r="I225" s="3">
        <v>1199</v>
      </c>
      <c r="J225" s="3">
        <v>68488</v>
      </c>
      <c r="K225" s="3">
        <v>79310</v>
      </c>
      <c r="L225" s="3" t="s">
        <v>16</v>
      </c>
      <c r="M225" s="4">
        <v>0.1153700668263775</v>
      </c>
      <c r="N225" s="3" t="str">
        <f>INDEX(Table5_2[Objective], MATCH(L225,Table5_2[Campaign_Name], 0))</f>
        <v>Health &amp; Fitness Awareness</v>
      </c>
    </row>
    <row r="226" spans="1:14" x14ac:dyDescent="0.3">
      <c r="A226" s="3" t="s">
        <v>131</v>
      </c>
      <c r="B226" s="3" t="s">
        <v>40</v>
      </c>
      <c r="C226" s="2">
        <v>45604</v>
      </c>
      <c r="D226" s="3" t="s">
        <v>23</v>
      </c>
      <c r="E226" s="3" t="s">
        <v>359</v>
      </c>
      <c r="F226" s="3">
        <v>23499</v>
      </c>
      <c r="G226" s="3">
        <v>562</v>
      </c>
      <c r="H226" s="3">
        <v>964</v>
      </c>
      <c r="I226" s="3">
        <v>2557</v>
      </c>
      <c r="J226" s="3">
        <v>56890</v>
      </c>
      <c r="K226" s="3">
        <v>218686</v>
      </c>
      <c r="L226" s="3" t="s">
        <v>29</v>
      </c>
      <c r="M226" s="4">
        <v>0.11443347996671026</v>
      </c>
      <c r="N226" s="3" t="str">
        <f>INDEX(Table5_2[Objective], MATCH(L226,Table5_2[Campaign_Name], 0))</f>
        <v>Product Launch</v>
      </c>
    </row>
    <row r="227" spans="1:14" x14ac:dyDescent="0.3">
      <c r="A227" s="3" t="s">
        <v>131</v>
      </c>
      <c r="B227" s="3" t="s">
        <v>40</v>
      </c>
      <c r="C227" s="2">
        <v>45604</v>
      </c>
      <c r="D227" s="3" t="s">
        <v>23</v>
      </c>
      <c r="E227" s="3" t="s">
        <v>360</v>
      </c>
      <c r="F227" s="3">
        <v>23499</v>
      </c>
      <c r="G227" s="3">
        <v>562</v>
      </c>
      <c r="H227" s="3">
        <v>964</v>
      </c>
      <c r="I227" s="3">
        <v>2557</v>
      </c>
      <c r="J227" s="3">
        <v>56890</v>
      </c>
      <c r="K227" s="3">
        <v>218686</v>
      </c>
      <c r="L227" s="3" t="s">
        <v>29</v>
      </c>
      <c r="M227" s="4">
        <v>0.11443347996671026</v>
      </c>
      <c r="N227" s="3" t="str">
        <f>INDEX(Table5_2[Objective], MATCH(L227,Table5_2[Campaign_Name], 0))</f>
        <v>Product Launch</v>
      </c>
    </row>
    <row r="228" spans="1:14" x14ac:dyDescent="0.3">
      <c r="A228" s="3" t="s">
        <v>179</v>
      </c>
      <c r="B228" s="3" t="s">
        <v>18</v>
      </c>
      <c r="C228" s="2">
        <v>45567</v>
      </c>
      <c r="D228" s="3" t="s">
        <v>14</v>
      </c>
      <c r="E228" s="3" t="s">
        <v>357</v>
      </c>
      <c r="F228" s="3">
        <v>15716</v>
      </c>
      <c r="G228" s="3">
        <v>839</v>
      </c>
      <c r="H228" s="3">
        <v>639</v>
      </c>
      <c r="I228" s="3">
        <v>2839</v>
      </c>
      <c r="J228" s="3">
        <v>349</v>
      </c>
      <c r="K228" s="3">
        <v>150677</v>
      </c>
      <c r="L228" s="3" t="s">
        <v>25</v>
      </c>
      <c r="M228" s="4">
        <v>0.11411164278556117</v>
      </c>
      <c r="N228" s="3" t="str">
        <f>INDEX(Table5_2[Objective], MATCH(L228,Table5_2[Campaign_Name], 0))</f>
        <v>Sustainability Branding</v>
      </c>
    </row>
    <row r="229" spans="1:14" x14ac:dyDescent="0.3">
      <c r="A229" s="3" t="s">
        <v>179</v>
      </c>
      <c r="B229" s="3" t="s">
        <v>18</v>
      </c>
      <c r="C229" s="2">
        <v>45567</v>
      </c>
      <c r="D229" s="3" t="s">
        <v>14</v>
      </c>
      <c r="E229" s="3" t="s">
        <v>358</v>
      </c>
      <c r="F229" s="3">
        <v>15716</v>
      </c>
      <c r="G229" s="3">
        <v>839</v>
      </c>
      <c r="H229" s="3">
        <v>639</v>
      </c>
      <c r="I229" s="3">
        <v>2839</v>
      </c>
      <c r="J229" s="3">
        <v>349</v>
      </c>
      <c r="K229" s="3">
        <v>150677</v>
      </c>
      <c r="L229" s="3" t="s">
        <v>25</v>
      </c>
      <c r="M229" s="4">
        <v>0.11411164278556117</v>
      </c>
      <c r="N229" s="3" t="str">
        <f>INDEX(Table5_2[Objective], MATCH(L229,Table5_2[Campaign_Name], 0))</f>
        <v>Sustainability Branding</v>
      </c>
    </row>
    <row r="230" spans="1:14" x14ac:dyDescent="0.3">
      <c r="A230" s="3" t="s">
        <v>134</v>
      </c>
      <c r="B230" s="3" t="s">
        <v>18</v>
      </c>
      <c r="C230" s="2">
        <v>45453</v>
      </c>
      <c r="D230" s="3" t="s">
        <v>27</v>
      </c>
      <c r="E230" s="3" t="s">
        <v>361</v>
      </c>
      <c r="F230" s="3">
        <v>21561</v>
      </c>
      <c r="G230" s="3">
        <v>340</v>
      </c>
      <c r="H230" s="3">
        <v>741</v>
      </c>
      <c r="I230" s="3">
        <v>986</v>
      </c>
      <c r="J230" s="3">
        <v>24826</v>
      </c>
      <c r="K230" s="3">
        <v>198492</v>
      </c>
      <c r="L230" s="3" t="s">
        <v>16</v>
      </c>
      <c r="M230" s="4">
        <v>0.11407008846704149</v>
      </c>
      <c r="N230" s="3" t="str">
        <f>INDEX(Table5_2[Objective], MATCH(L230,Table5_2[Campaign_Name], 0))</f>
        <v>Health &amp; Fitness Awareness</v>
      </c>
    </row>
    <row r="231" spans="1:14" x14ac:dyDescent="0.3">
      <c r="A231" s="3" t="s">
        <v>134</v>
      </c>
      <c r="B231" s="3" t="s">
        <v>18</v>
      </c>
      <c r="C231" s="2">
        <v>45453</v>
      </c>
      <c r="D231" s="3" t="s">
        <v>27</v>
      </c>
      <c r="E231" s="3" t="s">
        <v>362</v>
      </c>
      <c r="F231" s="3">
        <v>21561</v>
      </c>
      <c r="G231" s="3">
        <v>340</v>
      </c>
      <c r="H231" s="3">
        <v>741</v>
      </c>
      <c r="I231" s="3">
        <v>986</v>
      </c>
      <c r="J231" s="3">
        <v>24826</v>
      </c>
      <c r="K231" s="3">
        <v>198492</v>
      </c>
      <c r="L231" s="3" t="s">
        <v>16</v>
      </c>
      <c r="M231" s="4">
        <v>0.11407008846704149</v>
      </c>
      <c r="N231" s="3" t="str">
        <f>INDEX(Table5_2[Objective], MATCH(L231,Table5_2[Campaign_Name], 0))</f>
        <v>Health &amp; Fitness Awareness</v>
      </c>
    </row>
    <row r="232" spans="1:14" x14ac:dyDescent="0.3">
      <c r="A232" s="3" t="s">
        <v>197</v>
      </c>
      <c r="B232" s="3" t="s">
        <v>13</v>
      </c>
      <c r="C232" s="2">
        <v>45936</v>
      </c>
      <c r="D232" s="3" t="s">
        <v>27</v>
      </c>
      <c r="E232" s="3" t="s">
        <v>357</v>
      </c>
      <c r="F232" s="3">
        <v>22028</v>
      </c>
      <c r="G232" s="3">
        <v>355</v>
      </c>
      <c r="H232" s="3">
        <v>665</v>
      </c>
      <c r="I232" s="3">
        <v>1859</v>
      </c>
      <c r="J232" s="3">
        <v>50565</v>
      </c>
      <c r="K232" s="3">
        <v>202962</v>
      </c>
      <c r="L232" s="3" t="s">
        <v>20</v>
      </c>
      <c r="M232" s="4">
        <v>0.11355820301337197</v>
      </c>
      <c r="N232" s="3" t="str">
        <f>INDEX(Table5_2[Objective], MATCH(L232,Table5_2[Campaign_Name], 0))</f>
        <v>Brand Engagement</v>
      </c>
    </row>
    <row r="233" spans="1:14" x14ac:dyDescent="0.3">
      <c r="A233" s="3" t="s">
        <v>197</v>
      </c>
      <c r="B233" s="3" t="s">
        <v>13</v>
      </c>
      <c r="C233" s="2">
        <v>45936</v>
      </c>
      <c r="D233" s="3" t="s">
        <v>27</v>
      </c>
      <c r="E233" s="3" t="s">
        <v>358</v>
      </c>
      <c r="F233" s="3">
        <v>22028</v>
      </c>
      <c r="G233" s="3">
        <v>355</v>
      </c>
      <c r="H233" s="3">
        <v>665</v>
      </c>
      <c r="I233" s="3">
        <v>1859</v>
      </c>
      <c r="J233" s="3">
        <v>50565</v>
      </c>
      <c r="K233" s="3">
        <v>202962</v>
      </c>
      <c r="L233" s="3" t="s">
        <v>20</v>
      </c>
      <c r="M233" s="4">
        <v>0.11355820301337197</v>
      </c>
      <c r="N233" s="3" t="str">
        <f>INDEX(Table5_2[Objective], MATCH(L233,Table5_2[Campaign_Name], 0))</f>
        <v>Brand Engagement</v>
      </c>
    </row>
    <row r="234" spans="1:14" x14ac:dyDescent="0.3">
      <c r="A234" s="3" t="s">
        <v>61</v>
      </c>
      <c r="B234" s="3" t="s">
        <v>40</v>
      </c>
      <c r="C234" s="2">
        <v>45552</v>
      </c>
      <c r="D234" s="3" t="s">
        <v>23</v>
      </c>
      <c r="E234" s="3" t="s">
        <v>365</v>
      </c>
      <c r="F234" s="3">
        <v>20017</v>
      </c>
      <c r="G234" s="3">
        <v>495</v>
      </c>
      <c r="H234" s="3">
        <v>178</v>
      </c>
      <c r="I234" s="3">
        <v>2683</v>
      </c>
      <c r="J234" s="3">
        <v>32244</v>
      </c>
      <c r="K234" s="3">
        <v>182633</v>
      </c>
      <c r="L234" s="3" t="s">
        <v>16</v>
      </c>
      <c r="M234" s="4">
        <v>0.11328730295182141</v>
      </c>
      <c r="N234" s="3" t="str">
        <f>INDEX(Table5_2[Objective], MATCH(L234,Table5_2[Campaign_Name], 0))</f>
        <v>Health &amp; Fitness Awareness</v>
      </c>
    </row>
    <row r="235" spans="1:14" x14ac:dyDescent="0.3">
      <c r="A235" s="3" t="s">
        <v>61</v>
      </c>
      <c r="B235" s="3" t="s">
        <v>40</v>
      </c>
      <c r="C235" s="2">
        <v>45552</v>
      </c>
      <c r="D235" s="3" t="s">
        <v>23</v>
      </c>
      <c r="E235" s="3" t="s">
        <v>359</v>
      </c>
      <c r="F235" s="3">
        <v>20017</v>
      </c>
      <c r="G235" s="3">
        <v>495</v>
      </c>
      <c r="H235" s="3">
        <v>178</v>
      </c>
      <c r="I235" s="3">
        <v>2683</v>
      </c>
      <c r="J235" s="3">
        <v>32244</v>
      </c>
      <c r="K235" s="3">
        <v>182633</v>
      </c>
      <c r="L235" s="3" t="s">
        <v>16</v>
      </c>
      <c r="M235" s="4">
        <v>0.11328730295182141</v>
      </c>
      <c r="N235" s="3" t="str">
        <f>INDEX(Table5_2[Objective], MATCH(L235,Table5_2[Campaign_Name], 0))</f>
        <v>Health &amp; Fitness Awareness</v>
      </c>
    </row>
    <row r="236" spans="1:14" x14ac:dyDescent="0.3">
      <c r="A236" s="3" t="s">
        <v>164</v>
      </c>
      <c r="B236" s="3" t="s">
        <v>22</v>
      </c>
      <c r="C236" s="2">
        <v>45667</v>
      </c>
      <c r="D236" s="3" t="s">
        <v>34</v>
      </c>
      <c r="E236" s="3" t="s">
        <v>367</v>
      </c>
      <c r="F236" s="3">
        <v>14647</v>
      </c>
      <c r="G236" s="3">
        <v>1168</v>
      </c>
      <c r="H236" s="3">
        <v>484</v>
      </c>
      <c r="I236" s="3">
        <v>2650</v>
      </c>
      <c r="J236" s="3">
        <v>27217</v>
      </c>
      <c r="K236" s="3">
        <v>144061</v>
      </c>
      <c r="L236" s="3" t="s">
        <v>29</v>
      </c>
      <c r="M236" s="4">
        <v>0.11313957281984714</v>
      </c>
      <c r="N236" s="3" t="str">
        <f>INDEX(Table5_2[Objective], MATCH(L236,Table5_2[Campaign_Name], 0))</f>
        <v>Product Launch</v>
      </c>
    </row>
    <row r="237" spans="1:14" x14ac:dyDescent="0.3">
      <c r="A237" s="3" t="s">
        <v>164</v>
      </c>
      <c r="B237" s="3" t="s">
        <v>22</v>
      </c>
      <c r="C237" s="2">
        <v>45667</v>
      </c>
      <c r="D237" s="3" t="s">
        <v>34</v>
      </c>
      <c r="E237" s="3" t="s">
        <v>32</v>
      </c>
      <c r="F237" s="3">
        <v>14647</v>
      </c>
      <c r="G237" s="3">
        <v>1168</v>
      </c>
      <c r="H237" s="3">
        <v>484</v>
      </c>
      <c r="I237" s="3">
        <v>2650</v>
      </c>
      <c r="J237" s="3">
        <v>27217</v>
      </c>
      <c r="K237" s="3">
        <v>144061</v>
      </c>
      <c r="L237" s="3" t="s">
        <v>29</v>
      </c>
      <c r="M237" s="4">
        <v>0.11313957281984714</v>
      </c>
      <c r="N237" s="3" t="str">
        <f>INDEX(Table5_2[Objective], MATCH(L237,Table5_2[Campaign_Name], 0))</f>
        <v>Product Launch</v>
      </c>
    </row>
    <row r="238" spans="1:14" x14ac:dyDescent="0.3">
      <c r="A238" s="3" t="s">
        <v>195</v>
      </c>
      <c r="B238" s="3" t="s">
        <v>22</v>
      </c>
      <c r="C238" s="2">
        <v>45935</v>
      </c>
      <c r="D238" s="3" t="s">
        <v>23</v>
      </c>
      <c r="E238" s="3" t="s">
        <v>361</v>
      </c>
      <c r="F238" s="3">
        <v>21262</v>
      </c>
      <c r="G238" s="3">
        <v>861</v>
      </c>
      <c r="H238" s="3">
        <v>676</v>
      </c>
      <c r="I238" s="3">
        <v>2263</v>
      </c>
      <c r="J238" s="3">
        <v>12085</v>
      </c>
      <c r="K238" s="3">
        <v>201731</v>
      </c>
      <c r="L238" s="3" t="s">
        <v>20</v>
      </c>
      <c r="M238" s="4">
        <v>0.11301683925623726</v>
      </c>
      <c r="N238" s="3" t="str">
        <f>INDEX(Table5_2[Objective], MATCH(L238,Table5_2[Campaign_Name], 0))</f>
        <v>Brand Engagement</v>
      </c>
    </row>
    <row r="239" spans="1:14" x14ac:dyDescent="0.3">
      <c r="A239" s="3" t="s">
        <v>195</v>
      </c>
      <c r="B239" s="3" t="s">
        <v>22</v>
      </c>
      <c r="C239" s="2">
        <v>45935</v>
      </c>
      <c r="D239" s="3" t="s">
        <v>23</v>
      </c>
      <c r="E239" s="3" t="s">
        <v>362</v>
      </c>
      <c r="F239" s="3">
        <v>21262</v>
      </c>
      <c r="G239" s="3">
        <v>861</v>
      </c>
      <c r="H239" s="3">
        <v>676</v>
      </c>
      <c r="I239" s="3">
        <v>2263</v>
      </c>
      <c r="J239" s="3">
        <v>12085</v>
      </c>
      <c r="K239" s="3">
        <v>201731</v>
      </c>
      <c r="L239" s="3" t="s">
        <v>20</v>
      </c>
      <c r="M239" s="4">
        <v>0.11301683925623726</v>
      </c>
      <c r="N239" s="3" t="str">
        <f>INDEX(Table5_2[Objective], MATCH(L239,Table5_2[Campaign_Name], 0))</f>
        <v>Brand Engagement</v>
      </c>
    </row>
    <row r="240" spans="1:14" x14ac:dyDescent="0.3">
      <c r="A240" s="3" t="s">
        <v>231</v>
      </c>
      <c r="B240" s="3" t="s">
        <v>13</v>
      </c>
      <c r="C240" s="2">
        <v>45519</v>
      </c>
      <c r="D240" s="3" t="s">
        <v>14</v>
      </c>
      <c r="E240" s="3" t="s">
        <v>365</v>
      </c>
      <c r="F240" s="3">
        <v>15503</v>
      </c>
      <c r="G240" s="3">
        <v>313</v>
      </c>
      <c r="H240" s="3">
        <v>388</v>
      </c>
      <c r="I240" s="3">
        <v>1078</v>
      </c>
      <c r="J240" s="3">
        <v>11500</v>
      </c>
      <c r="K240" s="3">
        <v>143754</v>
      </c>
      <c r="L240" s="3" t="s">
        <v>29</v>
      </c>
      <c r="M240" s="4">
        <v>0.1127203416948398</v>
      </c>
      <c r="N240" s="3" t="str">
        <f>INDEX(Table5_2[Objective], MATCH(L240,Table5_2[Campaign_Name], 0))</f>
        <v>Product Launch</v>
      </c>
    </row>
    <row r="241" spans="1:14" x14ac:dyDescent="0.3">
      <c r="A241" s="3" t="s">
        <v>231</v>
      </c>
      <c r="B241" s="3" t="s">
        <v>13</v>
      </c>
      <c r="C241" s="2">
        <v>45519</v>
      </c>
      <c r="D241" s="3" t="s">
        <v>14</v>
      </c>
      <c r="E241" s="3" t="s">
        <v>359</v>
      </c>
      <c r="F241" s="3">
        <v>15503</v>
      </c>
      <c r="G241" s="3">
        <v>313</v>
      </c>
      <c r="H241" s="3">
        <v>388</v>
      </c>
      <c r="I241" s="3">
        <v>1078</v>
      </c>
      <c r="J241" s="3">
        <v>11500</v>
      </c>
      <c r="K241" s="3">
        <v>143754</v>
      </c>
      <c r="L241" s="3" t="s">
        <v>29</v>
      </c>
      <c r="M241" s="4">
        <v>0.1127203416948398</v>
      </c>
      <c r="N241" s="3" t="str">
        <f>INDEX(Table5_2[Objective], MATCH(L241,Table5_2[Campaign_Name], 0))</f>
        <v>Product Launch</v>
      </c>
    </row>
    <row r="242" spans="1:14" x14ac:dyDescent="0.3">
      <c r="A242" s="3" t="s">
        <v>106</v>
      </c>
      <c r="B242" s="3" t="s">
        <v>40</v>
      </c>
      <c r="C242" s="2">
        <v>45537</v>
      </c>
      <c r="D242" s="3" t="s">
        <v>34</v>
      </c>
      <c r="E242" s="3" t="s">
        <v>359</v>
      </c>
      <c r="F242" s="3">
        <v>12040</v>
      </c>
      <c r="G242" s="3">
        <v>1147</v>
      </c>
      <c r="H242" s="3">
        <v>210</v>
      </c>
      <c r="I242" s="3">
        <v>885</v>
      </c>
      <c r="J242" s="3">
        <v>30360</v>
      </c>
      <c r="K242" s="3">
        <v>119530</v>
      </c>
      <c r="L242" s="3" t="s">
        <v>29</v>
      </c>
      <c r="M242" s="4">
        <v>0.1120806492094035</v>
      </c>
      <c r="N242" s="3" t="str">
        <f>INDEX(Table5_2[Objective], MATCH(L242,Table5_2[Campaign_Name], 0))</f>
        <v>Product Launch</v>
      </c>
    </row>
    <row r="243" spans="1:14" x14ac:dyDescent="0.3">
      <c r="A243" s="3" t="s">
        <v>106</v>
      </c>
      <c r="B243" s="3" t="s">
        <v>40</v>
      </c>
      <c r="C243" s="2">
        <v>45537</v>
      </c>
      <c r="D243" s="3" t="s">
        <v>34</v>
      </c>
      <c r="E243" s="3" t="s">
        <v>360</v>
      </c>
      <c r="F243" s="3">
        <v>12040</v>
      </c>
      <c r="G243" s="3">
        <v>1147</v>
      </c>
      <c r="H243" s="3">
        <v>210</v>
      </c>
      <c r="I243" s="3">
        <v>885</v>
      </c>
      <c r="J243" s="3">
        <v>30360</v>
      </c>
      <c r="K243" s="3">
        <v>119530</v>
      </c>
      <c r="L243" s="3" t="s">
        <v>29</v>
      </c>
      <c r="M243" s="4">
        <v>0.1120806492094035</v>
      </c>
      <c r="N243" s="3" t="str">
        <f>INDEX(Table5_2[Objective], MATCH(L243,Table5_2[Campaign_Name], 0))</f>
        <v>Product Launch</v>
      </c>
    </row>
    <row r="244" spans="1:14" x14ac:dyDescent="0.3">
      <c r="A244" s="3" t="s">
        <v>128</v>
      </c>
      <c r="B244" s="3" t="s">
        <v>18</v>
      </c>
      <c r="C244" s="2">
        <v>45586</v>
      </c>
      <c r="D244" s="3" t="s">
        <v>23</v>
      </c>
      <c r="E244" s="3" t="s">
        <v>355</v>
      </c>
      <c r="F244" s="3">
        <v>19715</v>
      </c>
      <c r="G244" s="3">
        <v>1014</v>
      </c>
      <c r="H244" s="3">
        <v>718</v>
      </c>
      <c r="I244" s="3">
        <v>1185</v>
      </c>
      <c r="J244" s="3">
        <v>37625</v>
      </c>
      <c r="K244" s="3">
        <v>191409</v>
      </c>
      <c r="L244" s="3" t="s">
        <v>16</v>
      </c>
      <c r="M244" s="4">
        <v>0.11204802282024356</v>
      </c>
      <c r="N244" s="3" t="str">
        <f>INDEX(Table5_2[Objective], MATCH(L244,Table5_2[Campaign_Name], 0))</f>
        <v>Health &amp; Fitness Awareness</v>
      </c>
    </row>
    <row r="245" spans="1:14" x14ac:dyDescent="0.3">
      <c r="A245" s="3" t="s">
        <v>128</v>
      </c>
      <c r="B245" s="3" t="s">
        <v>18</v>
      </c>
      <c r="C245" s="2">
        <v>45586</v>
      </c>
      <c r="D245" s="3" t="s">
        <v>23</v>
      </c>
      <c r="E245" s="3" t="s">
        <v>356</v>
      </c>
      <c r="F245" s="3">
        <v>19715</v>
      </c>
      <c r="G245" s="3">
        <v>1014</v>
      </c>
      <c r="H245" s="3">
        <v>718</v>
      </c>
      <c r="I245" s="3">
        <v>1185</v>
      </c>
      <c r="J245" s="3">
        <v>37625</v>
      </c>
      <c r="K245" s="3">
        <v>191409</v>
      </c>
      <c r="L245" s="3" t="s">
        <v>16</v>
      </c>
      <c r="M245" s="4">
        <v>0.11204802282024356</v>
      </c>
      <c r="N245" s="3" t="str">
        <f>INDEX(Table5_2[Objective], MATCH(L245,Table5_2[Campaign_Name], 0))</f>
        <v>Health &amp; Fitness Awareness</v>
      </c>
    </row>
    <row r="246" spans="1:14" x14ac:dyDescent="0.3">
      <c r="A246" s="3" t="s">
        <v>261</v>
      </c>
      <c r="B246" s="3" t="s">
        <v>40</v>
      </c>
      <c r="C246" s="2">
        <v>45463</v>
      </c>
      <c r="D246" s="3" t="s">
        <v>27</v>
      </c>
      <c r="E246" s="3" t="s">
        <v>363</v>
      </c>
      <c r="F246" s="3">
        <v>21123</v>
      </c>
      <c r="G246" s="3">
        <v>1343</v>
      </c>
      <c r="H246" s="3">
        <v>589</v>
      </c>
      <c r="I246" s="3">
        <v>727</v>
      </c>
      <c r="J246" s="3">
        <v>87833</v>
      </c>
      <c r="K246" s="3">
        <v>206703</v>
      </c>
      <c r="L246" s="3" t="s">
        <v>16</v>
      </c>
      <c r="M246" s="4">
        <v>0.11153684271636116</v>
      </c>
      <c r="N246" s="3" t="str">
        <f>INDEX(Table5_2[Objective], MATCH(L246,Table5_2[Campaign_Name], 0))</f>
        <v>Health &amp; Fitness Awareness</v>
      </c>
    </row>
    <row r="247" spans="1:14" x14ac:dyDescent="0.3">
      <c r="A247" s="3" t="s">
        <v>261</v>
      </c>
      <c r="B247" s="3" t="s">
        <v>40</v>
      </c>
      <c r="C247" s="2">
        <v>45463</v>
      </c>
      <c r="D247" s="3" t="s">
        <v>27</v>
      </c>
      <c r="E247" s="3" t="s">
        <v>364</v>
      </c>
      <c r="F247" s="3">
        <v>21123</v>
      </c>
      <c r="G247" s="3">
        <v>1343</v>
      </c>
      <c r="H247" s="3">
        <v>589</v>
      </c>
      <c r="I247" s="3">
        <v>727</v>
      </c>
      <c r="J247" s="3">
        <v>87833</v>
      </c>
      <c r="K247" s="3">
        <v>206703</v>
      </c>
      <c r="L247" s="3" t="s">
        <v>16</v>
      </c>
      <c r="M247" s="4">
        <v>0.11153684271636116</v>
      </c>
      <c r="N247" s="3" t="str">
        <f>INDEX(Table5_2[Objective], MATCH(L247,Table5_2[Campaign_Name], 0))</f>
        <v>Health &amp; Fitness Awareness</v>
      </c>
    </row>
    <row r="248" spans="1:14" x14ac:dyDescent="0.3">
      <c r="A248" s="3" t="s">
        <v>52</v>
      </c>
      <c r="B248" s="3" t="s">
        <v>18</v>
      </c>
      <c r="C248" s="2">
        <v>45466</v>
      </c>
      <c r="D248" s="3" t="s">
        <v>23</v>
      </c>
      <c r="E248" s="3" t="s">
        <v>359</v>
      </c>
      <c r="F248" s="3">
        <v>16512</v>
      </c>
      <c r="G248" s="3">
        <v>1050</v>
      </c>
      <c r="H248" s="3">
        <v>971</v>
      </c>
      <c r="I248" s="3">
        <v>1891</v>
      </c>
      <c r="J248" s="3">
        <v>15865</v>
      </c>
      <c r="K248" s="3">
        <v>166503</v>
      </c>
      <c r="L248" s="3" t="s">
        <v>29</v>
      </c>
      <c r="M248" s="4">
        <v>0.1113073037723044</v>
      </c>
      <c r="N248" s="3" t="str">
        <f>INDEX(Table5_2[Objective], MATCH(L248,Table5_2[Campaign_Name], 0))</f>
        <v>Product Launch</v>
      </c>
    </row>
    <row r="249" spans="1:14" x14ac:dyDescent="0.3">
      <c r="A249" s="3" t="s">
        <v>52</v>
      </c>
      <c r="B249" s="3" t="s">
        <v>18</v>
      </c>
      <c r="C249" s="2">
        <v>45466</v>
      </c>
      <c r="D249" s="3" t="s">
        <v>23</v>
      </c>
      <c r="E249" s="3" t="s">
        <v>366</v>
      </c>
      <c r="F249" s="3">
        <v>16512</v>
      </c>
      <c r="G249" s="3">
        <v>1050</v>
      </c>
      <c r="H249" s="3">
        <v>971</v>
      </c>
      <c r="I249" s="3">
        <v>1891</v>
      </c>
      <c r="J249" s="3">
        <v>15865</v>
      </c>
      <c r="K249" s="3">
        <v>166503</v>
      </c>
      <c r="L249" s="3" t="s">
        <v>29</v>
      </c>
      <c r="M249" s="4">
        <v>0.1113073037723044</v>
      </c>
      <c r="N249" s="3" t="str">
        <f>INDEX(Table5_2[Objective], MATCH(L249,Table5_2[Campaign_Name], 0))</f>
        <v>Product Launch</v>
      </c>
    </row>
    <row r="250" spans="1:14" x14ac:dyDescent="0.3">
      <c r="A250" s="3" t="s">
        <v>21</v>
      </c>
      <c r="B250" s="3" t="s">
        <v>22</v>
      </c>
      <c r="C250" s="2">
        <v>45789</v>
      </c>
      <c r="D250" s="3" t="s">
        <v>23</v>
      </c>
      <c r="E250" s="3" t="s">
        <v>357</v>
      </c>
      <c r="F250" s="3">
        <v>19308</v>
      </c>
      <c r="G250" s="3">
        <v>1318</v>
      </c>
      <c r="H250" s="3">
        <v>795</v>
      </c>
      <c r="I250" s="3">
        <v>1499</v>
      </c>
      <c r="J250" s="3">
        <v>52307</v>
      </c>
      <c r="K250" s="3">
        <v>193087</v>
      </c>
      <c r="L250" s="3" t="s">
        <v>25</v>
      </c>
      <c r="M250" s="4">
        <v>0.11093962825047776</v>
      </c>
      <c r="N250" s="3" t="str">
        <f>INDEX(Table5_2[Objective], MATCH(L250,Table5_2[Campaign_Name], 0))</f>
        <v>Sustainability Branding</v>
      </c>
    </row>
    <row r="251" spans="1:14" x14ac:dyDescent="0.3">
      <c r="A251" s="3" t="s">
        <v>21</v>
      </c>
      <c r="B251" s="3" t="s">
        <v>22</v>
      </c>
      <c r="C251" s="2">
        <v>45789</v>
      </c>
      <c r="D251" s="3" t="s">
        <v>23</v>
      </c>
      <c r="E251" s="3" t="s">
        <v>358</v>
      </c>
      <c r="F251" s="3">
        <v>19308</v>
      </c>
      <c r="G251" s="3">
        <v>1318</v>
      </c>
      <c r="H251" s="3">
        <v>795</v>
      </c>
      <c r="I251" s="3">
        <v>1499</v>
      </c>
      <c r="J251" s="3">
        <v>52307</v>
      </c>
      <c r="K251" s="3">
        <v>193087</v>
      </c>
      <c r="L251" s="3" t="s">
        <v>25</v>
      </c>
      <c r="M251" s="4">
        <v>0.11093962825047776</v>
      </c>
      <c r="N251" s="3" t="str">
        <f>INDEX(Table5_2[Objective], MATCH(L251,Table5_2[Campaign_Name], 0))</f>
        <v>Sustainability Branding</v>
      </c>
    </row>
    <row r="252" spans="1:14" x14ac:dyDescent="0.3">
      <c r="A252" s="3" t="s">
        <v>182</v>
      </c>
      <c r="B252" s="3" t="s">
        <v>13</v>
      </c>
      <c r="C252" s="2">
        <v>45448</v>
      </c>
      <c r="D252" s="3" t="s">
        <v>23</v>
      </c>
      <c r="E252" s="3" t="s">
        <v>367</v>
      </c>
      <c r="F252" s="3">
        <v>18907</v>
      </c>
      <c r="G252" s="3">
        <v>1075</v>
      </c>
      <c r="H252" s="3">
        <v>675</v>
      </c>
      <c r="I252" s="3">
        <v>1383</v>
      </c>
      <c r="J252" s="3">
        <v>17875</v>
      </c>
      <c r="K252" s="3">
        <v>186649</v>
      </c>
      <c r="L252" s="3" t="s">
        <v>16</v>
      </c>
      <c r="M252" s="4">
        <v>0.11067297440650634</v>
      </c>
      <c r="N252" s="3" t="str">
        <f>INDEX(Table5_2[Objective], MATCH(L252,Table5_2[Campaign_Name], 0))</f>
        <v>Health &amp; Fitness Awareness</v>
      </c>
    </row>
    <row r="253" spans="1:14" x14ac:dyDescent="0.3">
      <c r="A253" s="3" t="s">
        <v>182</v>
      </c>
      <c r="B253" s="3" t="s">
        <v>13</v>
      </c>
      <c r="C253" s="2">
        <v>45448</v>
      </c>
      <c r="D253" s="3" t="s">
        <v>23</v>
      </c>
      <c r="E253" s="3" t="s">
        <v>32</v>
      </c>
      <c r="F253" s="3">
        <v>18907</v>
      </c>
      <c r="G253" s="3">
        <v>1075</v>
      </c>
      <c r="H253" s="3">
        <v>675</v>
      </c>
      <c r="I253" s="3">
        <v>1383</v>
      </c>
      <c r="J253" s="3">
        <v>17875</v>
      </c>
      <c r="K253" s="3">
        <v>186649</v>
      </c>
      <c r="L253" s="3" t="s">
        <v>16</v>
      </c>
      <c r="M253" s="4">
        <v>0.11067297440650634</v>
      </c>
      <c r="N253" s="3" t="str">
        <f>INDEX(Table5_2[Objective], MATCH(L253,Table5_2[Campaign_Name], 0))</f>
        <v>Health &amp; Fitness Awareness</v>
      </c>
    </row>
    <row r="254" spans="1:14" x14ac:dyDescent="0.3">
      <c r="A254" s="3" t="s">
        <v>320</v>
      </c>
      <c r="B254" s="3" t="s">
        <v>13</v>
      </c>
      <c r="C254" s="2">
        <v>45552</v>
      </c>
      <c r="D254" s="3" t="s">
        <v>27</v>
      </c>
      <c r="E254" s="3" t="s">
        <v>361</v>
      </c>
      <c r="F254" s="3">
        <v>20410</v>
      </c>
      <c r="G254" s="3">
        <v>1332</v>
      </c>
      <c r="H254" s="3">
        <v>472</v>
      </c>
      <c r="I254" s="3">
        <v>1202</v>
      </c>
      <c r="J254" s="3">
        <v>9418</v>
      </c>
      <c r="K254" s="3">
        <v>200806</v>
      </c>
      <c r="L254" s="3" t="s">
        <v>16</v>
      </c>
      <c r="M254" s="4">
        <v>0.11062418453631864</v>
      </c>
      <c r="N254" s="3" t="str">
        <f>INDEX(Table5_2[Objective], MATCH(L254,Table5_2[Campaign_Name], 0))</f>
        <v>Health &amp; Fitness Awareness</v>
      </c>
    </row>
    <row r="255" spans="1:14" x14ac:dyDescent="0.3">
      <c r="A255" s="3" t="s">
        <v>320</v>
      </c>
      <c r="B255" s="3" t="s">
        <v>13</v>
      </c>
      <c r="C255" s="2">
        <v>45552</v>
      </c>
      <c r="D255" s="3" t="s">
        <v>27</v>
      </c>
      <c r="E255" s="3" t="s">
        <v>362</v>
      </c>
      <c r="F255" s="3">
        <v>20410</v>
      </c>
      <c r="G255" s="3">
        <v>1332</v>
      </c>
      <c r="H255" s="3">
        <v>472</v>
      </c>
      <c r="I255" s="3">
        <v>1202</v>
      </c>
      <c r="J255" s="3">
        <v>9418</v>
      </c>
      <c r="K255" s="3">
        <v>200806</v>
      </c>
      <c r="L255" s="3" t="s">
        <v>16</v>
      </c>
      <c r="M255" s="4">
        <v>0.11062418453631864</v>
      </c>
      <c r="N255" s="3" t="str">
        <f>INDEX(Table5_2[Objective], MATCH(L255,Table5_2[Campaign_Name], 0))</f>
        <v>Health &amp; Fitness Awareness</v>
      </c>
    </row>
    <row r="256" spans="1:14" x14ac:dyDescent="0.3">
      <c r="A256" s="3" t="s">
        <v>271</v>
      </c>
      <c r="B256" s="3" t="s">
        <v>18</v>
      </c>
      <c r="C256" s="2">
        <v>45648</v>
      </c>
      <c r="D256" s="3" t="s">
        <v>23</v>
      </c>
      <c r="E256" s="3" t="s">
        <v>359</v>
      </c>
      <c r="F256" s="3">
        <v>20117</v>
      </c>
      <c r="G256" s="3">
        <v>1143</v>
      </c>
      <c r="H256" s="3">
        <v>713</v>
      </c>
      <c r="I256" s="3">
        <v>1739</v>
      </c>
      <c r="J256" s="3">
        <v>34444</v>
      </c>
      <c r="K256" s="3">
        <v>198670</v>
      </c>
      <c r="L256" s="3" t="s">
        <v>45</v>
      </c>
      <c r="M256" s="4">
        <v>0.11060049328031409</v>
      </c>
      <c r="N256" s="3" t="str">
        <f>INDEX(Table5_2[Objective], MATCH(L256,Table5_2[Campaign_Name], 0))</f>
        <v>Product Promotion</v>
      </c>
    </row>
    <row r="257" spans="1:14" x14ac:dyDescent="0.3">
      <c r="A257" s="3" t="s">
        <v>271</v>
      </c>
      <c r="B257" s="3" t="s">
        <v>18</v>
      </c>
      <c r="C257" s="2">
        <v>45648</v>
      </c>
      <c r="D257" s="3" t="s">
        <v>23</v>
      </c>
      <c r="E257" s="3" t="s">
        <v>360</v>
      </c>
      <c r="F257" s="3">
        <v>20117</v>
      </c>
      <c r="G257" s="3">
        <v>1143</v>
      </c>
      <c r="H257" s="3">
        <v>713</v>
      </c>
      <c r="I257" s="3">
        <v>1739</v>
      </c>
      <c r="J257" s="3">
        <v>34444</v>
      </c>
      <c r="K257" s="3">
        <v>198670</v>
      </c>
      <c r="L257" s="3" t="s">
        <v>45</v>
      </c>
      <c r="M257" s="4">
        <v>0.11060049328031409</v>
      </c>
      <c r="N257" s="3" t="str">
        <f>INDEX(Table5_2[Objective], MATCH(L257,Table5_2[Campaign_Name], 0))</f>
        <v>Product Promotion</v>
      </c>
    </row>
    <row r="258" spans="1:14" x14ac:dyDescent="0.3">
      <c r="A258" s="3" t="s">
        <v>318</v>
      </c>
      <c r="B258" s="3" t="s">
        <v>18</v>
      </c>
      <c r="C258" s="2">
        <v>45568</v>
      </c>
      <c r="D258" s="3" t="s">
        <v>14</v>
      </c>
      <c r="E258" s="3" t="s">
        <v>359</v>
      </c>
      <c r="F258" s="3">
        <v>22618</v>
      </c>
      <c r="G258" s="3">
        <v>641</v>
      </c>
      <c r="H258" s="3">
        <v>416</v>
      </c>
      <c r="I258" s="3">
        <v>1530</v>
      </c>
      <c r="J258" s="3">
        <v>18395</v>
      </c>
      <c r="K258" s="3">
        <v>215211</v>
      </c>
      <c r="L258" s="3" t="s">
        <v>45</v>
      </c>
      <c r="M258" s="4">
        <v>0.1100083174187193</v>
      </c>
      <c r="N258" s="3" t="str">
        <f>INDEX(Table5_2[Objective], MATCH(L258,Table5_2[Campaign_Name], 0))</f>
        <v>Product Promotion</v>
      </c>
    </row>
    <row r="259" spans="1:14" x14ac:dyDescent="0.3">
      <c r="A259" s="3" t="s">
        <v>318</v>
      </c>
      <c r="B259" s="3" t="s">
        <v>18</v>
      </c>
      <c r="C259" s="2">
        <v>45568</v>
      </c>
      <c r="D259" s="3" t="s">
        <v>14</v>
      </c>
      <c r="E259" s="3" t="s">
        <v>360</v>
      </c>
      <c r="F259" s="3">
        <v>22618</v>
      </c>
      <c r="G259" s="3">
        <v>641</v>
      </c>
      <c r="H259" s="3">
        <v>416</v>
      </c>
      <c r="I259" s="3">
        <v>1530</v>
      </c>
      <c r="J259" s="3">
        <v>18395</v>
      </c>
      <c r="K259" s="3">
        <v>215211</v>
      </c>
      <c r="L259" s="3" t="s">
        <v>45</v>
      </c>
      <c r="M259" s="4">
        <v>0.1100083174187193</v>
      </c>
      <c r="N259" s="3" t="str">
        <f>INDEX(Table5_2[Objective], MATCH(L259,Table5_2[Campaign_Name], 0))</f>
        <v>Product Promotion</v>
      </c>
    </row>
    <row r="260" spans="1:14" x14ac:dyDescent="0.3">
      <c r="A260" s="3" t="s">
        <v>294</v>
      </c>
      <c r="B260" s="3" t="s">
        <v>40</v>
      </c>
      <c r="C260" s="2">
        <v>45509</v>
      </c>
      <c r="D260" s="3" t="s">
        <v>27</v>
      </c>
      <c r="E260" s="3" t="s">
        <v>353</v>
      </c>
      <c r="F260" s="3">
        <v>20935</v>
      </c>
      <c r="G260" s="3">
        <v>1104</v>
      </c>
      <c r="H260" s="3">
        <v>876</v>
      </c>
      <c r="I260" s="3">
        <v>1270</v>
      </c>
      <c r="J260" s="3">
        <v>21454</v>
      </c>
      <c r="K260" s="3">
        <v>208722</v>
      </c>
      <c r="L260" s="3" t="s">
        <v>25</v>
      </c>
      <c r="M260" s="4">
        <v>0.10978718103506099</v>
      </c>
      <c r="N260" s="3" t="str">
        <f>INDEX(Table5_2[Objective], MATCH(L260,Table5_2[Campaign_Name], 0))</f>
        <v>Sustainability Branding</v>
      </c>
    </row>
    <row r="261" spans="1:14" x14ac:dyDescent="0.3">
      <c r="A261" s="3" t="s">
        <v>294</v>
      </c>
      <c r="B261" s="3" t="s">
        <v>40</v>
      </c>
      <c r="C261" s="2">
        <v>45509</v>
      </c>
      <c r="D261" s="3" t="s">
        <v>27</v>
      </c>
      <c r="E261" s="3" t="s">
        <v>354</v>
      </c>
      <c r="F261" s="3">
        <v>20935</v>
      </c>
      <c r="G261" s="3">
        <v>1104</v>
      </c>
      <c r="H261" s="3">
        <v>876</v>
      </c>
      <c r="I261" s="3">
        <v>1270</v>
      </c>
      <c r="J261" s="3">
        <v>21454</v>
      </c>
      <c r="K261" s="3">
        <v>208722</v>
      </c>
      <c r="L261" s="3" t="s">
        <v>25</v>
      </c>
      <c r="M261" s="4">
        <v>0.10978718103506099</v>
      </c>
      <c r="N261" s="3" t="str">
        <f>INDEX(Table5_2[Objective], MATCH(L261,Table5_2[Campaign_Name], 0))</f>
        <v>Sustainability Branding</v>
      </c>
    </row>
    <row r="262" spans="1:14" x14ac:dyDescent="0.3">
      <c r="A262" s="3" t="s">
        <v>189</v>
      </c>
      <c r="B262" s="3" t="s">
        <v>22</v>
      </c>
      <c r="C262" s="2">
        <v>45658</v>
      </c>
      <c r="D262" s="3" t="s">
        <v>27</v>
      </c>
      <c r="E262" s="3" t="s">
        <v>355</v>
      </c>
      <c r="F262" s="3">
        <v>24574</v>
      </c>
      <c r="G262" s="3">
        <v>909</v>
      </c>
      <c r="H262" s="3">
        <v>280</v>
      </c>
      <c r="I262" s="3">
        <v>2009</v>
      </c>
      <c r="J262" s="3">
        <v>6221</v>
      </c>
      <c r="K262" s="3">
        <v>236910</v>
      </c>
      <c r="L262" s="3" t="s">
        <v>45</v>
      </c>
      <c r="M262" s="4">
        <v>0.10874593727575872</v>
      </c>
      <c r="N262" s="3" t="str">
        <f>INDEX(Table5_2[Objective], MATCH(L262,Table5_2[Campaign_Name], 0))</f>
        <v>Product Promotion</v>
      </c>
    </row>
    <row r="263" spans="1:14" x14ac:dyDescent="0.3">
      <c r="A263" s="3" t="s">
        <v>189</v>
      </c>
      <c r="B263" s="3" t="s">
        <v>22</v>
      </c>
      <c r="C263" s="2">
        <v>45658</v>
      </c>
      <c r="D263" s="3" t="s">
        <v>27</v>
      </c>
      <c r="E263" s="3" t="s">
        <v>356</v>
      </c>
      <c r="F263" s="3">
        <v>24574</v>
      </c>
      <c r="G263" s="3">
        <v>909</v>
      </c>
      <c r="H263" s="3">
        <v>280</v>
      </c>
      <c r="I263" s="3">
        <v>2009</v>
      </c>
      <c r="J263" s="3">
        <v>6221</v>
      </c>
      <c r="K263" s="3">
        <v>236910</v>
      </c>
      <c r="L263" s="3" t="s">
        <v>45</v>
      </c>
      <c r="M263" s="4">
        <v>0.10874593727575872</v>
      </c>
      <c r="N263" s="3" t="str">
        <f>INDEX(Table5_2[Objective], MATCH(L263,Table5_2[Campaign_Name], 0))</f>
        <v>Product Promotion</v>
      </c>
    </row>
    <row r="264" spans="1:14" x14ac:dyDescent="0.3">
      <c r="A264" s="3" t="s">
        <v>68</v>
      </c>
      <c r="B264" s="3" t="s">
        <v>18</v>
      </c>
      <c r="C264" s="2">
        <v>45911</v>
      </c>
      <c r="D264" s="3" t="s">
        <v>34</v>
      </c>
      <c r="E264" s="3" t="s">
        <v>365</v>
      </c>
      <c r="F264" s="3">
        <v>10175</v>
      </c>
      <c r="G264" s="3">
        <v>342</v>
      </c>
      <c r="H264" s="3">
        <v>825</v>
      </c>
      <c r="I264" s="3">
        <v>2904</v>
      </c>
      <c r="J264" s="3">
        <v>15954</v>
      </c>
      <c r="K264" s="3">
        <v>104324</v>
      </c>
      <c r="L264" s="3" t="s">
        <v>20</v>
      </c>
      <c r="M264" s="4">
        <v>0.10871899083624094</v>
      </c>
      <c r="N264" s="3" t="str">
        <f>INDEX(Table5_2[Objective], MATCH(L264,Table5_2[Campaign_Name], 0))</f>
        <v>Brand Engagement</v>
      </c>
    </row>
    <row r="265" spans="1:14" x14ac:dyDescent="0.3">
      <c r="A265" s="3" t="s">
        <v>68</v>
      </c>
      <c r="B265" s="3" t="s">
        <v>18</v>
      </c>
      <c r="C265" s="2">
        <v>45911</v>
      </c>
      <c r="D265" s="3" t="s">
        <v>34</v>
      </c>
      <c r="E265" s="3" t="s">
        <v>359</v>
      </c>
      <c r="F265" s="3">
        <v>10175</v>
      </c>
      <c r="G265" s="3">
        <v>342</v>
      </c>
      <c r="H265" s="3">
        <v>825</v>
      </c>
      <c r="I265" s="3">
        <v>2904</v>
      </c>
      <c r="J265" s="3">
        <v>15954</v>
      </c>
      <c r="K265" s="3">
        <v>104324</v>
      </c>
      <c r="L265" s="3" t="s">
        <v>20</v>
      </c>
      <c r="M265" s="4">
        <v>0.10871899083624094</v>
      </c>
      <c r="N265" s="3" t="str">
        <f>INDEX(Table5_2[Objective], MATCH(L265,Table5_2[Campaign_Name], 0))</f>
        <v>Brand Engagement</v>
      </c>
    </row>
    <row r="266" spans="1:14" x14ac:dyDescent="0.3">
      <c r="A266" s="3" t="s">
        <v>219</v>
      </c>
      <c r="B266" s="3" t="s">
        <v>40</v>
      </c>
      <c r="C266" s="2">
        <v>45643</v>
      </c>
      <c r="D266" s="3" t="s">
        <v>14</v>
      </c>
      <c r="E266" s="3" t="s">
        <v>363</v>
      </c>
      <c r="F266" s="3">
        <v>20030</v>
      </c>
      <c r="G266" s="3">
        <v>485</v>
      </c>
      <c r="H266" s="3">
        <v>888</v>
      </c>
      <c r="I266" s="3">
        <v>1643</v>
      </c>
      <c r="J266" s="3">
        <v>4322</v>
      </c>
      <c r="K266" s="3">
        <v>196995</v>
      </c>
      <c r="L266" s="3" t="s">
        <v>25</v>
      </c>
      <c r="M266" s="4">
        <v>0.10864742759968526</v>
      </c>
      <c r="N266" s="3" t="str">
        <f>INDEX(Table5_2[Objective], MATCH(L266,Table5_2[Campaign_Name], 0))</f>
        <v>Sustainability Branding</v>
      </c>
    </row>
    <row r="267" spans="1:14" x14ac:dyDescent="0.3">
      <c r="A267" s="3" t="s">
        <v>219</v>
      </c>
      <c r="B267" s="3" t="s">
        <v>40</v>
      </c>
      <c r="C267" s="2">
        <v>45643</v>
      </c>
      <c r="D267" s="3" t="s">
        <v>14</v>
      </c>
      <c r="E267" s="3" t="s">
        <v>364</v>
      </c>
      <c r="F267" s="3">
        <v>20030</v>
      </c>
      <c r="G267" s="3">
        <v>485</v>
      </c>
      <c r="H267" s="3">
        <v>888</v>
      </c>
      <c r="I267" s="3">
        <v>1643</v>
      </c>
      <c r="J267" s="3">
        <v>4322</v>
      </c>
      <c r="K267" s="3">
        <v>196995</v>
      </c>
      <c r="L267" s="3" t="s">
        <v>25</v>
      </c>
      <c r="M267" s="4">
        <v>0.10864742759968526</v>
      </c>
      <c r="N267" s="3" t="str">
        <f>INDEX(Table5_2[Objective], MATCH(L267,Table5_2[Campaign_Name], 0))</f>
        <v>Sustainability Branding</v>
      </c>
    </row>
    <row r="268" spans="1:14" x14ac:dyDescent="0.3">
      <c r="A268" s="3" t="s">
        <v>87</v>
      </c>
      <c r="B268" s="3" t="s">
        <v>40</v>
      </c>
      <c r="C268" s="2">
        <v>45919</v>
      </c>
      <c r="D268" s="3" t="s">
        <v>14</v>
      </c>
      <c r="E268" s="3" t="s">
        <v>363</v>
      </c>
      <c r="F268" s="3">
        <v>19100</v>
      </c>
      <c r="G268" s="3">
        <v>619</v>
      </c>
      <c r="H268" s="3">
        <v>297</v>
      </c>
      <c r="I268" s="3">
        <v>2312</v>
      </c>
      <c r="J268" s="3">
        <v>9730</v>
      </c>
      <c r="K268" s="3">
        <v>184832</v>
      </c>
      <c r="L268" s="3" t="s">
        <v>20</v>
      </c>
      <c r="M268" s="4">
        <v>0.10829293628808864</v>
      </c>
      <c r="N268" s="3" t="str">
        <f>INDEX(Table5_2[Objective], MATCH(L268,Table5_2[Campaign_Name], 0))</f>
        <v>Brand Engagement</v>
      </c>
    </row>
    <row r="269" spans="1:14" x14ac:dyDescent="0.3">
      <c r="A269" s="3" t="s">
        <v>87</v>
      </c>
      <c r="B269" s="3" t="s">
        <v>40</v>
      </c>
      <c r="C269" s="2">
        <v>45919</v>
      </c>
      <c r="D269" s="3" t="s">
        <v>14</v>
      </c>
      <c r="E269" s="3" t="s">
        <v>364</v>
      </c>
      <c r="F269" s="3">
        <v>19100</v>
      </c>
      <c r="G269" s="3">
        <v>619</v>
      </c>
      <c r="H269" s="3">
        <v>297</v>
      </c>
      <c r="I269" s="3">
        <v>2312</v>
      </c>
      <c r="J269" s="3">
        <v>9730</v>
      </c>
      <c r="K269" s="3">
        <v>184832</v>
      </c>
      <c r="L269" s="3" t="s">
        <v>20</v>
      </c>
      <c r="M269" s="4">
        <v>0.10829293628808864</v>
      </c>
      <c r="N269" s="3" t="str">
        <f>INDEX(Table5_2[Objective], MATCH(L269,Table5_2[Campaign_Name], 0))</f>
        <v>Brand Engagement</v>
      </c>
    </row>
    <row r="270" spans="1:14" x14ac:dyDescent="0.3">
      <c r="A270" s="3" t="s">
        <v>235</v>
      </c>
      <c r="B270" s="3" t="s">
        <v>22</v>
      </c>
      <c r="C270" s="2">
        <v>45920</v>
      </c>
      <c r="D270" s="3" t="s">
        <v>14</v>
      </c>
      <c r="E270" s="3" t="s">
        <v>363</v>
      </c>
      <c r="F270" s="3">
        <v>12267</v>
      </c>
      <c r="G270" s="3">
        <v>1487</v>
      </c>
      <c r="H270" s="3">
        <v>489</v>
      </c>
      <c r="I270" s="3">
        <v>2748</v>
      </c>
      <c r="J270" s="3">
        <v>34685</v>
      </c>
      <c r="K270" s="3">
        <v>131736</v>
      </c>
      <c r="L270" s="3" t="s">
        <v>20</v>
      </c>
      <c r="M270" s="4">
        <v>0.1081177506528208</v>
      </c>
      <c r="N270" s="3" t="str">
        <f>INDEX(Table5_2[Objective], MATCH(L270,Table5_2[Campaign_Name], 0))</f>
        <v>Brand Engagement</v>
      </c>
    </row>
    <row r="271" spans="1:14" x14ac:dyDescent="0.3">
      <c r="A271" s="3" t="s">
        <v>235</v>
      </c>
      <c r="B271" s="3" t="s">
        <v>22</v>
      </c>
      <c r="C271" s="2">
        <v>45920</v>
      </c>
      <c r="D271" s="3" t="s">
        <v>14</v>
      </c>
      <c r="E271" s="3" t="s">
        <v>364</v>
      </c>
      <c r="F271" s="3">
        <v>12267</v>
      </c>
      <c r="G271" s="3">
        <v>1487</v>
      </c>
      <c r="H271" s="3">
        <v>489</v>
      </c>
      <c r="I271" s="3">
        <v>2748</v>
      </c>
      <c r="J271" s="3">
        <v>34685</v>
      </c>
      <c r="K271" s="3">
        <v>131736</v>
      </c>
      <c r="L271" s="3" t="s">
        <v>20</v>
      </c>
      <c r="M271" s="4">
        <v>0.1081177506528208</v>
      </c>
      <c r="N271" s="3" t="str">
        <f>INDEX(Table5_2[Objective], MATCH(L271,Table5_2[Campaign_Name], 0))</f>
        <v>Brand Engagement</v>
      </c>
    </row>
    <row r="272" spans="1:14" x14ac:dyDescent="0.3">
      <c r="A272" s="3" t="s">
        <v>298</v>
      </c>
      <c r="B272" s="3" t="s">
        <v>40</v>
      </c>
      <c r="C272" s="2">
        <v>45675</v>
      </c>
      <c r="D272" s="3" t="s">
        <v>23</v>
      </c>
      <c r="E272" s="3" t="s">
        <v>367</v>
      </c>
      <c r="F272" s="3">
        <v>22673</v>
      </c>
      <c r="G272" s="3">
        <v>1053</v>
      </c>
      <c r="H272" s="3">
        <v>169</v>
      </c>
      <c r="I272" s="3">
        <v>1566</v>
      </c>
      <c r="J272" s="3">
        <v>9417</v>
      </c>
      <c r="K272" s="3">
        <v>221187</v>
      </c>
      <c r="L272" s="3" t="s">
        <v>29</v>
      </c>
      <c r="M272" s="4">
        <v>0.10803076130152314</v>
      </c>
      <c r="N272" s="3" t="str">
        <f>INDEX(Table5_2[Objective], MATCH(L272,Table5_2[Campaign_Name], 0))</f>
        <v>Product Launch</v>
      </c>
    </row>
    <row r="273" spans="1:14" x14ac:dyDescent="0.3">
      <c r="A273" s="3" t="s">
        <v>298</v>
      </c>
      <c r="B273" s="3" t="s">
        <v>40</v>
      </c>
      <c r="C273" s="2">
        <v>45675</v>
      </c>
      <c r="D273" s="3" t="s">
        <v>23</v>
      </c>
      <c r="E273" s="3" t="s">
        <v>32</v>
      </c>
      <c r="F273" s="3">
        <v>22673</v>
      </c>
      <c r="G273" s="3">
        <v>1053</v>
      </c>
      <c r="H273" s="3">
        <v>169</v>
      </c>
      <c r="I273" s="3">
        <v>1566</v>
      </c>
      <c r="J273" s="3">
        <v>9417</v>
      </c>
      <c r="K273" s="3">
        <v>221187</v>
      </c>
      <c r="L273" s="3" t="s">
        <v>29</v>
      </c>
      <c r="M273" s="4">
        <v>0.10803076130152314</v>
      </c>
      <c r="N273" s="3" t="str">
        <f>INDEX(Table5_2[Objective], MATCH(L273,Table5_2[Campaign_Name], 0))</f>
        <v>Product Launch</v>
      </c>
    </row>
    <row r="274" spans="1:14" x14ac:dyDescent="0.3">
      <c r="A274" s="3" t="s">
        <v>304</v>
      </c>
      <c r="B274" s="3" t="s">
        <v>18</v>
      </c>
      <c r="C274" s="2">
        <v>45760</v>
      </c>
      <c r="D274" s="3" t="s">
        <v>34</v>
      </c>
      <c r="E274" s="3" t="s">
        <v>64</v>
      </c>
      <c r="F274" s="3">
        <v>24700</v>
      </c>
      <c r="G274" s="3">
        <v>327</v>
      </c>
      <c r="H274" s="3">
        <v>999</v>
      </c>
      <c r="I274" s="3">
        <v>994</v>
      </c>
      <c r="J274" s="3">
        <v>59400</v>
      </c>
      <c r="K274" s="3">
        <v>243502</v>
      </c>
      <c r="L274" s="3" t="s">
        <v>25</v>
      </c>
      <c r="M274" s="4">
        <v>0.10688207899729776</v>
      </c>
      <c r="N274" s="3" t="str">
        <f>INDEX(Table5_2[Objective], MATCH(L274,Table5_2[Campaign_Name], 0))</f>
        <v>Sustainability Branding</v>
      </c>
    </row>
    <row r="275" spans="1:14" x14ac:dyDescent="0.3">
      <c r="A275" s="3" t="s">
        <v>216</v>
      </c>
      <c r="B275" s="3" t="s">
        <v>13</v>
      </c>
      <c r="C275" s="2">
        <v>45941</v>
      </c>
      <c r="D275" s="3" t="s">
        <v>34</v>
      </c>
      <c r="E275" s="3" t="s">
        <v>363</v>
      </c>
      <c r="F275" s="3">
        <v>15623</v>
      </c>
      <c r="G275" s="3">
        <v>869</v>
      </c>
      <c r="H275" s="3">
        <v>423</v>
      </c>
      <c r="I275" s="3">
        <v>371</v>
      </c>
      <c r="J275" s="3">
        <v>47579</v>
      </c>
      <c r="K275" s="3">
        <v>158516</v>
      </c>
      <c r="L275" s="3" t="s">
        <v>20</v>
      </c>
      <c r="M275" s="4">
        <v>0.10670847106916652</v>
      </c>
      <c r="N275" s="3" t="str">
        <f>INDEX(Table5_2[Objective], MATCH(L275,Table5_2[Campaign_Name], 0))</f>
        <v>Brand Engagement</v>
      </c>
    </row>
    <row r="276" spans="1:14" x14ac:dyDescent="0.3">
      <c r="A276" s="3" t="s">
        <v>216</v>
      </c>
      <c r="B276" s="3" t="s">
        <v>13</v>
      </c>
      <c r="C276" s="2">
        <v>45941</v>
      </c>
      <c r="D276" s="3" t="s">
        <v>34</v>
      </c>
      <c r="E276" s="3" t="s">
        <v>364</v>
      </c>
      <c r="F276" s="3">
        <v>15623</v>
      </c>
      <c r="G276" s="3">
        <v>869</v>
      </c>
      <c r="H276" s="3">
        <v>423</v>
      </c>
      <c r="I276" s="3">
        <v>371</v>
      </c>
      <c r="J276" s="3">
        <v>47579</v>
      </c>
      <c r="K276" s="3">
        <v>158516</v>
      </c>
      <c r="L276" s="3" t="s">
        <v>20</v>
      </c>
      <c r="M276" s="4">
        <v>0.10670847106916652</v>
      </c>
      <c r="N276" s="3" t="str">
        <f>INDEX(Table5_2[Objective], MATCH(L276,Table5_2[Campaign_Name], 0))</f>
        <v>Brand Engagement</v>
      </c>
    </row>
    <row r="277" spans="1:14" x14ac:dyDescent="0.3">
      <c r="A277" s="3" t="s">
        <v>250</v>
      </c>
      <c r="B277" s="3" t="s">
        <v>13</v>
      </c>
      <c r="C277" s="2">
        <v>45649</v>
      </c>
      <c r="D277" s="3" t="s">
        <v>27</v>
      </c>
      <c r="E277" s="3" t="s">
        <v>357</v>
      </c>
      <c r="F277" s="3">
        <v>18616</v>
      </c>
      <c r="G277" s="3">
        <v>1277</v>
      </c>
      <c r="H277" s="3">
        <v>734</v>
      </c>
      <c r="I277" s="3">
        <v>2249</v>
      </c>
      <c r="J277" s="3">
        <v>3399</v>
      </c>
      <c r="K277" s="3">
        <v>193515</v>
      </c>
      <c r="L277" s="3" t="s">
        <v>29</v>
      </c>
      <c r="M277" s="4">
        <v>0.10659122031883833</v>
      </c>
      <c r="N277" s="3" t="str">
        <f>INDEX(Table5_2[Objective], MATCH(L277,Table5_2[Campaign_Name], 0))</f>
        <v>Product Launch</v>
      </c>
    </row>
    <row r="278" spans="1:14" x14ac:dyDescent="0.3">
      <c r="A278" s="3" t="s">
        <v>250</v>
      </c>
      <c r="B278" s="3" t="s">
        <v>13</v>
      </c>
      <c r="C278" s="2">
        <v>45649</v>
      </c>
      <c r="D278" s="3" t="s">
        <v>27</v>
      </c>
      <c r="E278" s="3" t="s">
        <v>358</v>
      </c>
      <c r="F278" s="3">
        <v>18616</v>
      </c>
      <c r="G278" s="3">
        <v>1277</v>
      </c>
      <c r="H278" s="3">
        <v>734</v>
      </c>
      <c r="I278" s="3">
        <v>2249</v>
      </c>
      <c r="J278" s="3">
        <v>3399</v>
      </c>
      <c r="K278" s="3">
        <v>193515</v>
      </c>
      <c r="L278" s="3" t="s">
        <v>29</v>
      </c>
      <c r="M278" s="4">
        <v>0.10659122031883833</v>
      </c>
      <c r="N278" s="3" t="str">
        <f>INDEX(Table5_2[Objective], MATCH(L278,Table5_2[Campaign_Name], 0))</f>
        <v>Product Launch</v>
      </c>
    </row>
    <row r="279" spans="1:14" x14ac:dyDescent="0.3">
      <c r="A279" s="3" t="s">
        <v>308</v>
      </c>
      <c r="B279" s="3" t="s">
        <v>18</v>
      </c>
      <c r="C279" s="2">
        <v>45743</v>
      </c>
      <c r="D279" s="3" t="s">
        <v>23</v>
      </c>
      <c r="E279" s="3" t="s">
        <v>367</v>
      </c>
      <c r="F279" s="3">
        <v>14819</v>
      </c>
      <c r="G279" s="3">
        <v>1432</v>
      </c>
      <c r="H279" s="3">
        <v>152</v>
      </c>
      <c r="I279" s="3">
        <v>961</v>
      </c>
      <c r="J279" s="3">
        <v>39154</v>
      </c>
      <c r="K279" s="3">
        <v>154793</v>
      </c>
      <c r="L279" s="3" t="s">
        <v>29</v>
      </c>
      <c r="M279" s="4">
        <v>0.10596732410380315</v>
      </c>
      <c r="N279" s="3" t="str">
        <f>INDEX(Table5_2[Objective], MATCH(L279,Table5_2[Campaign_Name], 0))</f>
        <v>Product Launch</v>
      </c>
    </row>
    <row r="280" spans="1:14" x14ac:dyDescent="0.3">
      <c r="A280" s="3" t="s">
        <v>308</v>
      </c>
      <c r="B280" s="3" t="s">
        <v>18</v>
      </c>
      <c r="C280" s="2">
        <v>45743</v>
      </c>
      <c r="D280" s="3" t="s">
        <v>23</v>
      </c>
      <c r="E280" s="3" t="s">
        <v>32</v>
      </c>
      <c r="F280" s="3">
        <v>14819</v>
      </c>
      <c r="G280" s="3">
        <v>1432</v>
      </c>
      <c r="H280" s="3">
        <v>152</v>
      </c>
      <c r="I280" s="3">
        <v>961</v>
      </c>
      <c r="J280" s="3">
        <v>39154</v>
      </c>
      <c r="K280" s="3">
        <v>154793</v>
      </c>
      <c r="L280" s="3" t="s">
        <v>29</v>
      </c>
      <c r="M280" s="4">
        <v>0.10596732410380315</v>
      </c>
      <c r="N280" s="3" t="str">
        <f>INDEX(Table5_2[Objective], MATCH(L280,Table5_2[Campaign_Name], 0))</f>
        <v>Product Launch</v>
      </c>
    </row>
    <row r="281" spans="1:14" x14ac:dyDescent="0.3">
      <c r="A281" s="3" t="s">
        <v>234</v>
      </c>
      <c r="B281" s="3" t="s">
        <v>18</v>
      </c>
      <c r="C281" s="2">
        <v>45919</v>
      </c>
      <c r="D281" s="3" t="s">
        <v>34</v>
      </c>
      <c r="E281" s="3" t="s">
        <v>359</v>
      </c>
      <c r="F281" s="3">
        <v>14772</v>
      </c>
      <c r="G281" s="3">
        <v>1030</v>
      </c>
      <c r="H281" s="3">
        <v>508</v>
      </c>
      <c r="I281" s="3">
        <v>1876</v>
      </c>
      <c r="J281" s="3">
        <v>8882</v>
      </c>
      <c r="K281" s="3">
        <v>155142</v>
      </c>
      <c r="L281" s="3" t="s">
        <v>20</v>
      </c>
      <c r="M281" s="4">
        <v>0.10512949426976577</v>
      </c>
      <c r="N281" s="3" t="str">
        <f>INDEX(Table5_2[Objective], MATCH(L281,Table5_2[Campaign_Name], 0))</f>
        <v>Brand Engagement</v>
      </c>
    </row>
    <row r="282" spans="1:14" x14ac:dyDescent="0.3">
      <c r="A282" s="3" t="s">
        <v>234</v>
      </c>
      <c r="B282" s="3" t="s">
        <v>18</v>
      </c>
      <c r="C282" s="2">
        <v>45919</v>
      </c>
      <c r="D282" s="3" t="s">
        <v>34</v>
      </c>
      <c r="E282" s="3" t="s">
        <v>360</v>
      </c>
      <c r="F282" s="3">
        <v>14772</v>
      </c>
      <c r="G282" s="3">
        <v>1030</v>
      </c>
      <c r="H282" s="3">
        <v>508</v>
      </c>
      <c r="I282" s="3">
        <v>1876</v>
      </c>
      <c r="J282" s="3">
        <v>8882</v>
      </c>
      <c r="K282" s="3">
        <v>155142</v>
      </c>
      <c r="L282" s="3" t="s">
        <v>20</v>
      </c>
      <c r="M282" s="4">
        <v>0.10512949426976577</v>
      </c>
      <c r="N282" s="3" t="str">
        <f>INDEX(Table5_2[Objective], MATCH(L282,Table5_2[Campaign_Name], 0))</f>
        <v>Brand Engagement</v>
      </c>
    </row>
    <row r="283" spans="1:14" x14ac:dyDescent="0.3">
      <c r="A283" s="3" t="s">
        <v>332</v>
      </c>
      <c r="B283" s="3" t="s">
        <v>18</v>
      </c>
      <c r="C283" s="2">
        <v>45699</v>
      </c>
      <c r="D283" s="3" t="s">
        <v>34</v>
      </c>
      <c r="E283" s="3" t="s">
        <v>368</v>
      </c>
      <c r="F283" s="3">
        <v>3619</v>
      </c>
      <c r="G283" s="3">
        <v>1376</v>
      </c>
      <c r="H283" s="3">
        <v>410</v>
      </c>
      <c r="I283" s="3">
        <v>2499</v>
      </c>
      <c r="J283" s="3">
        <v>58146</v>
      </c>
      <c r="K283" s="3">
        <v>52149</v>
      </c>
      <c r="L283" s="3" t="s">
        <v>16</v>
      </c>
      <c r="M283" s="4">
        <v>0.10364532397553165</v>
      </c>
      <c r="N283" s="3" t="str">
        <f>INDEX(Table5_2[Objective], MATCH(L283,Table5_2[Campaign_Name], 0))</f>
        <v>Health &amp; Fitness Awareness</v>
      </c>
    </row>
    <row r="284" spans="1:14" x14ac:dyDescent="0.3">
      <c r="A284" s="3" t="s">
        <v>332</v>
      </c>
      <c r="B284" s="3" t="s">
        <v>18</v>
      </c>
      <c r="C284" s="2">
        <v>45699</v>
      </c>
      <c r="D284" s="3" t="s">
        <v>34</v>
      </c>
      <c r="E284" s="3" t="s">
        <v>369</v>
      </c>
      <c r="F284" s="3">
        <v>3619</v>
      </c>
      <c r="G284" s="3">
        <v>1376</v>
      </c>
      <c r="H284" s="3">
        <v>410</v>
      </c>
      <c r="I284" s="3">
        <v>2499</v>
      </c>
      <c r="J284" s="3">
        <v>58146</v>
      </c>
      <c r="K284" s="3">
        <v>52149</v>
      </c>
      <c r="L284" s="3" t="s">
        <v>16</v>
      </c>
      <c r="M284" s="4">
        <v>0.10364532397553165</v>
      </c>
      <c r="N284" s="3" t="str">
        <f>INDEX(Table5_2[Objective], MATCH(L284,Table5_2[Campaign_Name], 0))</f>
        <v>Health &amp; Fitness Awareness</v>
      </c>
    </row>
    <row r="285" spans="1:14" x14ac:dyDescent="0.3">
      <c r="A285" s="3" t="s">
        <v>276</v>
      </c>
      <c r="B285" s="3" t="s">
        <v>18</v>
      </c>
      <c r="C285" s="2">
        <v>45911</v>
      </c>
      <c r="D285" s="3" t="s">
        <v>27</v>
      </c>
      <c r="E285" s="3" t="s">
        <v>361</v>
      </c>
      <c r="F285" s="3">
        <v>21901</v>
      </c>
      <c r="G285" s="3">
        <v>1308</v>
      </c>
      <c r="H285" s="3">
        <v>724</v>
      </c>
      <c r="I285" s="3">
        <v>2183</v>
      </c>
      <c r="J285" s="3">
        <v>15996</v>
      </c>
      <c r="K285" s="3">
        <v>230961</v>
      </c>
      <c r="L285" s="3" t="s">
        <v>20</v>
      </c>
      <c r="M285" s="4">
        <v>0.10362355549205277</v>
      </c>
      <c r="N285" s="3" t="str">
        <f>INDEX(Table5_2[Objective], MATCH(L285,Table5_2[Campaign_Name], 0))</f>
        <v>Brand Engagement</v>
      </c>
    </row>
    <row r="286" spans="1:14" x14ac:dyDescent="0.3">
      <c r="A286" s="3" t="s">
        <v>276</v>
      </c>
      <c r="B286" s="3" t="s">
        <v>18</v>
      </c>
      <c r="C286" s="2">
        <v>45911</v>
      </c>
      <c r="D286" s="3" t="s">
        <v>27</v>
      </c>
      <c r="E286" s="3" t="s">
        <v>362</v>
      </c>
      <c r="F286" s="3">
        <v>21901</v>
      </c>
      <c r="G286" s="3">
        <v>1308</v>
      </c>
      <c r="H286" s="3">
        <v>724</v>
      </c>
      <c r="I286" s="3">
        <v>2183</v>
      </c>
      <c r="J286" s="3">
        <v>15996</v>
      </c>
      <c r="K286" s="3">
        <v>230961</v>
      </c>
      <c r="L286" s="3" t="s">
        <v>20</v>
      </c>
      <c r="M286" s="4">
        <v>0.10362355549205277</v>
      </c>
      <c r="N286" s="3" t="str">
        <f>INDEX(Table5_2[Objective], MATCH(L286,Table5_2[Campaign_Name], 0))</f>
        <v>Brand Engagement</v>
      </c>
    </row>
    <row r="287" spans="1:14" x14ac:dyDescent="0.3">
      <c r="A287" s="3" t="s">
        <v>279</v>
      </c>
      <c r="B287" s="3" t="s">
        <v>18</v>
      </c>
      <c r="C287" s="2">
        <v>45722</v>
      </c>
      <c r="D287" s="3" t="s">
        <v>23</v>
      </c>
      <c r="E287" s="3" t="s">
        <v>365</v>
      </c>
      <c r="F287" s="3">
        <v>22119</v>
      </c>
      <c r="G287" s="3">
        <v>899</v>
      </c>
      <c r="H287" s="3">
        <v>642</v>
      </c>
      <c r="I287" s="3">
        <v>410</v>
      </c>
      <c r="J287" s="3">
        <v>49490</v>
      </c>
      <c r="K287" s="3">
        <v>229420</v>
      </c>
      <c r="L287" s="3" t="s">
        <v>29</v>
      </c>
      <c r="M287" s="4">
        <v>0.10312963124400662</v>
      </c>
      <c r="N287" s="3" t="str">
        <f>INDEX(Table5_2[Objective], MATCH(L287,Table5_2[Campaign_Name], 0))</f>
        <v>Product Launch</v>
      </c>
    </row>
    <row r="288" spans="1:14" x14ac:dyDescent="0.3">
      <c r="A288" s="3" t="s">
        <v>279</v>
      </c>
      <c r="B288" s="3" t="s">
        <v>18</v>
      </c>
      <c r="C288" s="2">
        <v>45722</v>
      </c>
      <c r="D288" s="3" t="s">
        <v>23</v>
      </c>
      <c r="E288" s="3" t="s">
        <v>359</v>
      </c>
      <c r="F288" s="3">
        <v>22119</v>
      </c>
      <c r="G288" s="3">
        <v>899</v>
      </c>
      <c r="H288" s="3">
        <v>642</v>
      </c>
      <c r="I288" s="3">
        <v>410</v>
      </c>
      <c r="J288" s="3">
        <v>49490</v>
      </c>
      <c r="K288" s="3">
        <v>229420</v>
      </c>
      <c r="L288" s="3" t="s">
        <v>29</v>
      </c>
      <c r="M288" s="4">
        <v>0.10312963124400662</v>
      </c>
      <c r="N288" s="3" t="str">
        <f>INDEX(Table5_2[Objective], MATCH(L288,Table5_2[Campaign_Name], 0))</f>
        <v>Product Launch</v>
      </c>
    </row>
    <row r="289" spans="1:14" x14ac:dyDescent="0.3">
      <c r="A289" s="3" t="s">
        <v>326</v>
      </c>
      <c r="B289" s="3" t="s">
        <v>18</v>
      </c>
      <c r="C289" s="2">
        <v>45920</v>
      </c>
      <c r="D289" s="3" t="s">
        <v>14</v>
      </c>
      <c r="E289" s="3" t="s">
        <v>32</v>
      </c>
      <c r="F289" s="3">
        <v>24422</v>
      </c>
      <c r="G289" s="3">
        <v>327</v>
      </c>
      <c r="H289" s="3">
        <v>481</v>
      </c>
      <c r="I289" s="3">
        <v>2371</v>
      </c>
      <c r="J289" s="3">
        <v>35340</v>
      </c>
      <c r="K289" s="3">
        <v>245244</v>
      </c>
      <c r="L289" s="3" t="s">
        <v>20</v>
      </c>
      <c r="M289" s="4">
        <v>0.10287713460879777</v>
      </c>
      <c r="N289" s="3" t="str">
        <f>INDEX(Table5_2[Objective], MATCH(L289,Table5_2[Campaign_Name], 0))</f>
        <v>Brand Engagement</v>
      </c>
    </row>
    <row r="290" spans="1:14" x14ac:dyDescent="0.3">
      <c r="A290" s="3" t="s">
        <v>273</v>
      </c>
      <c r="B290" s="3" t="s">
        <v>40</v>
      </c>
      <c r="C290" s="2">
        <v>45587</v>
      </c>
      <c r="D290" s="3" t="s">
        <v>34</v>
      </c>
      <c r="E290" s="3" t="s">
        <v>357</v>
      </c>
      <c r="F290" s="3">
        <v>7622</v>
      </c>
      <c r="G290" s="3">
        <v>529</v>
      </c>
      <c r="H290" s="3">
        <v>720</v>
      </c>
      <c r="I290" s="3">
        <v>1015</v>
      </c>
      <c r="J290" s="3">
        <v>71322</v>
      </c>
      <c r="K290" s="3">
        <v>86819</v>
      </c>
      <c r="L290" s="3" t="s">
        <v>45</v>
      </c>
      <c r="M290" s="4">
        <v>0.10217809465669957</v>
      </c>
      <c r="N290" s="3" t="str">
        <f>INDEX(Table5_2[Objective], MATCH(L290,Table5_2[Campaign_Name], 0))</f>
        <v>Product Promotion</v>
      </c>
    </row>
    <row r="291" spans="1:14" x14ac:dyDescent="0.3">
      <c r="A291" s="3" t="s">
        <v>273</v>
      </c>
      <c r="B291" s="3" t="s">
        <v>40</v>
      </c>
      <c r="C291" s="2">
        <v>45587</v>
      </c>
      <c r="D291" s="3" t="s">
        <v>34</v>
      </c>
      <c r="E291" s="3" t="s">
        <v>358</v>
      </c>
      <c r="F291" s="3">
        <v>7622</v>
      </c>
      <c r="G291" s="3">
        <v>529</v>
      </c>
      <c r="H291" s="3">
        <v>720</v>
      </c>
      <c r="I291" s="3">
        <v>1015</v>
      </c>
      <c r="J291" s="3">
        <v>71322</v>
      </c>
      <c r="K291" s="3">
        <v>86819</v>
      </c>
      <c r="L291" s="3" t="s">
        <v>45</v>
      </c>
      <c r="M291" s="4">
        <v>0.10217809465669957</v>
      </c>
      <c r="N291" s="3" t="str">
        <f>INDEX(Table5_2[Objective], MATCH(L291,Table5_2[Campaign_Name], 0))</f>
        <v>Product Promotion</v>
      </c>
    </row>
    <row r="292" spans="1:14" x14ac:dyDescent="0.3">
      <c r="A292" s="3" t="s">
        <v>202</v>
      </c>
      <c r="B292" s="3" t="s">
        <v>22</v>
      </c>
      <c r="C292" s="2">
        <v>45704</v>
      </c>
      <c r="D292" s="3" t="s">
        <v>23</v>
      </c>
      <c r="E292" s="3" t="s">
        <v>359</v>
      </c>
      <c r="F292" s="3">
        <v>24195</v>
      </c>
      <c r="G292" s="3">
        <v>888</v>
      </c>
      <c r="H292" s="3">
        <v>165</v>
      </c>
      <c r="I292" s="3">
        <v>1559</v>
      </c>
      <c r="J292" s="3">
        <v>11596</v>
      </c>
      <c r="K292" s="3">
        <v>249988</v>
      </c>
      <c r="L292" s="3" t="s">
        <v>25</v>
      </c>
      <c r="M292" s="4">
        <v>0.10099684784869674</v>
      </c>
      <c r="N292" s="3" t="str">
        <f>INDEX(Table5_2[Objective], MATCH(L292,Table5_2[Campaign_Name], 0))</f>
        <v>Sustainability Branding</v>
      </c>
    </row>
    <row r="293" spans="1:14" x14ac:dyDescent="0.3">
      <c r="A293" s="3" t="s">
        <v>202</v>
      </c>
      <c r="B293" s="3" t="s">
        <v>22</v>
      </c>
      <c r="C293" s="2">
        <v>45704</v>
      </c>
      <c r="D293" s="3" t="s">
        <v>23</v>
      </c>
      <c r="E293" s="3" t="s">
        <v>366</v>
      </c>
      <c r="F293" s="3">
        <v>24195</v>
      </c>
      <c r="G293" s="3">
        <v>888</v>
      </c>
      <c r="H293" s="3">
        <v>165</v>
      </c>
      <c r="I293" s="3">
        <v>1559</v>
      </c>
      <c r="J293" s="3">
        <v>11596</v>
      </c>
      <c r="K293" s="3">
        <v>249988</v>
      </c>
      <c r="L293" s="3" t="s">
        <v>25</v>
      </c>
      <c r="M293" s="4">
        <v>0.10099684784869674</v>
      </c>
      <c r="N293" s="3" t="str">
        <f>INDEX(Table5_2[Objective], MATCH(L293,Table5_2[Campaign_Name], 0))</f>
        <v>Sustainability Branding</v>
      </c>
    </row>
    <row r="294" spans="1:14" x14ac:dyDescent="0.3">
      <c r="A294" s="3" t="s">
        <v>158</v>
      </c>
      <c r="B294" s="3" t="s">
        <v>22</v>
      </c>
      <c r="C294" s="2">
        <v>45567</v>
      </c>
      <c r="D294" s="3" t="s">
        <v>27</v>
      </c>
      <c r="E294" s="3" t="s">
        <v>367</v>
      </c>
      <c r="F294" s="3">
        <v>9350</v>
      </c>
      <c r="G294" s="3">
        <v>1024</v>
      </c>
      <c r="H294" s="3">
        <v>550</v>
      </c>
      <c r="I294" s="3">
        <v>2123</v>
      </c>
      <c r="J294" s="3">
        <v>53916</v>
      </c>
      <c r="K294" s="3">
        <v>108785</v>
      </c>
      <c r="L294" s="3" t="s">
        <v>25</v>
      </c>
      <c r="M294" s="4">
        <v>0.10041825619340902</v>
      </c>
      <c r="N294" s="3" t="str">
        <f>INDEX(Table5_2[Objective], MATCH(L294,Table5_2[Campaign_Name], 0))</f>
        <v>Sustainability Branding</v>
      </c>
    </row>
    <row r="295" spans="1:14" x14ac:dyDescent="0.3">
      <c r="A295" s="3" t="s">
        <v>158</v>
      </c>
      <c r="B295" s="3" t="s">
        <v>22</v>
      </c>
      <c r="C295" s="2">
        <v>45567</v>
      </c>
      <c r="D295" s="3" t="s">
        <v>27</v>
      </c>
      <c r="E295" s="3" t="s">
        <v>32</v>
      </c>
      <c r="F295" s="3">
        <v>9350</v>
      </c>
      <c r="G295" s="3">
        <v>1024</v>
      </c>
      <c r="H295" s="3">
        <v>550</v>
      </c>
      <c r="I295" s="3">
        <v>2123</v>
      </c>
      <c r="J295" s="3">
        <v>53916</v>
      </c>
      <c r="K295" s="3">
        <v>108785</v>
      </c>
      <c r="L295" s="3" t="s">
        <v>25</v>
      </c>
      <c r="M295" s="4">
        <v>0.10041825619340902</v>
      </c>
      <c r="N295" s="3" t="str">
        <f>INDEX(Table5_2[Objective], MATCH(L295,Table5_2[Campaign_Name], 0))</f>
        <v>Sustainability Branding</v>
      </c>
    </row>
    <row r="296" spans="1:14" x14ac:dyDescent="0.3">
      <c r="A296" s="3" t="s">
        <v>285</v>
      </c>
      <c r="B296" s="3" t="s">
        <v>22</v>
      </c>
      <c r="C296" s="2">
        <v>45491</v>
      </c>
      <c r="D296" s="3" t="s">
        <v>27</v>
      </c>
      <c r="E296" s="3" t="s">
        <v>64</v>
      </c>
      <c r="F296" s="3">
        <v>11111</v>
      </c>
      <c r="G296" s="3">
        <v>1222</v>
      </c>
      <c r="H296" s="3">
        <v>367</v>
      </c>
      <c r="I296" s="3">
        <v>507</v>
      </c>
      <c r="J296" s="3">
        <v>14129</v>
      </c>
      <c r="K296" s="3">
        <v>127163</v>
      </c>
      <c r="L296" s="3" t="s">
        <v>45</v>
      </c>
      <c r="M296" s="4">
        <v>9.9871818060284834E-2</v>
      </c>
      <c r="N296" s="3" t="str">
        <f>INDEX(Table5_2[Objective], MATCH(L296,Table5_2[Campaign_Name], 0))</f>
        <v>Product Promotion</v>
      </c>
    </row>
    <row r="297" spans="1:14" x14ac:dyDescent="0.3">
      <c r="A297" s="3" t="s">
        <v>201</v>
      </c>
      <c r="B297" s="3" t="s">
        <v>40</v>
      </c>
      <c r="C297" s="2">
        <v>45937</v>
      </c>
      <c r="D297" s="3" t="s">
        <v>34</v>
      </c>
      <c r="E297" s="3" t="s">
        <v>363</v>
      </c>
      <c r="F297" s="3">
        <v>19660</v>
      </c>
      <c r="G297" s="3">
        <v>1307</v>
      </c>
      <c r="H297" s="3">
        <v>310</v>
      </c>
      <c r="I297" s="3">
        <v>2802</v>
      </c>
      <c r="J297" s="3">
        <v>22171</v>
      </c>
      <c r="K297" s="3">
        <v>213359</v>
      </c>
      <c r="L297" s="3" t="s">
        <v>20</v>
      </c>
      <c r="M297" s="4">
        <v>9.9723939463533293E-2</v>
      </c>
      <c r="N297" s="3" t="str">
        <f>INDEX(Table5_2[Objective], MATCH(L297,Table5_2[Campaign_Name], 0))</f>
        <v>Brand Engagement</v>
      </c>
    </row>
    <row r="298" spans="1:14" x14ac:dyDescent="0.3">
      <c r="A298" s="3" t="s">
        <v>201</v>
      </c>
      <c r="B298" s="3" t="s">
        <v>40</v>
      </c>
      <c r="C298" s="2">
        <v>45937</v>
      </c>
      <c r="D298" s="3" t="s">
        <v>34</v>
      </c>
      <c r="E298" s="3" t="s">
        <v>364</v>
      </c>
      <c r="F298" s="3">
        <v>19660</v>
      </c>
      <c r="G298" s="3">
        <v>1307</v>
      </c>
      <c r="H298" s="3">
        <v>310</v>
      </c>
      <c r="I298" s="3">
        <v>2802</v>
      </c>
      <c r="J298" s="3">
        <v>22171</v>
      </c>
      <c r="K298" s="3">
        <v>213359</v>
      </c>
      <c r="L298" s="3" t="s">
        <v>20</v>
      </c>
      <c r="M298" s="4">
        <v>9.9723939463533293E-2</v>
      </c>
      <c r="N298" s="3" t="str">
        <f>INDEX(Table5_2[Objective], MATCH(L298,Table5_2[Campaign_Name], 0))</f>
        <v>Brand Engagement</v>
      </c>
    </row>
    <row r="299" spans="1:14" x14ac:dyDescent="0.3">
      <c r="A299" s="3" t="s">
        <v>39</v>
      </c>
      <c r="B299" s="3" t="s">
        <v>40</v>
      </c>
      <c r="C299" s="2">
        <v>45727</v>
      </c>
      <c r="D299" s="3" t="s">
        <v>27</v>
      </c>
      <c r="E299" s="3" t="s">
        <v>365</v>
      </c>
      <c r="F299" s="3">
        <v>20222</v>
      </c>
      <c r="G299" s="3">
        <v>712</v>
      </c>
      <c r="H299" s="3">
        <v>604</v>
      </c>
      <c r="I299" s="3">
        <v>1272</v>
      </c>
      <c r="J299" s="3">
        <v>71598</v>
      </c>
      <c r="K299" s="3">
        <v>216422</v>
      </c>
      <c r="L299" s="3" t="s">
        <v>25</v>
      </c>
      <c r="M299" s="4">
        <v>9.9518533235992648E-2</v>
      </c>
      <c r="N299" s="3" t="str">
        <f>INDEX(Table5_2[Objective], MATCH(L299,Table5_2[Campaign_Name], 0))</f>
        <v>Sustainability Branding</v>
      </c>
    </row>
    <row r="300" spans="1:14" x14ac:dyDescent="0.3">
      <c r="A300" s="3" t="s">
        <v>39</v>
      </c>
      <c r="B300" s="3" t="s">
        <v>40</v>
      </c>
      <c r="C300" s="2">
        <v>45727</v>
      </c>
      <c r="D300" s="3" t="s">
        <v>27</v>
      </c>
      <c r="E300" s="3" t="s">
        <v>359</v>
      </c>
      <c r="F300" s="3">
        <v>20222</v>
      </c>
      <c r="G300" s="3">
        <v>712</v>
      </c>
      <c r="H300" s="3">
        <v>604</v>
      </c>
      <c r="I300" s="3">
        <v>1272</v>
      </c>
      <c r="J300" s="3">
        <v>71598</v>
      </c>
      <c r="K300" s="3">
        <v>216422</v>
      </c>
      <c r="L300" s="3" t="s">
        <v>25</v>
      </c>
      <c r="M300" s="4">
        <v>9.9518533235992648E-2</v>
      </c>
      <c r="N300" s="3" t="str">
        <f>INDEX(Table5_2[Objective], MATCH(L300,Table5_2[Campaign_Name], 0))</f>
        <v>Sustainability Branding</v>
      </c>
    </row>
    <row r="301" spans="1:14" x14ac:dyDescent="0.3">
      <c r="A301" s="3" t="s">
        <v>139</v>
      </c>
      <c r="B301" s="3" t="s">
        <v>40</v>
      </c>
      <c r="C301" s="2">
        <v>45927</v>
      </c>
      <c r="D301" s="3" t="s">
        <v>23</v>
      </c>
      <c r="E301" s="3" t="s">
        <v>355</v>
      </c>
      <c r="F301" s="3">
        <v>18521</v>
      </c>
      <c r="G301" s="3">
        <v>1027</v>
      </c>
      <c r="H301" s="3">
        <v>230</v>
      </c>
      <c r="I301" s="3">
        <v>1247</v>
      </c>
      <c r="J301" s="3">
        <v>39588</v>
      </c>
      <c r="K301" s="3">
        <v>200928</v>
      </c>
      <c r="L301" s="3" t="s">
        <v>20</v>
      </c>
      <c r="M301" s="4">
        <v>9.8433269628921807E-2</v>
      </c>
      <c r="N301" s="3" t="str">
        <f>INDEX(Table5_2[Objective], MATCH(L301,Table5_2[Campaign_Name], 0))</f>
        <v>Brand Engagement</v>
      </c>
    </row>
    <row r="302" spans="1:14" x14ac:dyDescent="0.3">
      <c r="A302" s="3" t="s">
        <v>139</v>
      </c>
      <c r="B302" s="3" t="s">
        <v>40</v>
      </c>
      <c r="C302" s="2">
        <v>45927</v>
      </c>
      <c r="D302" s="3" t="s">
        <v>23</v>
      </c>
      <c r="E302" s="3" t="s">
        <v>356</v>
      </c>
      <c r="F302" s="3">
        <v>18521</v>
      </c>
      <c r="G302" s="3">
        <v>1027</v>
      </c>
      <c r="H302" s="3">
        <v>230</v>
      </c>
      <c r="I302" s="3">
        <v>1247</v>
      </c>
      <c r="J302" s="3">
        <v>39588</v>
      </c>
      <c r="K302" s="3">
        <v>200928</v>
      </c>
      <c r="L302" s="3" t="s">
        <v>20</v>
      </c>
      <c r="M302" s="4">
        <v>9.8433269628921807E-2</v>
      </c>
      <c r="N302" s="3" t="str">
        <f>INDEX(Table5_2[Objective], MATCH(L302,Table5_2[Campaign_Name], 0))</f>
        <v>Brand Engagement</v>
      </c>
    </row>
    <row r="303" spans="1:14" x14ac:dyDescent="0.3">
      <c r="A303" s="3" t="s">
        <v>154</v>
      </c>
      <c r="B303" s="3" t="s">
        <v>40</v>
      </c>
      <c r="C303" s="2">
        <v>45600</v>
      </c>
      <c r="D303" s="3" t="s">
        <v>27</v>
      </c>
      <c r="E303" s="3" t="s">
        <v>32</v>
      </c>
      <c r="F303" s="3">
        <v>14234</v>
      </c>
      <c r="G303" s="3">
        <v>1013</v>
      </c>
      <c r="H303" s="3">
        <v>437</v>
      </c>
      <c r="I303" s="3">
        <v>338</v>
      </c>
      <c r="J303" s="3">
        <v>67754</v>
      </c>
      <c r="K303" s="3">
        <v>160030</v>
      </c>
      <c r="L303" s="3" t="s">
        <v>25</v>
      </c>
      <c r="M303" s="4">
        <v>9.8006623758045364E-2</v>
      </c>
      <c r="N303" s="3" t="str">
        <f>INDEX(Table5_2[Objective], MATCH(L303,Table5_2[Campaign_Name], 0))</f>
        <v>Sustainability Branding</v>
      </c>
    </row>
    <row r="304" spans="1:14" x14ac:dyDescent="0.3">
      <c r="A304" s="3" t="s">
        <v>289</v>
      </c>
      <c r="B304" s="3" t="s">
        <v>18</v>
      </c>
      <c r="C304" s="2">
        <v>45916</v>
      </c>
      <c r="D304" s="3" t="s">
        <v>14</v>
      </c>
      <c r="E304" s="3" t="s">
        <v>64</v>
      </c>
      <c r="F304" s="3">
        <v>16043</v>
      </c>
      <c r="G304" s="3">
        <v>595</v>
      </c>
      <c r="H304" s="3">
        <v>923</v>
      </c>
      <c r="I304" s="3">
        <v>1194</v>
      </c>
      <c r="J304" s="3">
        <v>52613</v>
      </c>
      <c r="K304" s="3">
        <v>179978</v>
      </c>
      <c r="L304" s="3" t="s">
        <v>20</v>
      </c>
      <c r="M304" s="4">
        <v>9.757303670448611E-2</v>
      </c>
      <c r="N304" s="3" t="str">
        <f>INDEX(Table5_2[Objective], MATCH(L304,Table5_2[Campaign_Name], 0))</f>
        <v>Brand Engagement</v>
      </c>
    </row>
    <row r="305" spans="1:14" x14ac:dyDescent="0.3">
      <c r="A305" s="3" t="s">
        <v>150</v>
      </c>
      <c r="B305" s="3" t="s">
        <v>40</v>
      </c>
      <c r="C305" s="2">
        <v>45610</v>
      </c>
      <c r="D305" s="3" t="s">
        <v>14</v>
      </c>
      <c r="E305" s="3" t="s">
        <v>357</v>
      </c>
      <c r="F305" s="3">
        <v>6300</v>
      </c>
      <c r="G305" s="3">
        <v>1213</v>
      </c>
      <c r="H305" s="3">
        <v>720</v>
      </c>
      <c r="I305" s="3">
        <v>1037</v>
      </c>
      <c r="J305" s="3">
        <v>39569</v>
      </c>
      <c r="K305" s="3">
        <v>85272</v>
      </c>
      <c r="L305" s="3" t="s">
        <v>29</v>
      </c>
      <c r="M305" s="4">
        <v>9.6549863964724647E-2</v>
      </c>
      <c r="N305" s="3" t="str">
        <f>INDEX(Table5_2[Objective], MATCH(L305,Table5_2[Campaign_Name], 0))</f>
        <v>Product Launch</v>
      </c>
    </row>
    <row r="306" spans="1:14" x14ac:dyDescent="0.3">
      <c r="A306" s="3" t="s">
        <v>150</v>
      </c>
      <c r="B306" s="3" t="s">
        <v>40</v>
      </c>
      <c r="C306" s="2">
        <v>45610</v>
      </c>
      <c r="D306" s="3" t="s">
        <v>14</v>
      </c>
      <c r="E306" s="3" t="s">
        <v>358</v>
      </c>
      <c r="F306" s="3">
        <v>6300</v>
      </c>
      <c r="G306" s="3">
        <v>1213</v>
      </c>
      <c r="H306" s="3">
        <v>720</v>
      </c>
      <c r="I306" s="3">
        <v>1037</v>
      </c>
      <c r="J306" s="3">
        <v>39569</v>
      </c>
      <c r="K306" s="3">
        <v>85272</v>
      </c>
      <c r="L306" s="3" t="s">
        <v>29</v>
      </c>
      <c r="M306" s="4">
        <v>9.6549863964724647E-2</v>
      </c>
      <c r="N306" s="3" t="str">
        <f>INDEX(Table5_2[Objective], MATCH(L306,Table5_2[Campaign_Name], 0))</f>
        <v>Product Launch</v>
      </c>
    </row>
    <row r="307" spans="1:14" x14ac:dyDescent="0.3">
      <c r="A307" s="3" t="s">
        <v>244</v>
      </c>
      <c r="B307" s="3" t="s">
        <v>18</v>
      </c>
      <c r="C307" s="2">
        <v>45467</v>
      </c>
      <c r="D307" s="3" t="s">
        <v>23</v>
      </c>
      <c r="E307" s="3" t="s">
        <v>355</v>
      </c>
      <c r="F307" s="3">
        <v>5596</v>
      </c>
      <c r="G307" s="3">
        <v>1231</v>
      </c>
      <c r="H307" s="3">
        <v>473</v>
      </c>
      <c r="I307" s="3">
        <v>2251</v>
      </c>
      <c r="J307" s="3">
        <v>43705</v>
      </c>
      <c r="K307" s="3">
        <v>75643</v>
      </c>
      <c r="L307" s="3" t="s">
        <v>16</v>
      </c>
      <c r="M307" s="4">
        <v>9.6505955607260427E-2</v>
      </c>
      <c r="N307" s="3" t="str">
        <f>INDEX(Table5_2[Objective], MATCH(L307,Table5_2[Campaign_Name], 0))</f>
        <v>Health &amp; Fitness Awareness</v>
      </c>
    </row>
    <row r="308" spans="1:14" x14ac:dyDescent="0.3">
      <c r="A308" s="3" t="s">
        <v>244</v>
      </c>
      <c r="B308" s="3" t="s">
        <v>18</v>
      </c>
      <c r="C308" s="2">
        <v>45467</v>
      </c>
      <c r="D308" s="3" t="s">
        <v>23</v>
      </c>
      <c r="E308" s="3" t="s">
        <v>356</v>
      </c>
      <c r="F308" s="3">
        <v>5596</v>
      </c>
      <c r="G308" s="3">
        <v>1231</v>
      </c>
      <c r="H308" s="3">
        <v>473</v>
      </c>
      <c r="I308" s="3">
        <v>2251</v>
      </c>
      <c r="J308" s="3">
        <v>43705</v>
      </c>
      <c r="K308" s="3">
        <v>75643</v>
      </c>
      <c r="L308" s="3" t="s">
        <v>16</v>
      </c>
      <c r="M308" s="4">
        <v>9.6505955607260427E-2</v>
      </c>
      <c r="N308" s="3" t="str">
        <f>INDEX(Table5_2[Objective], MATCH(L308,Table5_2[Campaign_Name], 0))</f>
        <v>Health &amp; Fitness Awareness</v>
      </c>
    </row>
    <row r="309" spans="1:14" x14ac:dyDescent="0.3">
      <c r="A309" s="3" t="s">
        <v>299</v>
      </c>
      <c r="B309" s="3" t="s">
        <v>22</v>
      </c>
      <c r="C309" s="2">
        <v>45524</v>
      </c>
      <c r="D309" s="3" t="s">
        <v>23</v>
      </c>
      <c r="E309" s="3" t="s">
        <v>32</v>
      </c>
      <c r="F309" s="3">
        <v>2846</v>
      </c>
      <c r="G309" s="3">
        <v>792</v>
      </c>
      <c r="H309" s="3">
        <v>902</v>
      </c>
      <c r="I309" s="3">
        <v>2469</v>
      </c>
      <c r="J309" s="3">
        <v>12130</v>
      </c>
      <c r="K309" s="3">
        <v>47151</v>
      </c>
      <c r="L309" s="3" t="s">
        <v>16</v>
      </c>
      <c r="M309" s="4">
        <v>9.6286399015927546E-2</v>
      </c>
      <c r="N309" s="3" t="str">
        <f>INDEX(Table5_2[Objective], MATCH(L309,Table5_2[Campaign_Name], 0))</f>
        <v>Health &amp; Fitness Awareness</v>
      </c>
    </row>
    <row r="310" spans="1:14" x14ac:dyDescent="0.3">
      <c r="A310" s="3" t="s">
        <v>70</v>
      </c>
      <c r="B310" s="3" t="s">
        <v>40</v>
      </c>
      <c r="C310" s="2">
        <v>45626</v>
      </c>
      <c r="D310" s="3" t="s">
        <v>27</v>
      </c>
      <c r="E310" s="3" t="s">
        <v>359</v>
      </c>
      <c r="F310" s="3">
        <v>14763</v>
      </c>
      <c r="G310" s="3">
        <v>864</v>
      </c>
      <c r="H310" s="3">
        <v>336</v>
      </c>
      <c r="I310" s="3">
        <v>1493</v>
      </c>
      <c r="J310" s="3">
        <v>33310</v>
      </c>
      <c r="K310" s="3">
        <v>165932</v>
      </c>
      <c r="L310" s="3" t="s">
        <v>29</v>
      </c>
      <c r="M310" s="4">
        <v>9.6202058674637797E-2</v>
      </c>
      <c r="N310" s="3" t="str">
        <f>INDEX(Table5_2[Objective], MATCH(L310,Table5_2[Campaign_Name], 0))</f>
        <v>Product Launch</v>
      </c>
    </row>
    <row r="311" spans="1:14" x14ac:dyDescent="0.3">
      <c r="A311" s="3" t="s">
        <v>70</v>
      </c>
      <c r="B311" s="3" t="s">
        <v>40</v>
      </c>
      <c r="C311" s="2">
        <v>45626</v>
      </c>
      <c r="D311" s="3" t="s">
        <v>27</v>
      </c>
      <c r="E311" s="3" t="s">
        <v>366</v>
      </c>
      <c r="F311" s="3">
        <v>14763</v>
      </c>
      <c r="G311" s="3">
        <v>864</v>
      </c>
      <c r="H311" s="3">
        <v>336</v>
      </c>
      <c r="I311" s="3">
        <v>1493</v>
      </c>
      <c r="J311" s="3">
        <v>33310</v>
      </c>
      <c r="K311" s="3">
        <v>165932</v>
      </c>
      <c r="L311" s="3" t="s">
        <v>29</v>
      </c>
      <c r="M311" s="4">
        <v>9.6202058674637797E-2</v>
      </c>
      <c r="N311" s="3" t="str">
        <f>INDEX(Table5_2[Objective], MATCH(L311,Table5_2[Campaign_Name], 0))</f>
        <v>Product Launch</v>
      </c>
    </row>
    <row r="312" spans="1:14" x14ac:dyDescent="0.3">
      <c r="A312" s="3" t="s">
        <v>60</v>
      </c>
      <c r="B312" s="3" t="s">
        <v>40</v>
      </c>
      <c r="C312" s="2">
        <v>45752</v>
      </c>
      <c r="D312" s="3" t="s">
        <v>27</v>
      </c>
      <c r="E312" s="3" t="s">
        <v>363</v>
      </c>
      <c r="F312" s="3">
        <v>22384</v>
      </c>
      <c r="G312" s="3">
        <v>601</v>
      </c>
      <c r="H312" s="3">
        <v>943</v>
      </c>
      <c r="I312" s="3">
        <v>515</v>
      </c>
      <c r="J312" s="3">
        <v>41309</v>
      </c>
      <c r="K312" s="3">
        <v>249373</v>
      </c>
      <c r="L312" s="3" t="s">
        <v>16</v>
      </c>
      <c r="M312" s="4">
        <v>9.5952649244304716E-2</v>
      </c>
      <c r="N312" s="3" t="str">
        <f>INDEX(Table5_2[Objective], MATCH(L312,Table5_2[Campaign_Name], 0))</f>
        <v>Health &amp; Fitness Awareness</v>
      </c>
    </row>
    <row r="313" spans="1:14" x14ac:dyDescent="0.3">
      <c r="A313" s="3" t="s">
        <v>60</v>
      </c>
      <c r="B313" s="3" t="s">
        <v>40</v>
      </c>
      <c r="C313" s="2">
        <v>45752</v>
      </c>
      <c r="D313" s="3" t="s">
        <v>27</v>
      </c>
      <c r="E313" s="3" t="s">
        <v>364</v>
      </c>
      <c r="F313" s="3">
        <v>22384</v>
      </c>
      <c r="G313" s="3">
        <v>601</v>
      </c>
      <c r="H313" s="3">
        <v>943</v>
      </c>
      <c r="I313" s="3">
        <v>515</v>
      </c>
      <c r="J313" s="3">
        <v>41309</v>
      </c>
      <c r="K313" s="3">
        <v>249373</v>
      </c>
      <c r="L313" s="3" t="s">
        <v>16</v>
      </c>
      <c r="M313" s="4">
        <v>9.5952649244304716E-2</v>
      </c>
      <c r="N313" s="3" t="str">
        <f>INDEX(Table5_2[Objective], MATCH(L313,Table5_2[Campaign_Name], 0))</f>
        <v>Health &amp; Fitness Awareness</v>
      </c>
    </row>
    <row r="314" spans="1:14" x14ac:dyDescent="0.3">
      <c r="A314" s="3" t="s">
        <v>274</v>
      </c>
      <c r="B314" s="3" t="s">
        <v>40</v>
      </c>
      <c r="C314" s="2">
        <v>45489</v>
      </c>
      <c r="D314" s="3" t="s">
        <v>23</v>
      </c>
      <c r="E314" s="3" t="s">
        <v>365</v>
      </c>
      <c r="F314" s="3">
        <v>8767</v>
      </c>
      <c r="G314" s="3">
        <v>974</v>
      </c>
      <c r="H314" s="3">
        <v>733</v>
      </c>
      <c r="I314" s="3">
        <v>1587</v>
      </c>
      <c r="J314" s="3">
        <v>74927</v>
      </c>
      <c r="K314" s="3">
        <v>113770</v>
      </c>
      <c r="L314" s="3" t="s">
        <v>16</v>
      </c>
      <c r="M314" s="4">
        <v>9.2062933989628198E-2</v>
      </c>
      <c r="N314" s="3" t="str">
        <f>INDEX(Table5_2[Objective], MATCH(L314,Table5_2[Campaign_Name], 0))</f>
        <v>Health &amp; Fitness Awareness</v>
      </c>
    </row>
    <row r="315" spans="1:14" x14ac:dyDescent="0.3">
      <c r="A315" s="3" t="s">
        <v>274</v>
      </c>
      <c r="B315" s="3" t="s">
        <v>40</v>
      </c>
      <c r="C315" s="2">
        <v>45489</v>
      </c>
      <c r="D315" s="3" t="s">
        <v>23</v>
      </c>
      <c r="E315" s="3" t="s">
        <v>359</v>
      </c>
      <c r="F315" s="3">
        <v>8767</v>
      </c>
      <c r="G315" s="3">
        <v>974</v>
      </c>
      <c r="H315" s="3">
        <v>733</v>
      </c>
      <c r="I315" s="3">
        <v>1587</v>
      </c>
      <c r="J315" s="3">
        <v>74927</v>
      </c>
      <c r="K315" s="3">
        <v>113770</v>
      </c>
      <c r="L315" s="3" t="s">
        <v>16</v>
      </c>
      <c r="M315" s="4">
        <v>9.2062933989628198E-2</v>
      </c>
      <c r="N315" s="3" t="str">
        <f>INDEX(Table5_2[Objective], MATCH(L315,Table5_2[Campaign_Name], 0))</f>
        <v>Health &amp; Fitness Awareness</v>
      </c>
    </row>
    <row r="316" spans="1:14" x14ac:dyDescent="0.3">
      <c r="A316" s="3" t="s">
        <v>91</v>
      </c>
      <c r="B316" s="3" t="s">
        <v>18</v>
      </c>
      <c r="C316" s="2">
        <v>45644</v>
      </c>
      <c r="D316" s="3" t="s">
        <v>23</v>
      </c>
      <c r="E316" s="3" t="s">
        <v>365</v>
      </c>
      <c r="F316" s="3">
        <v>14775</v>
      </c>
      <c r="G316" s="3">
        <v>1220</v>
      </c>
      <c r="H316" s="3">
        <v>640</v>
      </c>
      <c r="I316" s="3">
        <v>1547</v>
      </c>
      <c r="J316" s="3">
        <v>28527</v>
      </c>
      <c r="K316" s="3">
        <v>183660</v>
      </c>
      <c r="L316" s="3" t="s">
        <v>45</v>
      </c>
      <c r="M316" s="4">
        <v>9.0574975498203203E-2</v>
      </c>
      <c r="N316" s="3" t="str">
        <f>INDEX(Table5_2[Objective], MATCH(L316,Table5_2[Campaign_Name], 0))</f>
        <v>Product Promotion</v>
      </c>
    </row>
    <row r="317" spans="1:14" x14ac:dyDescent="0.3">
      <c r="A317" s="3" t="s">
        <v>91</v>
      </c>
      <c r="B317" s="3" t="s">
        <v>18</v>
      </c>
      <c r="C317" s="2">
        <v>45644</v>
      </c>
      <c r="D317" s="3" t="s">
        <v>23</v>
      </c>
      <c r="E317" s="3" t="s">
        <v>359</v>
      </c>
      <c r="F317" s="3">
        <v>14775</v>
      </c>
      <c r="G317" s="3">
        <v>1220</v>
      </c>
      <c r="H317" s="3">
        <v>640</v>
      </c>
      <c r="I317" s="3">
        <v>1547</v>
      </c>
      <c r="J317" s="3">
        <v>28527</v>
      </c>
      <c r="K317" s="3">
        <v>183660</v>
      </c>
      <c r="L317" s="3" t="s">
        <v>45</v>
      </c>
      <c r="M317" s="4">
        <v>9.0574975498203203E-2</v>
      </c>
      <c r="N317" s="3" t="str">
        <f>INDEX(Table5_2[Objective], MATCH(L317,Table5_2[Campaign_Name], 0))</f>
        <v>Product Promotion</v>
      </c>
    </row>
    <row r="318" spans="1:14" x14ac:dyDescent="0.3">
      <c r="A318" s="3" t="s">
        <v>302</v>
      </c>
      <c r="B318" s="3" t="s">
        <v>40</v>
      </c>
      <c r="C318" s="2">
        <v>45621</v>
      </c>
      <c r="D318" s="3" t="s">
        <v>27</v>
      </c>
      <c r="E318" s="3" t="s">
        <v>365</v>
      </c>
      <c r="F318" s="3">
        <v>17385</v>
      </c>
      <c r="G318" s="3">
        <v>831</v>
      </c>
      <c r="H318" s="3">
        <v>568</v>
      </c>
      <c r="I318" s="3">
        <v>2227</v>
      </c>
      <c r="J318" s="3">
        <v>49351</v>
      </c>
      <c r="K318" s="3">
        <v>207450</v>
      </c>
      <c r="L318" s="3" t="s">
        <v>25</v>
      </c>
      <c r="M318" s="4">
        <v>9.0547119787900698E-2</v>
      </c>
      <c r="N318" s="3" t="str">
        <f>INDEX(Table5_2[Objective], MATCH(L318,Table5_2[Campaign_Name], 0))</f>
        <v>Sustainability Branding</v>
      </c>
    </row>
    <row r="319" spans="1:14" x14ac:dyDescent="0.3">
      <c r="A319" s="3" t="s">
        <v>302</v>
      </c>
      <c r="B319" s="3" t="s">
        <v>40</v>
      </c>
      <c r="C319" s="2">
        <v>45621</v>
      </c>
      <c r="D319" s="3" t="s">
        <v>27</v>
      </c>
      <c r="E319" s="3" t="s">
        <v>359</v>
      </c>
      <c r="F319" s="3">
        <v>17385</v>
      </c>
      <c r="G319" s="3">
        <v>831</v>
      </c>
      <c r="H319" s="3">
        <v>568</v>
      </c>
      <c r="I319" s="3">
        <v>2227</v>
      </c>
      <c r="J319" s="3">
        <v>49351</v>
      </c>
      <c r="K319" s="3">
        <v>207450</v>
      </c>
      <c r="L319" s="3" t="s">
        <v>25</v>
      </c>
      <c r="M319" s="4">
        <v>9.0547119787900698E-2</v>
      </c>
      <c r="N319" s="3" t="str">
        <f>INDEX(Table5_2[Objective], MATCH(L319,Table5_2[Campaign_Name], 0))</f>
        <v>Sustainability Branding</v>
      </c>
    </row>
    <row r="320" spans="1:14" x14ac:dyDescent="0.3">
      <c r="A320" s="3" t="s">
        <v>215</v>
      </c>
      <c r="B320" s="3" t="s">
        <v>22</v>
      </c>
      <c r="C320" s="2">
        <v>45488</v>
      </c>
      <c r="D320" s="3" t="s">
        <v>14</v>
      </c>
      <c r="E320" s="3" t="s">
        <v>359</v>
      </c>
      <c r="F320" s="3">
        <v>17034</v>
      </c>
      <c r="G320" s="3">
        <v>231</v>
      </c>
      <c r="H320" s="3">
        <v>290</v>
      </c>
      <c r="I320" s="3">
        <v>1387</v>
      </c>
      <c r="J320" s="3">
        <v>63550</v>
      </c>
      <c r="K320" s="3">
        <v>198280</v>
      </c>
      <c r="L320" s="3" t="s">
        <v>45</v>
      </c>
      <c r="M320" s="4">
        <v>8.8536413153116805E-2</v>
      </c>
      <c r="N320" s="3" t="str">
        <f>INDEX(Table5_2[Objective], MATCH(L320,Table5_2[Campaign_Name], 0))</f>
        <v>Product Promotion</v>
      </c>
    </row>
    <row r="321" spans="1:14" x14ac:dyDescent="0.3">
      <c r="A321" s="3" t="s">
        <v>215</v>
      </c>
      <c r="B321" s="3" t="s">
        <v>22</v>
      </c>
      <c r="C321" s="2">
        <v>45488</v>
      </c>
      <c r="D321" s="3" t="s">
        <v>14</v>
      </c>
      <c r="E321" s="3" t="s">
        <v>366</v>
      </c>
      <c r="F321" s="3">
        <v>17034</v>
      </c>
      <c r="G321" s="3">
        <v>231</v>
      </c>
      <c r="H321" s="3">
        <v>290</v>
      </c>
      <c r="I321" s="3">
        <v>1387</v>
      </c>
      <c r="J321" s="3">
        <v>63550</v>
      </c>
      <c r="K321" s="3">
        <v>198280</v>
      </c>
      <c r="L321" s="3" t="s">
        <v>45</v>
      </c>
      <c r="M321" s="4">
        <v>8.8536413153116805E-2</v>
      </c>
      <c r="N321" s="3" t="str">
        <f>INDEX(Table5_2[Objective], MATCH(L321,Table5_2[Campaign_Name], 0))</f>
        <v>Product Promotion</v>
      </c>
    </row>
    <row r="322" spans="1:14" x14ac:dyDescent="0.3">
      <c r="A322" s="3" t="s">
        <v>17</v>
      </c>
      <c r="B322" s="3" t="s">
        <v>18</v>
      </c>
      <c r="C322" s="2">
        <v>45903</v>
      </c>
      <c r="D322" s="3" t="s">
        <v>14</v>
      </c>
      <c r="E322" s="3" t="s">
        <v>355</v>
      </c>
      <c r="F322" s="3">
        <v>4779</v>
      </c>
      <c r="G322" s="3">
        <v>1110</v>
      </c>
      <c r="H322" s="3">
        <v>436</v>
      </c>
      <c r="I322" s="3">
        <v>1574</v>
      </c>
      <c r="J322" s="3">
        <v>77167</v>
      </c>
      <c r="K322" s="3">
        <v>71585</v>
      </c>
      <c r="L322" s="3" t="s">
        <v>20</v>
      </c>
      <c r="M322" s="4">
        <v>8.8356499266606131E-2</v>
      </c>
      <c r="N322" s="3" t="str">
        <f>INDEX(Table5_2[Objective], MATCH(L322,Table5_2[Campaign_Name], 0))</f>
        <v>Brand Engagement</v>
      </c>
    </row>
    <row r="323" spans="1:14" x14ac:dyDescent="0.3">
      <c r="A323" s="3" t="s">
        <v>17</v>
      </c>
      <c r="B323" s="3" t="s">
        <v>18</v>
      </c>
      <c r="C323" s="2">
        <v>45903</v>
      </c>
      <c r="D323" s="3" t="s">
        <v>14</v>
      </c>
      <c r="E323" s="3" t="s">
        <v>356</v>
      </c>
      <c r="F323" s="3">
        <v>4779</v>
      </c>
      <c r="G323" s="3">
        <v>1110</v>
      </c>
      <c r="H323" s="3">
        <v>436</v>
      </c>
      <c r="I323" s="3">
        <v>1574</v>
      </c>
      <c r="J323" s="3">
        <v>77167</v>
      </c>
      <c r="K323" s="3">
        <v>71585</v>
      </c>
      <c r="L323" s="3" t="s">
        <v>20</v>
      </c>
      <c r="M323" s="4">
        <v>8.8356499266606131E-2</v>
      </c>
      <c r="N323" s="3" t="str">
        <f>INDEX(Table5_2[Objective], MATCH(L323,Table5_2[Campaign_Name], 0))</f>
        <v>Brand Engagement</v>
      </c>
    </row>
    <row r="324" spans="1:14" x14ac:dyDescent="0.3">
      <c r="A324" s="3" t="s">
        <v>122</v>
      </c>
      <c r="B324" s="3" t="s">
        <v>13</v>
      </c>
      <c r="C324" s="2">
        <v>45684</v>
      </c>
      <c r="D324" s="3" t="s">
        <v>34</v>
      </c>
      <c r="E324" s="3" t="s">
        <v>365</v>
      </c>
      <c r="F324" s="3">
        <v>8949</v>
      </c>
      <c r="G324" s="3">
        <v>1477</v>
      </c>
      <c r="H324" s="3">
        <v>424</v>
      </c>
      <c r="I324" s="3">
        <v>1030</v>
      </c>
      <c r="J324" s="3">
        <v>58052</v>
      </c>
      <c r="K324" s="3">
        <v>123310</v>
      </c>
      <c r="L324" s="3" t="s">
        <v>16</v>
      </c>
      <c r="M324" s="4">
        <v>8.7989619657773091E-2</v>
      </c>
      <c r="N324" s="3" t="str">
        <f>INDEX(Table5_2[Objective], MATCH(L324,Table5_2[Campaign_Name], 0))</f>
        <v>Health &amp; Fitness Awareness</v>
      </c>
    </row>
    <row r="325" spans="1:14" x14ac:dyDescent="0.3">
      <c r="A325" s="3" t="s">
        <v>122</v>
      </c>
      <c r="B325" s="3" t="s">
        <v>13</v>
      </c>
      <c r="C325" s="2">
        <v>45684</v>
      </c>
      <c r="D325" s="3" t="s">
        <v>34</v>
      </c>
      <c r="E325" s="3" t="s">
        <v>359</v>
      </c>
      <c r="F325" s="3">
        <v>8949</v>
      </c>
      <c r="G325" s="3">
        <v>1477</v>
      </c>
      <c r="H325" s="3">
        <v>424</v>
      </c>
      <c r="I325" s="3">
        <v>1030</v>
      </c>
      <c r="J325" s="3">
        <v>58052</v>
      </c>
      <c r="K325" s="3">
        <v>123310</v>
      </c>
      <c r="L325" s="3" t="s">
        <v>16</v>
      </c>
      <c r="M325" s="4">
        <v>8.7989619657773091E-2</v>
      </c>
      <c r="N325" s="3" t="str">
        <f>INDEX(Table5_2[Objective], MATCH(L325,Table5_2[Campaign_Name], 0))</f>
        <v>Health &amp; Fitness Awareness</v>
      </c>
    </row>
    <row r="326" spans="1:14" x14ac:dyDescent="0.3">
      <c r="A326" s="3" t="s">
        <v>92</v>
      </c>
      <c r="B326" s="3" t="s">
        <v>18</v>
      </c>
      <c r="C326" s="2">
        <v>45586</v>
      </c>
      <c r="D326" s="3" t="s">
        <v>27</v>
      </c>
      <c r="E326" s="3" t="s">
        <v>359</v>
      </c>
      <c r="F326" s="3">
        <v>12015</v>
      </c>
      <c r="G326" s="3">
        <v>1196</v>
      </c>
      <c r="H326" s="3">
        <v>998</v>
      </c>
      <c r="I326" s="3">
        <v>1848</v>
      </c>
      <c r="J326" s="3">
        <v>44739</v>
      </c>
      <c r="K326" s="3">
        <v>161750</v>
      </c>
      <c r="L326" s="3" t="s">
        <v>45</v>
      </c>
      <c r="M326" s="4">
        <v>8.7845440494590421E-2</v>
      </c>
      <c r="N326" s="3" t="str">
        <f>INDEX(Table5_2[Objective], MATCH(L326,Table5_2[Campaign_Name], 0))</f>
        <v>Product Promotion</v>
      </c>
    </row>
    <row r="327" spans="1:14" x14ac:dyDescent="0.3">
      <c r="A327" s="3" t="s">
        <v>92</v>
      </c>
      <c r="B327" s="3" t="s">
        <v>18</v>
      </c>
      <c r="C327" s="2">
        <v>45586</v>
      </c>
      <c r="D327" s="3" t="s">
        <v>27</v>
      </c>
      <c r="E327" s="3" t="s">
        <v>366</v>
      </c>
      <c r="F327" s="3">
        <v>12015</v>
      </c>
      <c r="G327" s="3">
        <v>1196</v>
      </c>
      <c r="H327" s="3">
        <v>998</v>
      </c>
      <c r="I327" s="3">
        <v>1848</v>
      </c>
      <c r="J327" s="3">
        <v>44739</v>
      </c>
      <c r="K327" s="3">
        <v>161750</v>
      </c>
      <c r="L327" s="3" t="s">
        <v>45</v>
      </c>
      <c r="M327" s="4">
        <v>8.7845440494590421E-2</v>
      </c>
      <c r="N327" s="3" t="str">
        <f>INDEX(Table5_2[Objective], MATCH(L327,Table5_2[Campaign_Name], 0))</f>
        <v>Product Promotion</v>
      </c>
    </row>
    <row r="328" spans="1:14" x14ac:dyDescent="0.3">
      <c r="A328" s="3" t="s">
        <v>333</v>
      </c>
      <c r="B328" s="3" t="s">
        <v>40</v>
      </c>
      <c r="C328" s="2">
        <v>45650</v>
      </c>
      <c r="D328" s="3" t="s">
        <v>14</v>
      </c>
      <c r="E328" s="3" t="s">
        <v>64</v>
      </c>
      <c r="F328" s="3">
        <v>10512</v>
      </c>
      <c r="G328" s="3">
        <v>1197</v>
      </c>
      <c r="H328" s="3">
        <v>544</v>
      </c>
      <c r="I328" s="3">
        <v>2012</v>
      </c>
      <c r="J328" s="3">
        <v>10245</v>
      </c>
      <c r="K328" s="3">
        <v>140102</v>
      </c>
      <c r="L328" s="3" t="s">
        <v>16</v>
      </c>
      <c r="M328" s="4">
        <v>8.745770938316369E-2</v>
      </c>
      <c r="N328" s="3" t="str">
        <f>INDEX(Table5_2[Objective], MATCH(L328,Table5_2[Campaign_Name], 0))</f>
        <v>Health &amp; Fitness Awareness</v>
      </c>
    </row>
    <row r="329" spans="1:14" x14ac:dyDescent="0.3">
      <c r="A329" s="3" t="s">
        <v>173</v>
      </c>
      <c r="B329" s="3" t="s">
        <v>22</v>
      </c>
      <c r="C329" s="2">
        <v>45504</v>
      </c>
      <c r="D329" s="3" t="s">
        <v>34</v>
      </c>
      <c r="E329" s="3" t="s">
        <v>359</v>
      </c>
      <c r="F329" s="3">
        <v>13314</v>
      </c>
      <c r="G329" s="3">
        <v>274</v>
      </c>
      <c r="H329" s="3">
        <v>626</v>
      </c>
      <c r="I329" s="3">
        <v>2280</v>
      </c>
      <c r="J329" s="3">
        <v>14639</v>
      </c>
      <c r="K329" s="3">
        <v>163008</v>
      </c>
      <c r="L329" s="3" t="s">
        <v>29</v>
      </c>
      <c r="M329" s="4">
        <v>8.7198174322732622E-2</v>
      </c>
      <c r="N329" s="3" t="str">
        <f>INDEX(Table5_2[Objective], MATCH(L329,Table5_2[Campaign_Name], 0))</f>
        <v>Product Launch</v>
      </c>
    </row>
    <row r="330" spans="1:14" x14ac:dyDescent="0.3">
      <c r="A330" s="3" t="s">
        <v>173</v>
      </c>
      <c r="B330" s="3" t="s">
        <v>22</v>
      </c>
      <c r="C330" s="2">
        <v>45504</v>
      </c>
      <c r="D330" s="3" t="s">
        <v>34</v>
      </c>
      <c r="E330" s="3" t="s">
        <v>360</v>
      </c>
      <c r="F330" s="3">
        <v>13314</v>
      </c>
      <c r="G330" s="3">
        <v>274</v>
      </c>
      <c r="H330" s="3">
        <v>626</v>
      </c>
      <c r="I330" s="3">
        <v>2280</v>
      </c>
      <c r="J330" s="3">
        <v>14639</v>
      </c>
      <c r="K330" s="3">
        <v>163008</v>
      </c>
      <c r="L330" s="3" t="s">
        <v>29</v>
      </c>
      <c r="M330" s="4">
        <v>8.7198174322732622E-2</v>
      </c>
      <c r="N330" s="3" t="str">
        <f>INDEX(Table5_2[Objective], MATCH(L330,Table5_2[Campaign_Name], 0))</f>
        <v>Product Launch</v>
      </c>
    </row>
    <row r="331" spans="1:14" x14ac:dyDescent="0.3">
      <c r="A331" s="3" t="s">
        <v>63</v>
      </c>
      <c r="B331" s="3" t="s">
        <v>18</v>
      </c>
      <c r="C331" s="2">
        <v>45910</v>
      </c>
      <c r="D331" s="3" t="s">
        <v>34</v>
      </c>
      <c r="E331" s="3" t="s">
        <v>64</v>
      </c>
      <c r="F331" s="3">
        <v>9266</v>
      </c>
      <c r="G331" s="3">
        <v>999</v>
      </c>
      <c r="H331" s="3">
        <v>928</v>
      </c>
      <c r="I331" s="3">
        <v>2700</v>
      </c>
      <c r="J331" s="3">
        <v>12264</v>
      </c>
      <c r="K331" s="3">
        <v>128397</v>
      </c>
      <c r="L331" s="3" t="s">
        <v>20</v>
      </c>
      <c r="M331" s="4">
        <v>8.7174933993784898E-2</v>
      </c>
      <c r="N331" s="3" t="str">
        <f>INDEX(Table5_2[Objective], MATCH(L331,Table5_2[Campaign_Name], 0))</f>
        <v>Brand Engagement</v>
      </c>
    </row>
    <row r="332" spans="1:14" x14ac:dyDescent="0.3">
      <c r="A332" s="3" t="s">
        <v>69</v>
      </c>
      <c r="B332" s="3" t="s">
        <v>40</v>
      </c>
      <c r="C332" s="2">
        <v>45912</v>
      </c>
      <c r="D332" s="3" t="s">
        <v>23</v>
      </c>
      <c r="E332" s="3" t="s">
        <v>357</v>
      </c>
      <c r="F332" s="3">
        <v>17158</v>
      </c>
      <c r="G332" s="3">
        <v>1192</v>
      </c>
      <c r="H332" s="3">
        <v>262</v>
      </c>
      <c r="I332" s="3">
        <v>2016</v>
      </c>
      <c r="J332" s="3">
        <v>28771</v>
      </c>
      <c r="K332" s="3">
        <v>216037</v>
      </c>
      <c r="L332" s="3" t="s">
        <v>20</v>
      </c>
      <c r="M332" s="4">
        <v>8.6151909163708074E-2</v>
      </c>
      <c r="N332" s="3" t="str">
        <f>INDEX(Table5_2[Objective], MATCH(L332,Table5_2[Campaign_Name], 0))</f>
        <v>Brand Engagement</v>
      </c>
    </row>
    <row r="333" spans="1:14" x14ac:dyDescent="0.3">
      <c r="A333" s="3" t="s">
        <v>69</v>
      </c>
      <c r="B333" s="3" t="s">
        <v>40</v>
      </c>
      <c r="C333" s="2">
        <v>45912</v>
      </c>
      <c r="D333" s="3" t="s">
        <v>23</v>
      </c>
      <c r="E333" s="3" t="s">
        <v>358</v>
      </c>
      <c r="F333" s="3">
        <v>17158</v>
      </c>
      <c r="G333" s="3">
        <v>1192</v>
      </c>
      <c r="H333" s="3">
        <v>262</v>
      </c>
      <c r="I333" s="3">
        <v>2016</v>
      </c>
      <c r="J333" s="3">
        <v>28771</v>
      </c>
      <c r="K333" s="3">
        <v>216037</v>
      </c>
      <c r="L333" s="3" t="s">
        <v>20</v>
      </c>
      <c r="M333" s="4">
        <v>8.6151909163708074E-2</v>
      </c>
      <c r="N333" s="3" t="str">
        <f>INDEX(Table5_2[Objective], MATCH(L333,Table5_2[Campaign_Name], 0))</f>
        <v>Brand Engagement</v>
      </c>
    </row>
    <row r="334" spans="1:14" x14ac:dyDescent="0.3">
      <c r="A334" s="3" t="s">
        <v>99</v>
      </c>
      <c r="B334" s="3" t="s">
        <v>22</v>
      </c>
      <c r="C334" s="2">
        <v>45521</v>
      </c>
      <c r="D334" s="3" t="s">
        <v>27</v>
      </c>
      <c r="E334" s="3" t="s">
        <v>32</v>
      </c>
      <c r="F334" s="3">
        <v>19154</v>
      </c>
      <c r="G334" s="3">
        <v>1064</v>
      </c>
      <c r="H334" s="3">
        <v>650</v>
      </c>
      <c r="I334" s="3">
        <v>747</v>
      </c>
      <c r="J334" s="3">
        <v>42667</v>
      </c>
      <c r="K334" s="3">
        <v>242332</v>
      </c>
      <c r="L334" s="3" t="s">
        <v>25</v>
      </c>
      <c r="M334" s="4">
        <v>8.6113266097750191E-2</v>
      </c>
      <c r="N334" s="3" t="str">
        <f>INDEX(Table5_2[Objective], MATCH(L334,Table5_2[Campaign_Name], 0))</f>
        <v>Sustainability Branding</v>
      </c>
    </row>
    <row r="335" spans="1:14" x14ac:dyDescent="0.3">
      <c r="A335" s="3" t="s">
        <v>90</v>
      </c>
      <c r="B335" s="3" t="s">
        <v>13</v>
      </c>
      <c r="C335" s="2">
        <v>45460</v>
      </c>
      <c r="D335" s="3" t="s">
        <v>34</v>
      </c>
      <c r="E335" s="3" t="s">
        <v>353</v>
      </c>
      <c r="F335" s="3">
        <v>6976</v>
      </c>
      <c r="G335" s="3">
        <v>1320</v>
      </c>
      <c r="H335" s="3">
        <v>393</v>
      </c>
      <c r="I335" s="3">
        <v>2285</v>
      </c>
      <c r="J335" s="3">
        <v>14049</v>
      </c>
      <c r="K335" s="3">
        <v>101367</v>
      </c>
      <c r="L335" s="3" t="s">
        <v>45</v>
      </c>
      <c r="M335" s="4">
        <v>8.5718231771681114E-2</v>
      </c>
      <c r="N335" s="3" t="str">
        <f>INDEX(Table5_2[Objective], MATCH(L335,Table5_2[Campaign_Name], 0))</f>
        <v>Product Promotion</v>
      </c>
    </row>
    <row r="336" spans="1:14" x14ac:dyDescent="0.3">
      <c r="A336" s="3" t="s">
        <v>90</v>
      </c>
      <c r="B336" s="3" t="s">
        <v>13</v>
      </c>
      <c r="C336" s="2">
        <v>45460</v>
      </c>
      <c r="D336" s="3" t="s">
        <v>34</v>
      </c>
      <c r="E336" s="3" t="s">
        <v>354</v>
      </c>
      <c r="F336" s="3">
        <v>6976</v>
      </c>
      <c r="G336" s="3">
        <v>1320</v>
      </c>
      <c r="H336" s="3">
        <v>393</v>
      </c>
      <c r="I336" s="3">
        <v>2285</v>
      </c>
      <c r="J336" s="3">
        <v>14049</v>
      </c>
      <c r="K336" s="3">
        <v>101367</v>
      </c>
      <c r="L336" s="3" t="s">
        <v>45</v>
      </c>
      <c r="M336" s="4">
        <v>8.5718231771681114E-2</v>
      </c>
      <c r="N336" s="3" t="str">
        <f>INDEX(Table5_2[Objective], MATCH(L336,Table5_2[Campaign_Name], 0))</f>
        <v>Product Promotion</v>
      </c>
    </row>
    <row r="337" spans="1:14" x14ac:dyDescent="0.3">
      <c r="A337" s="3" t="s">
        <v>295</v>
      </c>
      <c r="B337" s="3" t="s">
        <v>18</v>
      </c>
      <c r="C337" s="2">
        <v>45698</v>
      </c>
      <c r="D337" s="3" t="s">
        <v>34</v>
      </c>
      <c r="E337" s="3" t="s">
        <v>355</v>
      </c>
      <c r="F337" s="3">
        <v>16309</v>
      </c>
      <c r="G337" s="3">
        <v>1449</v>
      </c>
      <c r="H337" s="3">
        <v>838</v>
      </c>
      <c r="I337" s="3">
        <v>2434</v>
      </c>
      <c r="J337" s="3">
        <v>2940</v>
      </c>
      <c r="K337" s="3">
        <v>217953</v>
      </c>
      <c r="L337" s="3" t="s">
        <v>29</v>
      </c>
      <c r="M337" s="4">
        <v>8.5321147219813445E-2</v>
      </c>
      <c r="N337" s="3" t="str">
        <f>INDEX(Table5_2[Objective], MATCH(L337,Table5_2[Campaign_Name], 0))</f>
        <v>Product Launch</v>
      </c>
    </row>
    <row r="338" spans="1:14" x14ac:dyDescent="0.3">
      <c r="A338" s="3" t="s">
        <v>295</v>
      </c>
      <c r="B338" s="3" t="s">
        <v>18</v>
      </c>
      <c r="C338" s="2">
        <v>45698</v>
      </c>
      <c r="D338" s="3" t="s">
        <v>34</v>
      </c>
      <c r="E338" s="3" t="s">
        <v>356</v>
      </c>
      <c r="F338" s="3">
        <v>16309</v>
      </c>
      <c r="G338" s="3">
        <v>1449</v>
      </c>
      <c r="H338" s="3">
        <v>838</v>
      </c>
      <c r="I338" s="3">
        <v>2434</v>
      </c>
      <c r="J338" s="3">
        <v>2940</v>
      </c>
      <c r="K338" s="3">
        <v>217953</v>
      </c>
      <c r="L338" s="3" t="s">
        <v>29</v>
      </c>
      <c r="M338" s="4">
        <v>8.5321147219813445E-2</v>
      </c>
      <c r="N338" s="3" t="str">
        <f>INDEX(Table5_2[Objective], MATCH(L338,Table5_2[Campaign_Name], 0))</f>
        <v>Product Launch</v>
      </c>
    </row>
    <row r="339" spans="1:14" x14ac:dyDescent="0.3">
      <c r="A339" s="3" t="s">
        <v>59</v>
      </c>
      <c r="B339" s="3" t="s">
        <v>18</v>
      </c>
      <c r="C339" s="2">
        <v>45909</v>
      </c>
      <c r="D339" s="3" t="s">
        <v>27</v>
      </c>
      <c r="E339" s="3" t="s">
        <v>363</v>
      </c>
      <c r="F339" s="3">
        <v>15772</v>
      </c>
      <c r="G339" s="3">
        <v>288</v>
      </c>
      <c r="H339" s="3">
        <v>520</v>
      </c>
      <c r="I339" s="3">
        <v>1585</v>
      </c>
      <c r="J339" s="3">
        <v>59182</v>
      </c>
      <c r="K339" s="3">
        <v>194351</v>
      </c>
      <c r="L339" s="3" t="s">
        <v>20</v>
      </c>
      <c r="M339" s="4">
        <v>8.5309568769905988E-2</v>
      </c>
      <c r="N339" s="3" t="str">
        <f>INDEX(Table5_2[Objective], MATCH(L339,Table5_2[Campaign_Name], 0))</f>
        <v>Brand Engagement</v>
      </c>
    </row>
    <row r="340" spans="1:14" x14ac:dyDescent="0.3">
      <c r="A340" s="3" t="s">
        <v>59</v>
      </c>
      <c r="B340" s="3" t="s">
        <v>18</v>
      </c>
      <c r="C340" s="2">
        <v>45909</v>
      </c>
      <c r="D340" s="3" t="s">
        <v>27</v>
      </c>
      <c r="E340" s="3" t="s">
        <v>364</v>
      </c>
      <c r="F340" s="3">
        <v>15772</v>
      </c>
      <c r="G340" s="3">
        <v>288</v>
      </c>
      <c r="H340" s="3">
        <v>520</v>
      </c>
      <c r="I340" s="3">
        <v>1585</v>
      </c>
      <c r="J340" s="3">
        <v>59182</v>
      </c>
      <c r="K340" s="3">
        <v>194351</v>
      </c>
      <c r="L340" s="3" t="s">
        <v>20</v>
      </c>
      <c r="M340" s="4">
        <v>8.5309568769905988E-2</v>
      </c>
      <c r="N340" s="3" t="str">
        <f>INDEX(Table5_2[Objective], MATCH(L340,Table5_2[Campaign_Name], 0))</f>
        <v>Brand Engagement</v>
      </c>
    </row>
    <row r="341" spans="1:14" x14ac:dyDescent="0.3">
      <c r="A341" s="3" t="s">
        <v>249</v>
      </c>
      <c r="B341" s="3" t="s">
        <v>22</v>
      </c>
      <c r="C341" s="2">
        <v>45778</v>
      </c>
      <c r="D341" s="3" t="s">
        <v>23</v>
      </c>
      <c r="E341" s="3" t="s">
        <v>365</v>
      </c>
      <c r="F341" s="3">
        <v>10258</v>
      </c>
      <c r="G341" s="3">
        <v>527</v>
      </c>
      <c r="H341" s="3">
        <v>854</v>
      </c>
      <c r="I341" s="3">
        <v>2068</v>
      </c>
      <c r="J341" s="3">
        <v>45632</v>
      </c>
      <c r="K341" s="3">
        <v>136546</v>
      </c>
      <c r="L341" s="3" t="s">
        <v>45</v>
      </c>
      <c r="M341" s="4">
        <v>8.5238674146441498E-2</v>
      </c>
      <c r="N341" s="3" t="str">
        <f>INDEX(Table5_2[Objective], MATCH(L341,Table5_2[Campaign_Name], 0))</f>
        <v>Product Promotion</v>
      </c>
    </row>
    <row r="342" spans="1:14" x14ac:dyDescent="0.3">
      <c r="A342" s="3" t="s">
        <v>249</v>
      </c>
      <c r="B342" s="3" t="s">
        <v>22</v>
      </c>
      <c r="C342" s="2">
        <v>45778</v>
      </c>
      <c r="D342" s="3" t="s">
        <v>23</v>
      </c>
      <c r="E342" s="3" t="s">
        <v>359</v>
      </c>
      <c r="F342" s="3">
        <v>10258</v>
      </c>
      <c r="G342" s="3">
        <v>527</v>
      </c>
      <c r="H342" s="3">
        <v>854</v>
      </c>
      <c r="I342" s="3">
        <v>2068</v>
      </c>
      <c r="J342" s="3">
        <v>45632</v>
      </c>
      <c r="K342" s="3">
        <v>136546</v>
      </c>
      <c r="L342" s="3" t="s">
        <v>45</v>
      </c>
      <c r="M342" s="4">
        <v>8.5238674146441498E-2</v>
      </c>
      <c r="N342" s="3" t="str">
        <f>INDEX(Table5_2[Objective], MATCH(L342,Table5_2[Campaign_Name], 0))</f>
        <v>Product Promotion</v>
      </c>
    </row>
    <row r="343" spans="1:14" x14ac:dyDescent="0.3">
      <c r="A343" s="3" t="s">
        <v>291</v>
      </c>
      <c r="B343" s="3" t="s">
        <v>22</v>
      </c>
      <c r="C343" s="2">
        <v>45750</v>
      </c>
      <c r="D343" s="3" t="s">
        <v>14</v>
      </c>
      <c r="E343" s="3" t="s">
        <v>368</v>
      </c>
      <c r="F343" s="3">
        <v>10837</v>
      </c>
      <c r="G343" s="3">
        <v>1004</v>
      </c>
      <c r="H343" s="3">
        <v>922</v>
      </c>
      <c r="I343" s="3">
        <v>1108</v>
      </c>
      <c r="J343" s="3">
        <v>36807</v>
      </c>
      <c r="K343" s="3">
        <v>150350</v>
      </c>
      <c r="L343" s="3" t="s">
        <v>25</v>
      </c>
      <c r="M343" s="4">
        <v>8.4888593282341204E-2</v>
      </c>
      <c r="N343" s="3" t="str">
        <f>INDEX(Table5_2[Objective], MATCH(L343,Table5_2[Campaign_Name], 0))</f>
        <v>Sustainability Branding</v>
      </c>
    </row>
    <row r="344" spans="1:14" x14ac:dyDescent="0.3">
      <c r="A344" s="3" t="s">
        <v>291</v>
      </c>
      <c r="B344" s="3" t="s">
        <v>22</v>
      </c>
      <c r="C344" s="2">
        <v>45750</v>
      </c>
      <c r="D344" s="3" t="s">
        <v>14</v>
      </c>
      <c r="E344" s="3" t="s">
        <v>369</v>
      </c>
      <c r="F344" s="3">
        <v>10837</v>
      </c>
      <c r="G344" s="3">
        <v>1004</v>
      </c>
      <c r="H344" s="3">
        <v>922</v>
      </c>
      <c r="I344" s="3">
        <v>1108</v>
      </c>
      <c r="J344" s="3">
        <v>36807</v>
      </c>
      <c r="K344" s="3">
        <v>150350</v>
      </c>
      <c r="L344" s="3" t="s">
        <v>25</v>
      </c>
      <c r="M344" s="4">
        <v>8.4888593282341204E-2</v>
      </c>
      <c r="N344" s="3" t="str">
        <f>INDEX(Table5_2[Objective], MATCH(L344,Table5_2[Campaign_Name], 0))</f>
        <v>Sustainability Branding</v>
      </c>
    </row>
    <row r="345" spans="1:14" x14ac:dyDescent="0.3">
      <c r="A345" s="3" t="s">
        <v>36</v>
      </c>
      <c r="B345" s="3" t="s">
        <v>22</v>
      </c>
      <c r="C345" s="2">
        <v>45486</v>
      </c>
      <c r="D345" s="3" t="s">
        <v>27</v>
      </c>
      <c r="E345" s="3" t="s">
        <v>363</v>
      </c>
      <c r="F345" s="3">
        <v>18639</v>
      </c>
      <c r="G345" s="3">
        <v>1360</v>
      </c>
      <c r="H345" s="3">
        <v>898</v>
      </c>
      <c r="I345" s="3">
        <v>2011</v>
      </c>
      <c r="J345" s="3">
        <v>42841</v>
      </c>
      <c r="K345" s="3">
        <v>247779</v>
      </c>
      <c r="L345" s="3" t="s">
        <v>29</v>
      </c>
      <c r="M345" s="4">
        <v>8.4337252148083575E-2</v>
      </c>
      <c r="N345" s="3" t="str">
        <f>INDEX(Table5_2[Objective], MATCH(L345,Table5_2[Campaign_Name], 0))</f>
        <v>Product Launch</v>
      </c>
    </row>
    <row r="346" spans="1:14" x14ac:dyDescent="0.3">
      <c r="A346" s="3" t="s">
        <v>36</v>
      </c>
      <c r="B346" s="3" t="s">
        <v>22</v>
      </c>
      <c r="C346" s="2">
        <v>45486</v>
      </c>
      <c r="D346" s="3" t="s">
        <v>27</v>
      </c>
      <c r="E346" s="3" t="s">
        <v>364</v>
      </c>
      <c r="F346" s="3">
        <v>18639</v>
      </c>
      <c r="G346" s="3">
        <v>1360</v>
      </c>
      <c r="H346" s="3">
        <v>898</v>
      </c>
      <c r="I346" s="3">
        <v>2011</v>
      </c>
      <c r="J346" s="3">
        <v>42841</v>
      </c>
      <c r="K346" s="3">
        <v>247779</v>
      </c>
      <c r="L346" s="3" t="s">
        <v>29</v>
      </c>
      <c r="M346" s="4">
        <v>8.4337252148083575E-2</v>
      </c>
      <c r="N346" s="3" t="str">
        <f>INDEX(Table5_2[Objective], MATCH(L346,Table5_2[Campaign_Name], 0))</f>
        <v>Product Launch</v>
      </c>
    </row>
    <row r="347" spans="1:14" x14ac:dyDescent="0.3">
      <c r="A347" s="3" t="s">
        <v>251</v>
      </c>
      <c r="B347" s="3" t="s">
        <v>13</v>
      </c>
      <c r="C347" s="2">
        <v>45925</v>
      </c>
      <c r="D347" s="3" t="s">
        <v>27</v>
      </c>
      <c r="E347" s="3" t="s">
        <v>367</v>
      </c>
      <c r="F347" s="3">
        <v>8371</v>
      </c>
      <c r="G347" s="3">
        <v>960</v>
      </c>
      <c r="H347" s="3">
        <v>548</v>
      </c>
      <c r="I347" s="3">
        <v>2936</v>
      </c>
      <c r="J347" s="3">
        <v>82543</v>
      </c>
      <c r="K347" s="3">
        <v>119973</v>
      </c>
      <c r="L347" s="3" t="s">
        <v>20</v>
      </c>
      <c r="M347" s="4">
        <v>8.2343527293641069E-2</v>
      </c>
      <c r="N347" s="3" t="str">
        <f>INDEX(Table5_2[Objective], MATCH(L347,Table5_2[Campaign_Name], 0))</f>
        <v>Brand Engagement</v>
      </c>
    </row>
    <row r="348" spans="1:14" x14ac:dyDescent="0.3">
      <c r="A348" s="3" t="s">
        <v>251</v>
      </c>
      <c r="B348" s="3" t="s">
        <v>13</v>
      </c>
      <c r="C348" s="2">
        <v>45925</v>
      </c>
      <c r="D348" s="3" t="s">
        <v>27</v>
      </c>
      <c r="E348" s="3" t="s">
        <v>32</v>
      </c>
      <c r="F348" s="3">
        <v>8371</v>
      </c>
      <c r="G348" s="3">
        <v>960</v>
      </c>
      <c r="H348" s="3">
        <v>548</v>
      </c>
      <c r="I348" s="3">
        <v>2936</v>
      </c>
      <c r="J348" s="3">
        <v>82543</v>
      </c>
      <c r="K348" s="3">
        <v>119973</v>
      </c>
      <c r="L348" s="3" t="s">
        <v>20</v>
      </c>
      <c r="M348" s="4">
        <v>8.2343527293641069E-2</v>
      </c>
      <c r="N348" s="3" t="str">
        <f>INDEX(Table5_2[Objective], MATCH(L348,Table5_2[Campaign_Name], 0))</f>
        <v>Brand Engagement</v>
      </c>
    </row>
    <row r="349" spans="1:14" x14ac:dyDescent="0.3">
      <c r="A349" s="3" t="s">
        <v>153</v>
      </c>
      <c r="B349" s="3" t="s">
        <v>22</v>
      </c>
      <c r="C349" s="2">
        <v>45600</v>
      </c>
      <c r="D349" s="3" t="s">
        <v>14</v>
      </c>
      <c r="E349" s="3" t="s">
        <v>359</v>
      </c>
      <c r="F349" s="3">
        <v>14015</v>
      </c>
      <c r="G349" s="3">
        <v>978</v>
      </c>
      <c r="H349" s="3">
        <v>196</v>
      </c>
      <c r="I349" s="3">
        <v>2744</v>
      </c>
      <c r="J349" s="3">
        <v>20190</v>
      </c>
      <c r="K349" s="3">
        <v>186470</v>
      </c>
      <c r="L349" s="3" t="s">
        <v>25</v>
      </c>
      <c r="M349" s="4">
        <v>8.1455462004611998E-2</v>
      </c>
      <c r="N349" s="3" t="str">
        <f>INDEX(Table5_2[Objective], MATCH(L349,Table5_2[Campaign_Name], 0))</f>
        <v>Sustainability Branding</v>
      </c>
    </row>
    <row r="350" spans="1:14" x14ac:dyDescent="0.3">
      <c r="A350" s="3" t="s">
        <v>153</v>
      </c>
      <c r="B350" s="3" t="s">
        <v>22</v>
      </c>
      <c r="C350" s="2">
        <v>45600</v>
      </c>
      <c r="D350" s="3" t="s">
        <v>14</v>
      </c>
      <c r="E350" s="3" t="s">
        <v>366</v>
      </c>
      <c r="F350" s="3">
        <v>14015</v>
      </c>
      <c r="G350" s="3">
        <v>978</v>
      </c>
      <c r="H350" s="3">
        <v>196</v>
      </c>
      <c r="I350" s="3">
        <v>2744</v>
      </c>
      <c r="J350" s="3">
        <v>20190</v>
      </c>
      <c r="K350" s="3">
        <v>186470</v>
      </c>
      <c r="L350" s="3" t="s">
        <v>25</v>
      </c>
      <c r="M350" s="4">
        <v>8.1455462004611998E-2</v>
      </c>
      <c r="N350" s="3" t="str">
        <f>INDEX(Table5_2[Objective], MATCH(L350,Table5_2[Campaign_Name], 0))</f>
        <v>Sustainability Branding</v>
      </c>
    </row>
    <row r="351" spans="1:14" x14ac:dyDescent="0.3">
      <c r="A351" s="3" t="s">
        <v>212</v>
      </c>
      <c r="B351" s="3" t="s">
        <v>40</v>
      </c>
      <c r="C351" s="2">
        <v>45939</v>
      </c>
      <c r="D351" s="3" t="s">
        <v>34</v>
      </c>
      <c r="E351" s="3" t="s">
        <v>357</v>
      </c>
      <c r="F351" s="3">
        <v>18748</v>
      </c>
      <c r="G351" s="3">
        <v>634</v>
      </c>
      <c r="H351" s="3">
        <v>400</v>
      </c>
      <c r="I351" s="3">
        <v>1667</v>
      </c>
      <c r="J351" s="3">
        <v>75813</v>
      </c>
      <c r="K351" s="3">
        <v>244456</v>
      </c>
      <c r="L351" s="3" t="s">
        <v>20</v>
      </c>
      <c r="M351" s="4">
        <v>8.0922538207284747E-2</v>
      </c>
      <c r="N351" s="3" t="str">
        <f>INDEX(Table5_2[Objective], MATCH(L351,Table5_2[Campaign_Name], 0))</f>
        <v>Brand Engagement</v>
      </c>
    </row>
    <row r="352" spans="1:14" x14ac:dyDescent="0.3">
      <c r="A352" s="3" t="s">
        <v>212</v>
      </c>
      <c r="B352" s="3" t="s">
        <v>40</v>
      </c>
      <c r="C352" s="2">
        <v>45939</v>
      </c>
      <c r="D352" s="3" t="s">
        <v>34</v>
      </c>
      <c r="E352" s="3" t="s">
        <v>358</v>
      </c>
      <c r="F352" s="3">
        <v>18748</v>
      </c>
      <c r="G352" s="3">
        <v>634</v>
      </c>
      <c r="H352" s="3">
        <v>400</v>
      </c>
      <c r="I352" s="3">
        <v>1667</v>
      </c>
      <c r="J352" s="3">
        <v>75813</v>
      </c>
      <c r="K352" s="3">
        <v>244456</v>
      </c>
      <c r="L352" s="3" t="s">
        <v>20</v>
      </c>
      <c r="M352" s="4">
        <v>8.0922538207284747E-2</v>
      </c>
      <c r="N352" s="3" t="str">
        <f>INDEX(Table5_2[Objective], MATCH(L352,Table5_2[Campaign_Name], 0))</f>
        <v>Brand Engagement</v>
      </c>
    </row>
    <row r="353" spans="1:14" x14ac:dyDescent="0.3">
      <c r="A353" s="3" t="s">
        <v>211</v>
      </c>
      <c r="B353" s="3" t="s">
        <v>18</v>
      </c>
      <c r="C353" s="2">
        <v>45938</v>
      </c>
      <c r="D353" s="3" t="s">
        <v>23</v>
      </c>
      <c r="E353" s="3" t="s">
        <v>359</v>
      </c>
      <c r="F353" s="3">
        <v>17745</v>
      </c>
      <c r="G353" s="3">
        <v>414</v>
      </c>
      <c r="H353" s="3">
        <v>563</v>
      </c>
      <c r="I353" s="3">
        <v>2733</v>
      </c>
      <c r="J353" s="3">
        <v>995</v>
      </c>
      <c r="K353" s="3">
        <v>231648</v>
      </c>
      <c r="L353" s="3" t="s">
        <v>20</v>
      </c>
      <c r="M353" s="4">
        <v>8.0820900676889074E-2</v>
      </c>
      <c r="N353" s="3" t="str">
        <f>INDEX(Table5_2[Objective], MATCH(L353,Table5_2[Campaign_Name], 0))</f>
        <v>Brand Engagement</v>
      </c>
    </row>
    <row r="354" spans="1:14" x14ac:dyDescent="0.3">
      <c r="A354" s="3" t="s">
        <v>211</v>
      </c>
      <c r="B354" s="3" t="s">
        <v>18</v>
      </c>
      <c r="C354" s="2">
        <v>45938</v>
      </c>
      <c r="D354" s="3" t="s">
        <v>23</v>
      </c>
      <c r="E354" s="3" t="s">
        <v>366</v>
      </c>
      <c r="F354" s="3">
        <v>17745</v>
      </c>
      <c r="G354" s="3">
        <v>414</v>
      </c>
      <c r="H354" s="3">
        <v>563</v>
      </c>
      <c r="I354" s="3">
        <v>2733</v>
      </c>
      <c r="J354" s="3">
        <v>995</v>
      </c>
      <c r="K354" s="3">
        <v>231648</v>
      </c>
      <c r="L354" s="3" t="s">
        <v>20</v>
      </c>
      <c r="M354" s="4">
        <v>8.0820900676889074E-2</v>
      </c>
      <c r="N354" s="3" t="str">
        <f>INDEX(Table5_2[Objective], MATCH(L354,Table5_2[Campaign_Name], 0))</f>
        <v>Brand Engagement</v>
      </c>
    </row>
    <row r="355" spans="1:14" x14ac:dyDescent="0.3">
      <c r="A355" s="3" t="s">
        <v>248</v>
      </c>
      <c r="B355" s="3" t="s">
        <v>13</v>
      </c>
      <c r="C355" s="2">
        <v>45719</v>
      </c>
      <c r="D355" s="3" t="s">
        <v>27</v>
      </c>
      <c r="E355" s="3" t="s">
        <v>353</v>
      </c>
      <c r="F355" s="3">
        <v>9561</v>
      </c>
      <c r="G355" s="3">
        <v>642</v>
      </c>
      <c r="H355" s="3">
        <v>581</v>
      </c>
      <c r="I355" s="3">
        <v>2572</v>
      </c>
      <c r="J355" s="3">
        <v>38552</v>
      </c>
      <c r="K355" s="3">
        <v>133680</v>
      </c>
      <c r="L355" s="3" t="s">
        <v>16</v>
      </c>
      <c r="M355" s="4">
        <v>8.0670257330939563E-2</v>
      </c>
      <c r="N355" s="3" t="str">
        <f>INDEX(Table5_2[Objective], MATCH(L355,Table5_2[Campaign_Name], 0))</f>
        <v>Health &amp; Fitness Awareness</v>
      </c>
    </row>
    <row r="356" spans="1:14" x14ac:dyDescent="0.3">
      <c r="A356" s="3" t="s">
        <v>248</v>
      </c>
      <c r="B356" s="3" t="s">
        <v>13</v>
      </c>
      <c r="C356" s="2">
        <v>45719</v>
      </c>
      <c r="D356" s="3" t="s">
        <v>27</v>
      </c>
      <c r="E356" s="3" t="s">
        <v>354</v>
      </c>
      <c r="F356" s="3">
        <v>9561</v>
      </c>
      <c r="G356" s="3">
        <v>642</v>
      </c>
      <c r="H356" s="3">
        <v>581</v>
      </c>
      <c r="I356" s="3">
        <v>2572</v>
      </c>
      <c r="J356" s="3">
        <v>38552</v>
      </c>
      <c r="K356" s="3">
        <v>133680</v>
      </c>
      <c r="L356" s="3" t="s">
        <v>16</v>
      </c>
      <c r="M356" s="4">
        <v>8.0670257330939563E-2</v>
      </c>
      <c r="N356" s="3" t="str">
        <f>INDEX(Table5_2[Objective], MATCH(L356,Table5_2[Campaign_Name], 0))</f>
        <v>Health &amp; Fitness Awareness</v>
      </c>
    </row>
    <row r="357" spans="1:14" x14ac:dyDescent="0.3">
      <c r="A357" s="3" t="s">
        <v>208</v>
      </c>
      <c r="B357" s="3" t="s">
        <v>22</v>
      </c>
      <c r="C357" s="2">
        <v>45518</v>
      </c>
      <c r="D357" s="3" t="s">
        <v>34</v>
      </c>
      <c r="E357" s="3" t="s">
        <v>368</v>
      </c>
      <c r="F357" s="3">
        <v>10150</v>
      </c>
      <c r="G357" s="3">
        <v>526</v>
      </c>
      <c r="H357" s="3">
        <v>888</v>
      </c>
      <c r="I357" s="3">
        <v>1313</v>
      </c>
      <c r="J357" s="3">
        <v>51605</v>
      </c>
      <c r="K357" s="3">
        <v>143409</v>
      </c>
      <c r="L357" s="3" t="s">
        <v>16</v>
      </c>
      <c r="M357" s="4">
        <v>8.0636501195880311E-2</v>
      </c>
      <c r="N357" s="3" t="str">
        <f>INDEX(Table5_2[Objective], MATCH(L357,Table5_2[Campaign_Name], 0))</f>
        <v>Health &amp; Fitness Awareness</v>
      </c>
    </row>
    <row r="358" spans="1:14" x14ac:dyDescent="0.3">
      <c r="A358" s="3" t="s">
        <v>208</v>
      </c>
      <c r="B358" s="3" t="s">
        <v>22</v>
      </c>
      <c r="C358" s="2">
        <v>45518</v>
      </c>
      <c r="D358" s="3" t="s">
        <v>34</v>
      </c>
      <c r="E358" s="3" t="s">
        <v>369</v>
      </c>
      <c r="F358" s="3">
        <v>10150</v>
      </c>
      <c r="G358" s="3">
        <v>526</v>
      </c>
      <c r="H358" s="3">
        <v>888</v>
      </c>
      <c r="I358" s="3">
        <v>1313</v>
      </c>
      <c r="J358" s="3">
        <v>51605</v>
      </c>
      <c r="K358" s="3">
        <v>143409</v>
      </c>
      <c r="L358" s="3" t="s">
        <v>16</v>
      </c>
      <c r="M358" s="4">
        <v>8.0636501195880311E-2</v>
      </c>
      <c r="N358" s="3" t="str">
        <f>INDEX(Table5_2[Objective], MATCH(L358,Table5_2[Campaign_Name], 0))</f>
        <v>Health &amp; Fitness Awareness</v>
      </c>
    </row>
    <row r="359" spans="1:14" x14ac:dyDescent="0.3">
      <c r="A359" s="3" t="s">
        <v>227</v>
      </c>
      <c r="B359" s="3" t="s">
        <v>13</v>
      </c>
      <c r="C359" s="2">
        <v>45944</v>
      </c>
      <c r="D359" s="3" t="s">
        <v>34</v>
      </c>
      <c r="E359" s="3" t="s">
        <v>367</v>
      </c>
      <c r="F359" s="3">
        <v>9673</v>
      </c>
      <c r="G359" s="3">
        <v>393</v>
      </c>
      <c r="H359" s="3">
        <v>846</v>
      </c>
      <c r="I359" s="3">
        <v>1028</v>
      </c>
      <c r="J359" s="3">
        <v>55556</v>
      </c>
      <c r="K359" s="3">
        <v>136652</v>
      </c>
      <c r="L359" s="3" t="s">
        <v>20</v>
      </c>
      <c r="M359" s="4">
        <v>7.9852471972601938E-2</v>
      </c>
      <c r="N359" s="3" t="str">
        <f>INDEX(Table5_2[Objective], MATCH(L359,Table5_2[Campaign_Name], 0))</f>
        <v>Brand Engagement</v>
      </c>
    </row>
    <row r="360" spans="1:14" x14ac:dyDescent="0.3">
      <c r="A360" s="3" t="s">
        <v>227</v>
      </c>
      <c r="B360" s="3" t="s">
        <v>13</v>
      </c>
      <c r="C360" s="2">
        <v>45944</v>
      </c>
      <c r="D360" s="3" t="s">
        <v>34</v>
      </c>
      <c r="E360" s="3" t="s">
        <v>32</v>
      </c>
      <c r="F360" s="3">
        <v>9673</v>
      </c>
      <c r="G360" s="3">
        <v>393</v>
      </c>
      <c r="H360" s="3">
        <v>846</v>
      </c>
      <c r="I360" s="3">
        <v>1028</v>
      </c>
      <c r="J360" s="3">
        <v>55556</v>
      </c>
      <c r="K360" s="3">
        <v>136652</v>
      </c>
      <c r="L360" s="3" t="s">
        <v>20</v>
      </c>
      <c r="M360" s="4">
        <v>7.9852471972601938E-2</v>
      </c>
      <c r="N360" s="3" t="str">
        <f>INDEX(Table5_2[Objective], MATCH(L360,Table5_2[Campaign_Name], 0))</f>
        <v>Brand Engagement</v>
      </c>
    </row>
    <row r="361" spans="1:14" x14ac:dyDescent="0.3">
      <c r="A361" s="3" t="s">
        <v>263</v>
      </c>
      <c r="B361" s="3" t="s">
        <v>22</v>
      </c>
      <c r="C361" s="2">
        <v>45455</v>
      </c>
      <c r="D361" s="3" t="s">
        <v>23</v>
      </c>
      <c r="E361" s="3" t="s">
        <v>355</v>
      </c>
      <c r="F361" s="3">
        <v>17679</v>
      </c>
      <c r="G361" s="3">
        <v>690</v>
      </c>
      <c r="H361" s="3">
        <v>451</v>
      </c>
      <c r="I361" s="3">
        <v>2195</v>
      </c>
      <c r="J361" s="3">
        <v>4390</v>
      </c>
      <c r="K361" s="3">
        <v>235804</v>
      </c>
      <c r="L361" s="3" t="s">
        <v>45</v>
      </c>
      <c r="M361" s="4">
        <v>7.9812047293514959E-2</v>
      </c>
      <c r="N361" s="3" t="str">
        <f>INDEX(Table5_2[Objective], MATCH(L361,Table5_2[Campaign_Name], 0))</f>
        <v>Product Promotion</v>
      </c>
    </row>
    <row r="362" spans="1:14" x14ac:dyDescent="0.3">
      <c r="A362" s="3" t="s">
        <v>263</v>
      </c>
      <c r="B362" s="3" t="s">
        <v>22</v>
      </c>
      <c r="C362" s="2">
        <v>45455</v>
      </c>
      <c r="D362" s="3" t="s">
        <v>23</v>
      </c>
      <c r="E362" s="3" t="s">
        <v>356</v>
      </c>
      <c r="F362" s="3">
        <v>17679</v>
      </c>
      <c r="G362" s="3">
        <v>690</v>
      </c>
      <c r="H362" s="3">
        <v>451</v>
      </c>
      <c r="I362" s="3">
        <v>2195</v>
      </c>
      <c r="J362" s="3">
        <v>4390</v>
      </c>
      <c r="K362" s="3">
        <v>235804</v>
      </c>
      <c r="L362" s="3" t="s">
        <v>45</v>
      </c>
      <c r="M362" s="4">
        <v>7.9812047293514959E-2</v>
      </c>
      <c r="N362" s="3" t="str">
        <f>INDEX(Table5_2[Objective], MATCH(L362,Table5_2[Campaign_Name], 0))</f>
        <v>Product Promotion</v>
      </c>
    </row>
    <row r="363" spans="1:14" x14ac:dyDescent="0.3">
      <c r="A363" s="3" t="s">
        <v>303</v>
      </c>
      <c r="B363" s="3" t="s">
        <v>18</v>
      </c>
      <c r="C363" s="2">
        <v>45569</v>
      </c>
      <c r="D363" s="3" t="s">
        <v>27</v>
      </c>
      <c r="E363" s="3" t="s">
        <v>359</v>
      </c>
      <c r="F363" s="3">
        <v>15746</v>
      </c>
      <c r="G363" s="3">
        <v>258</v>
      </c>
      <c r="H363" s="3">
        <v>839</v>
      </c>
      <c r="I363" s="3">
        <v>2656</v>
      </c>
      <c r="J363" s="3">
        <v>66614</v>
      </c>
      <c r="K363" s="3">
        <v>213724</v>
      </c>
      <c r="L363" s="3" t="s">
        <v>25</v>
      </c>
      <c r="M363" s="4">
        <v>7.8807246729426739E-2</v>
      </c>
      <c r="N363" s="3" t="str">
        <f>INDEX(Table5_2[Objective], MATCH(L363,Table5_2[Campaign_Name], 0))</f>
        <v>Sustainability Branding</v>
      </c>
    </row>
    <row r="364" spans="1:14" x14ac:dyDescent="0.3">
      <c r="A364" s="3" t="s">
        <v>303</v>
      </c>
      <c r="B364" s="3" t="s">
        <v>18</v>
      </c>
      <c r="C364" s="2">
        <v>45569</v>
      </c>
      <c r="D364" s="3" t="s">
        <v>27</v>
      </c>
      <c r="E364" s="3" t="s">
        <v>366</v>
      </c>
      <c r="F364" s="3">
        <v>15746</v>
      </c>
      <c r="G364" s="3">
        <v>258</v>
      </c>
      <c r="H364" s="3">
        <v>839</v>
      </c>
      <c r="I364" s="3">
        <v>2656</v>
      </c>
      <c r="J364" s="3">
        <v>66614</v>
      </c>
      <c r="K364" s="3">
        <v>213724</v>
      </c>
      <c r="L364" s="3" t="s">
        <v>25</v>
      </c>
      <c r="M364" s="4">
        <v>7.8807246729426739E-2</v>
      </c>
      <c r="N364" s="3" t="str">
        <f>INDEX(Table5_2[Objective], MATCH(L364,Table5_2[Campaign_Name], 0))</f>
        <v>Sustainability Branding</v>
      </c>
    </row>
    <row r="365" spans="1:14" x14ac:dyDescent="0.3">
      <c r="A365" s="3" t="s">
        <v>94</v>
      </c>
      <c r="B365" s="3" t="s">
        <v>13</v>
      </c>
      <c r="C365" s="2">
        <v>45465</v>
      </c>
      <c r="D365" s="3" t="s">
        <v>14</v>
      </c>
      <c r="E365" s="3" t="s">
        <v>363</v>
      </c>
      <c r="F365" s="3">
        <v>16430</v>
      </c>
      <c r="G365" s="3">
        <v>488</v>
      </c>
      <c r="H365" s="3">
        <v>514</v>
      </c>
      <c r="I365" s="3">
        <v>1436</v>
      </c>
      <c r="J365" s="3">
        <v>30059</v>
      </c>
      <c r="K365" s="3">
        <v>223305</v>
      </c>
      <c r="L365" s="3" t="s">
        <v>29</v>
      </c>
      <c r="M365" s="4">
        <v>7.8063634938760881E-2</v>
      </c>
      <c r="N365" s="3" t="str">
        <f>INDEX(Table5_2[Objective], MATCH(L365,Table5_2[Campaign_Name], 0))</f>
        <v>Product Launch</v>
      </c>
    </row>
    <row r="366" spans="1:14" x14ac:dyDescent="0.3">
      <c r="A366" s="3" t="s">
        <v>94</v>
      </c>
      <c r="B366" s="3" t="s">
        <v>13</v>
      </c>
      <c r="C366" s="2">
        <v>45465</v>
      </c>
      <c r="D366" s="3" t="s">
        <v>14</v>
      </c>
      <c r="E366" s="3" t="s">
        <v>364</v>
      </c>
      <c r="F366" s="3">
        <v>16430</v>
      </c>
      <c r="G366" s="3">
        <v>488</v>
      </c>
      <c r="H366" s="3">
        <v>514</v>
      </c>
      <c r="I366" s="3">
        <v>1436</v>
      </c>
      <c r="J366" s="3">
        <v>30059</v>
      </c>
      <c r="K366" s="3">
        <v>223305</v>
      </c>
      <c r="L366" s="3" t="s">
        <v>29</v>
      </c>
      <c r="M366" s="4">
        <v>7.8063634938760881E-2</v>
      </c>
      <c r="N366" s="3" t="str">
        <f>INDEX(Table5_2[Objective], MATCH(L366,Table5_2[Campaign_Name], 0))</f>
        <v>Product Launch</v>
      </c>
    </row>
    <row r="367" spans="1:14" x14ac:dyDescent="0.3">
      <c r="A367" s="3" t="s">
        <v>160</v>
      </c>
      <c r="B367" s="3" t="s">
        <v>13</v>
      </c>
      <c r="C367" s="2">
        <v>45753</v>
      </c>
      <c r="D367" s="3" t="s">
        <v>23</v>
      </c>
      <c r="E367" s="3" t="s">
        <v>367</v>
      </c>
      <c r="F367" s="3">
        <v>8238</v>
      </c>
      <c r="G367" s="3">
        <v>766</v>
      </c>
      <c r="H367" s="3">
        <v>235</v>
      </c>
      <c r="I367" s="3">
        <v>1273</v>
      </c>
      <c r="J367" s="3">
        <v>4706</v>
      </c>
      <c r="K367" s="3">
        <v>119141</v>
      </c>
      <c r="L367" s="3" t="s">
        <v>29</v>
      </c>
      <c r="M367" s="4">
        <v>7.7546772311798629E-2</v>
      </c>
      <c r="N367" s="3" t="str">
        <f>INDEX(Table5_2[Objective], MATCH(L367,Table5_2[Campaign_Name], 0))</f>
        <v>Product Launch</v>
      </c>
    </row>
    <row r="368" spans="1:14" x14ac:dyDescent="0.3">
      <c r="A368" s="3" t="s">
        <v>160</v>
      </c>
      <c r="B368" s="3" t="s">
        <v>13</v>
      </c>
      <c r="C368" s="2">
        <v>45753</v>
      </c>
      <c r="D368" s="3" t="s">
        <v>23</v>
      </c>
      <c r="E368" s="3" t="s">
        <v>32</v>
      </c>
      <c r="F368" s="3">
        <v>8238</v>
      </c>
      <c r="G368" s="3">
        <v>766</v>
      </c>
      <c r="H368" s="3">
        <v>235</v>
      </c>
      <c r="I368" s="3">
        <v>1273</v>
      </c>
      <c r="J368" s="3">
        <v>4706</v>
      </c>
      <c r="K368" s="3">
        <v>119141</v>
      </c>
      <c r="L368" s="3" t="s">
        <v>29</v>
      </c>
      <c r="M368" s="4">
        <v>7.7546772311798629E-2</v>
      </c>
      <c r="N368" s="3" t="str">
        <f>INDEX(Table5_2[Objective], MATCH(L368,Table5_2[Campaign_Name], 0))</f>
        <v>Product Launch</v>
      </c>
    </row>
    <row r="369" spans="1:14" x14ac:dyDescent="0.3">
      <c r="A369" s="3" t="s">
        <v>137</v>
      </c>
      <c r="B369" s="3" t="s">
        <v>13</v>
      </c>
      <c r="C369" s="2">
        <v>45583</v>
      </c>
      <c r="D369" s="3" t="s">
        <v>34</v>
      </c>
      <c r="E369" s="3" t="s">
        <v>355</v>
      </c>
      <c r="F369" s="3">
        <v>6892</v>
      </c>
      <c r="G369" s="3">
        <v>1184</v>
      </c>
      <c r="H369" s="3">
        <v>925</v>
      </c>
      <c r="I369" s="3">
        <v>1062</v>
      </c>
      <c r="J369" s="3">
        <v>75008</v>
      </c>
      <c r="K369" s="3">
        <v>116260</v>
      </c>
      <c r="L369" s="3" t="s">
        <v>45</v>
      </c>
      <c r="M369" s="4">
        <v>7.7421297092723204E-2</v>
      </c>
      <c r="N369" s="3" t="str">
        <f>INDEX(Table5_2[Objective], MATCH(L369,Table5_2[Campaign_Name], 0))</f>
        <v>Product Promotion</v>
      </c>
    </row>
    <row r="370" spans="1:14" x14ac:dyDescent="0.3">
      <c r="A370" s="3" t="s">
        <v>137</v>
      </c>
      <c r="B370" s="3" t="s">
        <v>13</v>
      </c>
      <c r="C370" s="2">
        <v>45583</v>
      </c>
      <c r="D370" s="3" t="s">
        <v>34</v>
      </c>
      <c r="E370" s="3" t="s">
        <v>356</v>
      </c>
      <c r="F370" s="3">
        <v>6892</v>
      </c>
      <c r="G370" s="3">
        <v>1184</v>
      </c>
      <c r="H370" s="3">
        <v>925</v>
      </c>
      <c r="I370" s="3">
        <v>1062</v>
      </c>
      <c r="J370" s="3">
        <v>75008</v>
      </c>
      <c r="K370" s="3">
        <v>116260</v>
      </c>
      <c r="L370" s="3" t="s">
        <v>45</v>
      </c>
      <c r="M370" s="4">
        <v>7.7421297092723204E-2</v>
      </c>
      <c r="N370" s="3" t="str">
        <f>INDEX(Table5_2[Objective], MATCH(L370,Table5_2[Campaign_Name], 0))</f>
        <v>Product Promotion</v>
      </c>
    </row>
    <row r="371" spans="1:14" x14ac:dyDescent="0.3">
      <c r="A371" s="3" t="s">
        <v>314</v>
      </c>
      <c r="B371" s="3" t="s">
        <v>40</v>
      </c>
      <c r="C371" s="2">
        <v>45622</v>
      </c>
      <c r="D371" s="3" t="s">
        <v>27</v>
      </c>
      <c r="E371" s="3" t="s">
        <v>361</v>
      </c>
      <c r="F371" s="3">
        <v>14607</v>
      </c>
      <c r="G371" s="3">
        <v>1458</v>
      </c>
      <c r="H371" s="3">
        <v>478</v>
      </c>
      <c r="I371" s="3">
        <v>334</v>
      </c>
      <c r="J371" s="3">
        <v>49257</v>
      </c>
      <c r="K371" s="3">
        <v>214668</v>
      </c>
      <c r="L371" s="3" t="s">
        <v>29</v>
      </c>
      <c r="M371" s="4">
        <v>7.7063185942944451E-2</v>
      </c>
      <c r="N371" s="3" t="str">
        <f>INDEX(Table5_2[Objective], MATCH(L371,Table5_2[Campaign_Name], 0))</f>
        <v>Product Launch</v>
      </c>
    </row>
    <row r="372" spans="1:14" x14ac:dyDescent="0.3">
      <c r="A372" s="3" t="s">
        <v>314</v>
      </c>
      <c r="B372" s="3" t="s">
        <v>40</v>
      </c>
      <c r="C372" s="2">
        <v>45622</v>
      </c>
      <c r="D372" s="3" t="s">
        <v>27</v>
      </c>
      <c r="E372" s="3" t="s">
        <v>362</v>
      </c>
      <c r="F372" s="3">
        <v>14607</v>
      </c>
      <c r="G372" s="3">
        <v>1458</v>
      </c>
      <c r="H372" s="3">
        <v>478</v>
      </c>
      <c r="I372" s="3">
        <v>334</v>
      </c>
      <c r="J372" s="3">
        <v>49257</v>
      </c>
      <c r="K372" s="3">
        <v>214668</v>
      </c>
      <c r="L372" s="3" t="s">
        <v>29</v>
      </c>
      <c r="M372" s="4">
        <v>7.7063185942944451E-2</v>
      </c>
      <c r="N372" s="3" t="str">
        <f>INDEX(Table5_2[Objective], MATCH(L372,Table5_2[Campaign_Name], 0))</f>
        <v>Product Launch</v>
      </c>
    </row>
    <row r="373" spans="1:14" x14ac:dyDescent="0.3">
      <c r="A373" s="3" t="s">
        <v>42</v>
      </c>
      <c r="B373" s="3" t="s">
        <v>13</v>
      </c>
      <c r="C373" s="2">
        <v>45690</v>
      </c>
      <c r="D373" s="3" t="s">
        <v>34</v>
      </c>
      <c r="E373" s="3" t="s">
        <v>359</v>
      </c>
      <c r="F373" s="3">
        <v>12136</v>
      </c>
      <c r="G373" s="3">
        <v>1117</v>
      </c>
      <c r="H373" s="3">
        <v>834</v>
      </c>
      <c r="I373" s="3">
        <v>892</v>
      </c>
      <c r="J373" s="3">
        <v>24675</v>
      </c>
      <c r="K373" s="3">
        <v>183273</v>
      </c>
      <c r="L373" s="3" t="s">
        <v>25</v>
      </c>
      <c r="M373" s="4">
        <v>7.6863476889667326E-2</v>
      </c>
      <c r="N373" s="3" t="str">
        <f>INDEX(Table5_2[Objective], MATCH(L373,Table5_2[Campaign_Name], 0))</f>
        <v>Sustainability Branding</v>
      </c>
    </row>
    <row r="374" spans="1:14" x14ac:dyDescent="0.3">
      <c r="A374" s="3" t="s">
        <v>42</v>
      </c>
      <c r="B374" s="3" t="s">
        <v>13</v>
      </c>
      <c r="C374" s="2">
        <v>45690</v>
      </c>
      <c r="D374" s="3" t="s">
        <v>34</v>
      </c>
      <c r="E374" s="3" t="s">
        <v>360</v>
      </c>
      <c r="F374" s="3">
        <v>12136</v>
      </c>
      <c r="G374" s="3">
        <v>1117</v>
      </c>
      <c r="H374" s="3">
        <v>834</v>
      </c>
      <c r="I374" s="3">
        <v>892</v>
      </c>
      <c r="J374" s="3">
        <v>24675</v>
      </c>
      <c r="K374" s="3">
        <v>183273</v>
      </c>
      <c r="L374" s="3" t="s">
        <v>25</v>
      </c>
      <c r="M374" s="4">
        <v>7.6863476889667326E-2</v>
      </c>
      <c r="N374" s="3" t="str">
        <f>INDEX(Table5_2[Objective], MATCH(L374,Table5_2[Campaign_Name], 0))</f>
        <v>Sustainability Branding</v>
      </c>
    </row>
    <row r="375" spans="1:14" x14ac:dyDescent="0.3">
      <c r="A375" s="3" t="s">
        <v>313</v>
      </c>
      <c r="B375" s="3" t="s">
        <v>22</v>
      </c>
      <c r="C375" s="2">
        <v>45753</v>
      </c>
      <c r="D375" s="3" t="s">
        <v>14</v>
      </c>
      <c r="E375" s="3" t="s">
        <v>64</v>
      </c>
      <c r="F375" s="3">
        <v>14941</v>
      </c>
      <c r="G375" s="3">
        <v>1424</v>
      </c>
      <c r="H375" s="3">
        <v>238</v>
      </c>
      <c r="I375" s="3">
        <v>1054</v>
      </c>
      <c r="J375" s="3">
        <v>20516</v>
      </c>
      <c r="K375" s="3">
        <v>216048</v>
      </c>
      <c r="L375" s="3" t="s">
        <v>45</v>
      </c>
      <c r="M375" s="4">
        <v>7.6848663260016298E-2</v>
      </c>
      <c r="N375" s="3" t="str">
        <f>INDEX(Table5_2[Objective], MATCH(L375,Table5_2[Campaign_Name], 0))</f>
        <v>Product Promotion</v>
      </c>
    </row>
    <row r="376" spans="1:14" x14ac:dyDescent="0.3">
      <c r="A376" s="3" t="s">
        <v>152</v>
      </c>
      <c r="B376" s="3" t="s">
        <v>18</v>
      </c>
      <c r="C376" s="2">
        <v>45734</v>
      </c>
      <c r="D376" s="3" t="s">
        <v>14</v>
      </c>
      <c r="E376" s="3" t="s">
        <v>363</v>
      </c>
      <c r="F376" s="3">
        <v>5818</v>
      </c>
      <c r="G376" s="3">
        <v>1252</v>
      </c>
      <c r="H376" s="3">
        <v>687</v>
      </c>
      <c r="I376" s="3">
        <v>2300</v>
      </c>
      <c r="J376" s="3">
        <v>25081</v>
      </c>
      <c r="K376" s="3">
        <v>101212</v>
      </c>
      <c r="L376" s="3" t="s">
        <v>45</v>
      </c>
      <c r="M376" s="4">
        <v>7.6641109749832043E-2</v>
      </c>
      <c r="N376" s="3" t="str">
        <f>INDEX(Table5_2[Objective], MATCH(L376,Table5_2[Campaign_Name], 0))</f>
        <v>Product Promotion</v>
      </c>
    </row>
    <row r="377" spans="1:14" x14ac:dyDescent="0.3">
      <c r="A377" s="3" t="s">
        <v>152</v>
      </c>
      <c r="B377" s="3" t="s">
        <v>18</v>
      </c>
      <c r="C377" s="2">
        <v>45734</v>
      </c>
      <c r="D377" s="3" t="s">
        <v>14</v>
      </c>
      <c r="E377" s="3" t="s">
        <v>364</v>
      </c>
      <c r="F377" s="3">
        <v>5818</v>
      </c>
      <c r="G377" s="3">
        <v>1252</v>
      </c>
      <c r="H377" s="3">
        <v>687</v>
      </c>
      <c r="I377" s="3">
        <v>2300</v>
      </c>
      <c r="J377" s="3">
        <v>25081</v>
      </c>
      <c r="K377" s="3">
        <v>101212</v>
      </c>
      <c r="L377" s="3" t="s">
        <v>45</v>
      </c>
      <c r="M377" s="4">
        <v>7.6641109749832043E-2</v>
      </c>
      <c r="N377" s="3" t="str">
        <f>INDEX(Table5_2[Objective], MATCH(L377,Table5_2[Campaign_Name], 0))</f>
        <v>Product Promotion</v>
      </c>
    </row>
    <row r="378" spans="1:14" x14ac:dyDescent="0.3">
      <c r="A378" s="3" t="s">
        <v>148</v>
      </c>
      <c r="B378" s="3" t="s">
        <v>13</v>
      </c>
      <c r="C378" s="2">
        <v>45570</v>
      </c>
      <c r="D378" s="3" t="s">
        <v>34</v>
      </c>
      <c r="E378" s="3" t="s">
        <v>355</v>
      </c>
      <c r="F378" s="3">
        <v>16388</v>
      </c>
      <c r="G378" s="3">
        <v>1208</v>
      </c>
      <c r="H378" s="3">
        <v>417</v>
      </c>
      <c r="I378" s="3">
        <v>2306</v>
      </c>
      <c r="J378" s="3">
        <v>16865</v>
      </c>
      <c r="K378" s="3">
        <v>236733</v>
      </c>
      <c r="L378" s="3" t="s">
        <v>16</v>
      </c>
      <c r="M378" s="4">
        <v>7.6089940988370866E-2</v>
      </c>
      <c r="N378" s="3" t="str">
        <f>INDEX(Table5_2[Objective], MATCH(L378,Table5_2[Campaign_Name], 0))</f>
        <v>Health &amp; Fitness Awareness</v>
      </c>
    </row>
    <row r="379" spans="1:14" x14ac:dyDescent="0.3">
      <c r="A379" s="3" t="s">
        <v>148</v>
      </c>
      <c r="B379" s="3" t="s">
        <v>13</v>
      </c>
      <c r="C379" s="2">
        <v>45570</v>
      </c>
      <c r="D379" s="3" t="s">
        <v>34</v>
      </c>
      <c r="E379" s="3" t="s">
        <v>356</v>
      </c>
      <c r="F379" s="3">
        <v>16388</v>
      </c>
      <c r="G379" s="3">
        <v>1208</v>
      </c>
      <c r="H379" s="3">
        <v>417</v>
      </c>
      <c r="I379" s="3">
        <v>2306</v>
      </c>
      <c r="J379" s="3">
        <v>16865</v>
      </c>
      <c r="K379" s="3">
        <v>236733</v>
      </c>
      <c r="L379" s="3" t="s">
        <v>16</v>
      </c>
      <c r="M379" s="4">
        <v>7.6089940988370866E-2</v>
      </c>
      <c r="N379" s="3" t="str">
        <f>INDEX(Table5_2[Objective], MATCH(L379,Table5_2[Campaign_Name], 0))</f>
        <v>Health &amp; Fitness Awareness</v>
      </c>
    </row>
    <row r="380" spans="1:14" x14ac:dyDescent="0.3">
      <c r="A380" s="3" t="s">
        <v>247</v>
      </c>
      <c r="B380" s="3" t="s">
        <v>13</v>
      </c>
      <c r="C380" s="2">
        <v>45924</v>
      </c>
      <c r="D380" s="3" t="s">
        <v>14</v>
      </c>
      <c r="E380" s="3" t="s">
        <v>64</v>
      </c>
      <c r="F380" s="3">
        <v>11795</v>
      </c>
      <c r="G380" s="3">
        <v>958</v>
      </c>
      <c r="H380" s="3">
        <v>814</v>
      </c>
      <c r="I380" s="3">
        <v>301</v>
      </c>
      <c r="J380" s="3">
        <v>12564</v>
      </c>
      <c r="K380" s="3">
        <v>179999</v>
      </c>
      <c r="L380" s="3" t="s">
        <v>20</v>
      </c>
      <c r="M380" s="4">
        <v>7.5372640959116444E-2</v>
      </c>
      <c r="N380" s="3" t="str">
        <f>INDEX(Table5_2[Objective], MATCH(L380,Table5_2[Campaign_Name], 0))</f>
        <v>Brand Engagement</v>
      </c>
    </row>
    <row r="381" spans="1:14" x14ac:dyDescent="0.3">
      <c r="A381" s="3" t="s">
        <v>269</v>
      </c>
      <c r="B381" s="3" t="s">
        <v>18</v>
      </c>
      <c r="C381" s="2">
        <v>45724</v>
      </c>
      <c r="D381" s="3" t="s">
        <v>14</v>
      </c>
      <c r="E381" s="3" t="s">
        <v>353</v>
      </c>
      <c r="F381" s="3">
        <v>5812</v>
      </c>
      <c r="G381" s="3">
        <v>934</v>
      </c>
      <c r="H381" s="3">
        <v>302</v>
      </c>
      <c r="I381" s="3">
        <v>2356</v>
      </c>
      <c r="J381" s="3">
        <v>37437</v>
      </c>
      <c r="K381" s="3">
        <v>93551</v>
      </c>
      <c r="L381" s="3" t="s">
        <v>16</v>
      </c>
      <c r="M381" s="4">
        <v>7.5338585370546551E-2</v>
      </c>
      <c r="N381" s="3" t="str">
        <f>INDEX(Table5_2[Objective], MATCH(L381,Table5_2[Campaign_Name], 0))</f>
        <v>Health &amp; Fitness Awareness</v>
      </c>
    </row>
    <row r="382" spans="1:14" x14ac:dyDescent="0.3">
      <c r="A382" s="3" t="s">
        <v>269</v>
      </c>
      <c r="B382" s="3" t="s">
        <v>18</v>
      </c>
      <c r="C382" s="2">
        <v>45724</v>
      </c>
      <c r="D382" s="3" t="s">
        <v>14</v>
      </c>
      <c r="E382" s="3" t="s">
        <v>354</v>
      </c>
      <c r="F382" s="3">
        <v>5812</v>
      </c>
      <c r="G382" s="3">
        <v>934</v>
      </c>
      <c r="H382" s="3">
        <v>302</v>
      </c>
      <c r="I382" s="3">
        <v>2356</v>
      </c>
      <c r="J382" s="3">
        <v>37437</v>
      </c>
      <c r="K382" s="3">
        <v>93551</v>
      </c>
      <c r="L382" s="3" t="s">
        <v>16</v>
      </c>
      <c r="M382" s="4">
        <v>7.5338585370546551E-2</v>
      </c>
      <c r="N382" s="3" t="str">
        <f>INDEX(Table5_2[Objective], MATCH(L382,Table5_2[Campaign_Name], 0))</f>
        <v>Health &amp; Fitness Awareness</v>
      </c>
    </row>
    <row r="383" spans="1:14" x14ac:dyDescent="0.3">
      <c r="A383" s="3" t="s">
        <v>275</v>
      </c>
      <c r="B383" s="3" t="s">
        <v>13</v>
      </c>
      <c r="C383" s="2">
        <v>45910</v>
      </c>
      <c r="D383" s="3" t="s">
        <v>14</v>
      </c>
      <c r="E383" s="3" t="s">
        <v>355</v>
      </c>
      <c r="F383" s="3">
        <v>13613</v>
      </c>
      <c r="G383" s="3">
        <v>350</v>
      </c>
      <c r="H383" s="3">
        <v>809</v>
      </c>
      <c r="I383" s="3">
        <v>2013</v>
      </c>
      <c r="J383" s="3">
        <v>20471</v>
      </c>
      <c r="K383" s="3">
        <v>198038</v>
      </c>
      <c r="L383" s="3" t="s">
        <v>20</v>
      </c>
      <c r="M383" s="4">
        <v>7.4591745018632791E-2</v>
      </c>
      <c r="N383" s="3" t="str">
        <f>INDEX(Table5_2[Objective], MATCH(L383,Table5_2[Campaign_Name], 0))</f>
        <v>Brand Engagement</v>
      </c>
    </row>
    <row r="384" spans="1:14" x14ac:dyDescent="0.3">
      <c r="A384" s="3" t="s">
        <v>275</v>
      </c>
      <c r="B384" s="3" t="s">
        <v>13</v>
      </c>
      <c r="C384" s="2">
        <v>45910</v>
      </c>
      <c r="D384" s="3" t="s">
        <v>14</v>
      </c>
      <c r="E384" s="3" t="s">
        <v>356</v>
      </c>
      <c r="F384" s="3">
        <v>13613</v>
      </c>
      <c r="G384" s="3">
        <v>350</v>
      </c>
      <c r="H384" s="3">
        <v>809</v>
      </c>
      <c r="I384" s="3">
        <v>2013</v>
      </c>
      <c r="J384" s="3">
        <v>20471</v>
      </c>
      <c r="K384" s="3">
        <v>198038</v>
      </c>
      <c r="L384" s="3" t="s">
        <v>20</v>
      </c>
      <c r="M384" s="4">
        <v>7.4591745018632791E-2</v>
      </c>
      <c r="N384" s="3" t="str">
        <f>INDEX(Table5_2[Objective], MATCH(L384,Table5_2[Campaign_Name], 0))</f>
        <v>Brand Engagement</v>
      </c>
    </row>
    <row r="385" spans="1:14" x14ac:dyDescent="0.3">
      <c r="A385" s="3" t="s">
        <v>49</v>
      </c>
      <c r="B385" s="3" t="s">
        <v>18</v>
      </c>
      <c r="C385" s="2">
        <v>45782</v>
      </c>
      <c r="D385" s="3" t="s">
        <v>23</v>
      </c>
      <c r="E385" s="3" t="s">
        <v>359</v>
      </c>
      <c r="F385" s="3">
        <v>10415</v>
      </c>
      <c r="G385" s="3">
        <v>1388</v>
      </c>
      <c r="H385" s="3">
        <v>725</v>
      </c>
      <c r="I385" s="3">
        <v>2462</v>
      </c>
      <c r="J385" s="3">
        <v>53082</v>
      </c>
      <c r="K385" s="3">
        <v>168267</v>
      </c>
      <c r="L385" s="3" t="s">
        <v>45</v>
      </c>
      <c r="M385" s="4">
        <v>7.4453101321114656E-2</v>
      </c>
      <c r="N385" s="3" t="str">
        <f>INDEX(Table5_2[Objective], MATCH(L385,Table5_2[Campaign_Name], 0))</f>
        <v>Product Promotion</v>
      </c>
    </row>
    <row r="386" spans="1:14" x14ac:dyDescent="0.3">
      <c r="A386" s="3" t="s">
        <v>49</v>
      </c>
      <c r="B386" s="3" t="s">
        <v>18</v>
      </c>
      <c r="C386" s="2">
        <v>45782</v>
      </c>
      <c r="D386" s="3" t="s">
        <v>23</v>
      </c>
      <c r="E386" s="3" t="s">
        <v>366</v>
      </c>
      <c r="F386" s="3">
        <v>10415</v>
      </c>
      <c r="G386" s="3">
        <v>1388</v>
      </c>
      <c r="H386" s="3">
        <v>725</v>
      </c>
      <c r="I386" s="3">
        <v>2462</v>
      </c>
      <c r="J386" s="3">
        <v>53082</v>
      </c>
      <c r="K386" s="3">
        <v>168267</v>
      </c>
      <c r="L386" s="3" t="s">
        <v>45</v>
      </c>
      <c r="M386" s="4">
        <v>7.4453101321114656E-2</v>
      </c>
      <c r="N386" s="3" t="str">
        <f>INDEX(Table5_2[Objective], MATCH(L386,Table5_2[Campaign_Name], 0))</f>
        <v>Product Promotion</v>
      </c>
    </row>
    <row r="387" spans="1:14" x14ac:dyDescent="0.3">
      <c r="A387" s="3" t="s">
        <v>288</v>
      </c>
      <c r="B387" s="3" t="s">
        <v>22</v>
      </c>
      <c r="C387" s="2">
        <v>45775</v>
      </c>
      <c r="D387" s="3" t="s">
        <v>34</v>
      </c>
      <c r="E387" s="3" t="s">
        <v>359</v>
      </c>
      <c r="F387" s="3">
        <v>10659</v>
      </c>
      <c r="G387" s="3">
        <v>1342</v>
      </c>
      <c r="H387" s="3">
        <v>408</v>
      </c>
      <c r="I387" s="3">
        <v>709</v>
      </c>
      <c r="J387" s="3">
        <v>16309</v>
      </c>
      <c r="K387" s="3">
        <v>168803</v>
      </c>
      <c r="L387" s="3" t="s">
        <v>25</v>
      </c>
      <c r="M387" s="4">
        <v>7.3511726687321907E-2</v>
      </c>
      <c r="N387" s="3" t="str">
        <f>INDEX(Table5_2[Objective], MATCH(L387,Table5_2[Campaign_Name], 0))</f>
        <v>Sustainability Branding</v>
      </c>
    </row>
    <row r="388" spans="1:14" x14ac:dyDescent="0.3">
      <c r="A388" s="3" t="s">
        <v>288</v>
      </c>
      <c r="B388" s="3" t="s">
        <v>22</v>
      </c>
      <c r="C388" s="2">
        <v>45775</v>
      </c>
      <c r="D388" s="3" t="s">
        <v>34</v>
      </c>
      <c r="E388" s="3" t="s">
        <v>366</v>
      </c>
      <c r="F388" s="3">
        <v>10659</v>
      </c>
      <c r="G388" s="3">
        <v>1342</v>
      </c>
      <c r="H388" s="3">
        <v>408</v>
      </c>
      <c r="I388" s="3">
        <v>709</v>
      </c>
      <c r="J388" s="3">
        <v>16309</v>
      </c>
      <c r="K388" s="3">
        <v>168803</v>
      </c>
      <c r="L388" s="3" t="s">
        <v>25</v>
      </c>
      <c r="M388" s="4">
        <v>7.3511726687321907E-2</v>
      </c>
      <c r="N388" s="3" t="str">
        <f>INDEX(Table5_2[Objective], MATCH(L388,Table5_2[Campaign_Name], 0))</f>
        <v>Sustainability Branding</v>
      </c>
    </row>
    <row r="389" spans="1:14" x14ac:dyDescent="0.3">
      <c r="A389" s="3" t="s">
        <v>245</v>
      </c>
      <c r="B389" s="3" t="s">
        <v>40</v>
      </c>
      <c r="C389" s="2">
        <v>45735</v>
      </c>
      <c r="D389" s="3" t="s">
        <v>34</v>
      </c>
      <c r="E389" s="3" t="s">
        <v>359</v>
      </c>
      <c r="F389" s="3">
        <v>13475</v>
      </c>
      <c r="G389" s="3">
        <v>1032</v>
      </c>
      <c r="H389" s="3">
        <v>295</v>
      </c>
      <c r="I389" s="3">
        <v>541</v>
      </c>
      <c r="J389" s="3">
        <v>43666</v>
      </c>
      <c r="K389" s="3">
        <v>202396</v>
      </c>
      <c r="L389" s="3" t="s">
        <v>45</v>
      </c>
      <c r="M389" s="4">
        <v>7.3133856400324118E-2</v>
      </c>
      <c r="N389" s="3" t="str">
        <f>INDEX(Table5_2[Objective], MATCH(L389,Table5_2[Campaign_Name], 0))</f>
        <v>Product Promotion</v>
      </c>
    </row>
    <row r="390" spans="1:14" x14ac:dyDescent="0.3">
      <c r="A390" s="3" t="s">
        <v>245</v>
      </c>
      <c r="B390" s="3" t="s">
        <v>40</v>
      </c>
      <c r="C390" s="2">
        <v>45735</v>
      </c>
      <c r="D390" s="3" t="s">
        <v>34</v>
      </c>
      <c r="E390" s="3" t="s">
        <v>360</v>
      </c>
      <c r="F390" s="3">
        <v>13475</v>
      </c>
      <c r="G390" s="3">
        <v>1032</v>
      </c>
      <c r="H390" s="3">
        <v>295</v>
      </c>
      <c r="I390" s="3">
        <v>541</v>
      </c>
      <c r="J390" s="3">
        <v>43666</v>
      </c>
      <c r="K390" s="3">
        <v>202396</v>
      </c>
      <c r="L390" s="3" t="s">
        <v>45</v>
      </c>
      <c r="M390" s="4">
        <v>7.3133856400324118E-2</v>
      </c>
      <c r="N390" s="3" t="str">
        <f>INDEX(Table5_2[Objective], MATCH(L390,Table5_2[Campaign_Name], 0))</f>
        <v>Product Promotion</v>
      </c>
    </row>
    <row r="391" spans="1:14" x14ac:dyDescent="0.3">
      <c r="A391" s="3" t="s">
        <v>51</v>
      </c>
      <c r="B391" s="3" t="s">
        <v>18</v>
      </c>
      <c r="C391" s="2">
        <v>45523</v>
      </c>
      <c r="D391" s="3" t="s">
        <v>14</v>
      </c>
      <c r="E391" s="3" t="s">
        <v>363</v>
      </c>
      <c r="F391" s="3">
        <v>15550</v>
      </c>
      <c r="G391" s="3">
        <v>204</v>
      </c>
      <c r="H391" s="3">
        <v>279</v>
      </c>
      <c r="I391" s="3">
        <v>1646</v>
      </c>
      <c r="J391" s="3">
        <v>35819</v>
      </c>
      <c r="K391" s="3">
        <v>219436</v>
      </c>
      <c r="L391" s="3" t="s">
        <v>16</v>
      </c>
      <c r="M391" s="4">
        <v>7.306458375107093E-2</v>
      </c>
      <c r="N391" s="3" t="str">
        <f>INDEX(Table5_2[Objective], MATCH(L391,Table5_2[Campaign_Name], 0))</f>
        <v>Health &amp; Fitness Awareness</v>
      </c>
    </row>
    <row r="392" spans="1:14" x14ac:dyDescent="0.3">
      <c r="A392" s="3" t="s">
        <v>51</v>
      </c>
      <c r="B392" s="3" t="s">
        <v>18</v>
      </c>
      <c r="C392" s="2">
        <v>45523</v>
      </c>
      <c r="D392" s="3" t="s">
        <v>14</v>
      </c>
      <c r="E392" s="3" t="s">
        <v>364</v>
      </c>
      <c r="F392" s="3">
        <v>15550</v>
      </c>
      <c r="G392" s="3">
        <v>204</v>
      </c>
      <c r="H392" s="3">
        <v>279</v>
      </c>
      <c r="I392" s="3">
        <v>1646</v>
      </c>
      <c r="J392" s="3">
        <v>35819</v>
      </c>
      <c r="K392" s="3">
        <v>219436</v>
      </c>
      <c r="L392" s="3" t="s">
        <v>16</v>
      </c>
      <c r="M392" s="4">
        <v>7.306458375107093E-2</v>
      </c>
      <c r="N392" s="3" t="str">
        <f>INDEX(Table5_2[Objective], MATCH(L392,Table5_2[Campaign_Name], 0))</f>
        <v>Health &amp; Fitness Awareness</v>
      </c>
    </row>
    <row r="393" spans="1:14" x14ac:dyDescent="0.3">
      <c r="A393" s="3" t="s">
        <v>265</v>
      </c>
      <c r="B393" s="3" t="s">
        <v>22</v>
      </c>
      <c r="C393" s="2">
        <v>45476</v>
      </c>
      <c r="D393" s="3" t="s">
        <v>27</v>
      </c>
      <c r="E393" s="3" t="s">
        <v>355</v>
      </c>
      <c r="F393" s="3">
        <v>12167</v>
      </c>
      <c r="G393" s="3">
        <v>364</v>
      </c>
      <c r="H393" s="3">
        <v>160</v>
      </c>
      <c r="I393" s="3">
        <v>616</v>
      </c>
      <c r="J393" s="3">
        <v>42228</v>
      </c>
      <c r="K393" s="3">
        <v>175832</v>
      </c>
      <c r="L393" s="3" t="s">
        <v>25</v>
      </c>
      <c r="M393" s="4">
        <v>7.2176850630146963E-2</v>
      </c>
      <c r="N393" s="3" t="str">
        <f>INDEX(Table5_2[Objective], MATCH(L393,Table5_2[Campaign_Name], 0))</f>
        <v>Sustainability Branding</v>
      </c>
    </row>
    <row r="394" spans="1:14" x14ac:dyDescent="0.3">
      <c r="A394" s="3" t="s">
        <v>265</v>
      </c>
      <c r="B394" s="3" t="s">
        <v>22</v>
      </c>
      <c r="C394" s="2">
        <v>45476</v>
      </c>
      <c r="D394" s="3" t="s">
        <v>27</v>
      </c>
      <c r="E394" s="3" t="s">
        <v>356</v>
      </c>
      <c r="F394" s="3">
        <v>12167</v>
      </c>
      <c r="G394" s="3">
        <v>364</v>
      </c>
      <c r="H394" s="3">
        <v>160</v>
      </c>
      <c r="I394" s="3">
        <v>616</v>
      </c>
      <c r="J394" s="3">
        <v>42228</v>
      </c>
      <c r="K394" s="3">
        <v>175832</v>
      </c>
      <c r="L394" s="3" t="s">
        <v>25</v>
      </c>
      <c r="M394" s="4">
        <v>7.2176850630146963E-2</v>
      </c>
      <c r="N394" s="3" t="str">
        <f>INDEX(Table5_2[Objective], MATCH(L394,Table5_2[Campaign_Name], 0))</f>
        <v>Sustainability Branding</v>
      </c>
    </row>
    <row r="395" spans="1:14" x14ac:dyDescent="0.3">
      <c r="A395" s="3" t="s">
        <v>125</v>
      </c>
      <c r="B395" s="3" t="s">
        <v>18</v>
      </c>
      <c r="C395" s="2">
        <v>45923</v>
      </c>
      <c r="D395" s="3" t="s">
        <v>14</v>
      </c>
      <c r="E395" s="3" t="s">
        <v>368</v>
      </c>
      <c r="F395" s="3">
        <v>10017</v>
      </c>
      <c r="G395" s="3">
        <v>1357</v>
      </c>
      <c r="H395" s="3">
        <v>966</v>
      </c>
      <c r="I395" s="3">
        <v>2871</v>
      </c>
      <c r="J395" s="3">
        <v>14800</v>
      </c>
      <c r="K395" s="3">
        <v>171691</v>
      </c>
      <c r="L395" s="3" t="s">
        <v>20</v>
      </c>
      <c r="M395" s="4">
        <v>7.1873307278774071E-2</v>
      </c>
      <c r="N395" s="3" t="str">
        <f>INDEX(Table5_2[Objective], MATCH(L395,Table5_2[Campaign_Name], 0))</f>
        <v>Brand Engagement</v>
      </c>
    </row>
    <row r="396" spans="1:14" x14ac:dyDescent="0.3">
      <c r="A396" s="3" t="s">
        <v>125</v>
      </c>
      <c r="B396" s="3" t="s">
        <v>18</v>
      </c>
      <c r="C396" s="2">
        <v>45923</v>
      </c>
      <c r="D396" s="3" t="s">
        <v>14</v>
      </c>
      <c r="E396" s="3" t="s">
        <v>369</v>
      </c>
      <c r="F396" s="3">
        <v>10017</v>
      </c>
      <c r="G396" s="3">
        <v>1357</v>
      </c>
      <c r="H396" s="3">
        <v>966</v>
      </c>
      <c r="I396" s="3">
        <v>2871</v>
      </c>
      <c r="J396" s="3">
        <v>14800</v>
      </c>
      <c r="K396" s="3">
        <v>171691</v>
      </c>
      <c r="L396" s="3" t="s">
        <v>20</v>
      </c>
      <c r="M396" s="4">
        <v>7.1873307278774071E-2</v>
      </c>
      <c r="N396" s="3" t="str">
        <f>INDEX(Table5_2[Objective], MATCH(L396,Table5_2[Campaign_Name], 0))</f>
        <v>Brand Engagement</v>
      </c>
    </row>
    <row r="397" spans="1:14" x14ac:dyDescent="0.3">
      <c r="A397" s="3" t="s">
        <v>213</v>
      </c>
      <c r="B397" s="3" t="s">
        <v>13</v>
      </c>
      <c r="C397" s="2">
        <v>45483</v>
      </c>
      <c r="D397" s="3" t="s">
        <v>14</v>
      </c>
      <c r="E397" s="3" t="s">
        <v>367</v>
      </c>
      <c r="F397" s="3">
        <v>8809</v>
      </c>
      <c r="G397" s="3">
        <v>1151</v>
      </c>
      <c r="H397" s="3">
        <v>908</v>
      </c>
      <c r="I397" s="3">
        <v>883</v>
      </c>
      <c r="J397" s="3">
        <v>42921</v>
      </c>
      <c r="K397" s="3">
        <v>151279</v>
      </c>
      <c r="L397" s="3" t="s">
        <v>45</v>
      </c>
      <c r="M397" s="4">
        <v>7.1840771025720687E-2</v>
      </c>
      <c r="N397" s="3" t="str">
        <f>INDEX(Table5_2[Objective], MATCH(L397,Table5_2[Campaign_Name], 0))</f>
        <v>Product Promotion</v>
      </c>
    </row>
    <row r="398" spans="1:14" x14ac:dyDescent="0.3">
      <c r="A398" s="3" t="s">
        <v>213</v>
      </c>
      <c r="B398" s="3" t="s">
        <v>13</v>
      </c>
      <c r="C398" s="2">
        <v>45483</v>
      </c>
      <c r="D398" s="3" t="s">
        <v>14</v>
      </c>
      <c r="E398" s="3" t="s">
        <v>32</v>
      </c>
      <c r="F398" s="3">
        <v>8809</v>
      </c>
      <c r="G398" s="3">
        <v>1151</v>
      </c>
      <c r="H398" s="3">
        <v>908</v>
      </c>
      <c r="I398" s="3">
        <v>883</v>
      </c>
      <c r="J398" s="3">
        <v>42921</v>
      </c>
      <c r="K398" s="3">
        <v>151279</v>
      </c>
      <c r="L398" s="3" t="s">
        <v>45</v>
      </c>
      <c r="M398" s="4">
        <v>7.1840771025720687E-2</v>
      </c>
      <c r="N398" s="3" t="str">
        <f>INDEX(Table5_2[Objective], MATCH(L398,Table5_2[Campaign_Name], 0))</f>
        <v>Product Promotion</v>
      </c>
    </row>
    <row r="399" spans="1:14" x14ac:dyDescent="0.3">
      <c r="A399" s="3" t="s">
        <v>228</v>
      </c>
      <c r="B399" s="3" t="s">
        <v>13</v>
      </c>
      <c r="C399" s="2">
        <v>45945</v>
      </c>
      <c r="D399" s="3" t="s">
        <v>14</v>
      </c>
      <c r="E399" s="3" t="s">
        <v>363</v>
      </c>
      <c r="F399" s="3">
        <v>8882</v>
      </c>
      <c r="G399" s="3">
        <v>701</v>
      </c>
      <c r="H399" s="3">
        <v>421</v>
      </c>
      <c r="I399" s="3">
        <v>2343</v>
      </c>
      <c r="J399" s="3">
        <v>13588</v>
      </c>
      <c r="K399" s="3">
        <v>139304</v>
      </c>
      <c r="L399" s="3" t="s">
        <v>20</v>
      </c>
      <c r="M399" s="4">
        <v>7.1814161833113191E-2</v>
      </c>
      <c r="N399" s="3" t="str">
        <f>INDEX(Table5_2[Objective], MATCH(L399,Table5_2[Campaign_Name], 0))</f>
        <v>Brand Engagement</v>
      </c>
    </row>
    <row r="400" spans="1:14" x14ac:dyDescent="0.3">
      <c r="A400" s="3" t="s">
        <v>228</v>
      </c>
      <c r="B400" s="3" t="s">
        <v>13</v>
      </c>
      <c r="C400" s="2">
        <v>45945</v>
      </c>
      <c r="D400" s="3" t="s">
        <v>14</v>
      </c>
      <c r="E400" s="3" t="s">
        <v>364</v>
      </c>
      <c r="F400" s="3">
        <v>8882</v>
      </c>
      <c r="G400" s="3">
        <v>701</v>
      </c>
      <c r="H400" s="3">
        <v>421</v>
      </c>
      <c r="I400" s="3">
        <v>2343</v>
      </c>
      <c r="J400" s="3">
        <v>13588</v>
      </c>
      <c r="K400" s="3">
        <v>139304</v>
      </c>
      <c r="L400" s="3" t="s">
        <v>20</v>
      </c>
      <c r="M400" s="4">
        <v>7.1814161833113191E-2</v>
      </c>
      <c r="N400" s="3" t="str">
        <f>INDEX(Table5_2[Objective], MATCH(L400,Table5_2[Campaign_Name], 0))</f>
        <v>Brand Engagement</v>
      </c>
    </row>
    <row r="401" spans="1:14" x14ac:dyDescent="0.3">
      <c r="A401" s="3" t="s">
        <v>151</v>
      </c>
      <c r="B401" s="3" t="s">
        <v>13</v>
      </c>
      <c r="C401" s="2">
        <v>45930</v>
      </c>
      <c r="D401" s="3" t="s">
        <v>23</v>
      </c>
      <c r="E401" s="3" t="s">
        <v>353</v>
      </c>
      <c r="F401" s="3">
        <v>8269</v>
      </c>
      <c r="G401" s="3">
        <v>250</v>
      </c>
      <c r="H401" s="3">
        <v>638</v>
      </c>
      <c r="I401" s="3">
        <v>815</v>
      </c>
      <c r="J401" s="3">
        <v>41991</v>
      </c>
      <c r="K401" s="3">
        <v>129393</v>
      </c>
      <c r="L401" s="3" t="s">
        <v>20</v>
      </c>
      <c r="M401" s="4">
        <v>7.0768897853825175E-2</v>
      </c>
      <c r="N401" s="3" t="str">
        <f>INDEX(Table5_2[Objective], MATCH(L401,Table5_2[Campaign_Name], 0))</f>
        <v>Brand Engagement</v>
      </c>
    </row>
    <row r="402" spans="1:14" x14ac:dyDescent="0.3">
      <c r="A402" s="3" t="s">
        <v>151</v>
      </c>
      <c r="B402" s="3" t="s">
        <v>13</v>
      </c>
      <c r="C402" s="2">
        <v>45930</v>
      </c>
      <c r="D402" s="3" t="s">
        <v>23</v>
      </c>
      <c r="E402" s="3" t="s">
        <v>354</v>
      </c>
      <c r="F402" s="3">
        <v>8269</v>
      </c>
      <c r="G402" s="3">
        <v>250</v>
      </c>
      <c r="H402" s="3">
        <v>638</v>
      </c>
      <c r="I402" s="3">
        <v>815</v>
      </c>
      <c r="J402" s="3">
        <v>41991</v>
      </c>
      <c r="K402" s="3">
        <v>129393</v>
      </c>
      <c r="L402" s="3" t="s">
        <v>20</v>
      </c>
      <c r="M402" s="4">
        <v>7.0768897853825175E-2</v>
      </c>
      <c r="N402" s="3" t="str">
        <f>INDEX(Table5_2[Objective], MATCH(L402,Table5_2[Campaign_Name], 0))</f>
        <v>Brand Engagement</v>
      </c>
    </row>
    <row r="403" spans="1:14" x14ac:dyDescent="0.3">
      <c r="A403" s="3" t="s">
        <v>293</v>
      </c>
      <c r="B403" s="3" t="s">
        <v>13</v>
      </c>
      <c r="C403" s="2">
        <v>45753</v>
      </c>
      <c r="D403" s="3" t="s">
        <v>34</v>
      </c>
      <c r="E403" s="3" t="s">
        <v>359</v>
      </c>
      <c r="F403" s="3">
        <v>15917</v>
      </c>
      <c r="G403" s="3">
        <v>1479</v>
      </c>
      <c r="H403" s="3">
        <v>196</v>
      </c>
      <c r="I403" s="3">
        <v>313</v>
      </c>
      <c r="J403" s="3">
        <v>48524</v>
      </c>
      <c r="K403" s="3">
        <v>249684</v>
      </c>
      <c r="L403" s="3" t="s">
        <v>29</v>
      </c>
      <c r="M403" s="4">
        <v>7.0457057720959296E-2</v>
      </c>
      <c r="N403" s="3" t="str">
        <f>INDEX(Table5_2[Objective], MATCH(L403,Table5_2[Campaign_Name], 0))</f>
        <v>Product Launch</v>
      </c>
    </row>
    <row r="404" spans="1:14" x14ac:dyDescent="0.3">
      <c r="A404" s="3" t="s">
        <v>293</v>
      </c>
      <c r="B404" s="3" t="s">
        <v>13</v>
      </c>
      <c r="C404" s="2">
        <v>45753</v>
      </c>
      <c r="D404" s="3" t="s">
        <v>34</v>
      </c>
      <c r="E404" s="3" t="s">
        <v>366</v>
      </c>
      <c r="F404" s="3">
        <v>15917</v>
      </c>
      <c r="G404" s="3">
        <v>1479</v>
      </c>
      <c r="H404" s="3">
        <v>196</v>
      </c>
      <c r="I404" s="3">
        <v>313</v>
      </c>
      <c r="J404" s="3">
        <v>48524</v>
      </c>
      <c r="K404" s="3">
        <v>249684</v>
      </c>
      <c r="L404" s="3" t="s">
        <v>29</v>
      </c>
      <c r="M404" s="4">
        <v>7.0457057720959296E-2</v>
      </c>
      <c r="N404" s="3" t="str">
        <f>INDEX(Table5_2[Objective], MATCH(L404,Table5_2[Campaign_Name], 0))</f>
        <v>Product Launch</v>
      </c>
    </row>
    <row r="405" spans="1:14" x14ac:dyDescent="0.3">
      <c r="A405" s="3" t="s">
        <v>327</v>
      </c>
      <c r="B405" s="3" t="s">
        <v>22</v>
      </c>
      <c r="C405" s="2">
        <v>45602</v>
      </c>
      <c r="D405" s="3" t="s">
        <v>14</v>
      </c>
      <c r="E405" s="3" t="s">
        <v>361</v>
      </c>
      <c r="F405" s="3">
        <v>11865</v>
      </c>
      <c r="G405" s="3">
        <v>241</v>
      </c>
      <c r="H405" s="3">
        <v>319</v>
      </c>
      <c r="I405" s="3">
        <v>703</v>
      </c>
      <c r="J405" s="3">
        <v>69596</v>
      </c>
      <c r="K405" s="3">
        <v>177513</v>
      </c>
      <c r="L405" s="3" t="s">
        <v>29</v>
      </c>
      <c r="M405" s="4">
        <v>6.999487361489018E-2</v>
      </c>
      <c r="N405" s="3" t="str">
        <f>INDEX(Table5_2[Objective], MATCH(L405,Table5_2[Campaign_Name], 0))</f>
        <v>Product Launch</v>
      </c>
    </row>
    <row r="406" spans="1:14" x14ac:dyDescent="0.3">
      <c r="A406" s="3" t="s">
        <v>327</v>
      </c>
      <c r="B406" s="3" t="s">
        <v>22</v>
      </c>
      <c r="C406" s="2">
        <v>45602</v>
      </c>
      <c r="D406" s="3" t="s">
        <v>14</v>
      </c>
      <c r="E406" s="3" t="s">
        <v>362</v>
      </c>
      <c r="F406" s="3">
        <v>11865</v>
      </c>
      <c r="G406" s="3">
        <v>241</v>
      </c>
      <c r="H406" s="3">
        <v>319</v>
      </c>
      <c r="I406" s="3">
        <v>703</v>
      </c>
      <c r="J406" s="3">
        <v>69596</v>
      </c>
      <c r="K406" s="3">
        <v>177513</v>
      </c>
      <c r="L406" s="3" t="s">
        <v>29</v>
      </c>
      <c r="M406" s="4">
        <v>6.999487361489018E-2</v>
      </c>
      <c r="N406" s="3" t="str">
        <f>INDEX(Table5_2[Objective], MATCH(L406,Table5_2[Campaign_Name], 0))</f>
        <v>Product Launch</v>
      </c>
    </row>
    <row r="407" spans="1:14" x14ac:dyDescent="0.3">
      <c r="A407" s="3" t="s">
        <v>335</v>
      </c>
      <c r="B407" s="3" t="s">
        <v>22</v>
      </c>
      <c r="C407" s="2">
        <v>45925</v>
      </c>
      <c r="D407" s="3" t="s">
        <v>34</v>
      </c>
      <c r="E407" s="3" t="s">
        <v>367</v>
      </c>
      <c r="F407" s="3">
        <v>12568</v>
      </c>
      <c r="G407" s="3">
        <v>541</v>
      </c>
      <c r="H407" s="3">
        <v>273</v>
      </c>
      <c r="I407" s="3">
        <v>2767</v>
      </c>
      <c r="J407" s="3">
        <v>22331</v>
      </c>
      <c r="K407" s="3">
        <v>192747</v>
      </c>
      <c r="L407" s="3" t="s">
        <v>20</v>
      </c>
      <c r="M407" s="4">
        <v>6.9427799135654514E-2</v>
      </c>
      <c r="N407" s="3" t="str">
        <f>INDEX(Table5_2[Objective], MATCH(L407,Table5_2[Campaign_Name], 0))</f>
        <v>Brand Engagement</v>
      </c>
    </row>
    <row r="408" spans="1:14" x14ac:dyDescent="0.3">
      <c r="A408" s="3" t="s">
        <v>335</v>
      </c>
      <c r="B408" s="3" t="s">
        <v>22</v>
      </c>
      <c r="C408" s="2">
        <v>45925</v>
      </c>
      <c r="D408" s="3" t="s">
        <v>34</v>
      </c>
      <c r="E408" s="3" t="s">
        <v>32</v>
      </c>
      <c r="F408" s="3">
        <v>12568</v>
      </c>
      <c r="G408" s="3">
        <v>541</v>
      </c>
      <c r="H408" s="3">
        <v>273</v>
      </c>
      <c r="I408" s="3">
        <v>2767</v>
      </c>
      <c r="J408" s="3">
        <v>22331</v>
      </c>
      <c r="K408" s="3">
        <v>192747</v>
      </c>
      <c r="L408" s="3" t="s">
        <v>20</v>
      </c>
      <c r="M408" s="4">
        <v>6.9427799135654514E-2</v>
      </c>
      <c r="N408" s="3" t="str">
        <f>INDEX(Table5_2[Objective], MATCH(L408,Table5_2[Campaign_Name], 0))</f>
        <v>Brand Engagement</v>
      </c>
    </row>
    <row r="409" spans="1:14" x14ac:dyDescent="0.3">
      <c r="A409" s="3" t="s">
        <v>80</v>
      </c>
      <c r="B409" s="3" t="s">
        <v>18</v>
      </c>
      <c r="C409" s="2">
        <v>45917</v>
      </c>
      <c r="D409" s="3" t="s">
        <v>23</v>
      </c>
      <c r="E409" s="3" t="s">
        <v>361</v>
      </c>
      <c r="F409" s="3">
        <v>15456</v>
      </c>
      <c r="G409" s="3">
        <v>590</v>
      </c>
      <c r="H409" s="3">
        <v>555</v>
      </c>
      <c r="I409" s="3">
        <v>2882</v>
      </c>
      <c r="J409" s="3">
        <v>49816</v>
      </c>
      <c r="K409" s="3">
        <v>240422</v>
      </c>
      <c r="L409" s="3" t="s">
        <v>20</v>
      </c>
      <c r="M409" s="4">
        <v>6.9049421433978589E-2</v>
      </c>
      <c r="N409" s="3" t="str">
        <f>INDEX(Table5_2[Objective], MATCH(L409,Table5_2[Campaign_Name], 0))</f>
        <v>Brand Engagement</v>
      </c>
    </row>
    <row r="410" spans="1:14" x14ac:dyDescent="0.3">
      <c r="A410" s="3" t="s">
        <v>80</v>
      </c>
      <c r="B410" s="3" t="s">
        <v>18</v>
      </c>
      <c r="C410" s="2">
        <v>45917</v>
      </c>
      <c r="D410" s="3" t="s">
        <v>23</v>
      </c>
      <c r="E410" s="3" t="s">
        <v>362</v>
      </c>
      <c r="F410" s="3">
        <v>15456</v>
      </c>
      <c r="G410" s="3">
        <v>590</v>
      </c>
      <c r="H410" s="3">
        <v>555</v>
      </c>
      <c r="I410" s="3">
        <v>2882</v>
      </c>
      <c r="J410" s="3">
        <v>49816</v>
      </c>
      <c r="K410" s="3">
        <v>240422</v>
      </c>
      <c r="L410" s="3" t="s">
        <v>20</v>
      </c>
      <c r="M410" s="4">
        <v>6.9049421433978589E-2</v>
      </c>
      <c r="N410" s="3" t="str">
        <f>INDEX(Table5_2[Objective], MATCH(L410,Table5_2[Campaign_Name], 0))</f>
        <v>Brand Engagement</v>
      </c>
    </row>
    <row r="411" spans="1:14" x14ac:dyDescent="0.3">
      <c r="A411" s="3" t="s">
        <v>72</v>
      </c>
      <c r="B411" s="3" t="s">
        <v>18</v>
      </c>
      <c r="C411" s="2">
        <v>45663</v>
      </c>
      <c r="D411" s="3" t="s">
        <v>14</v>
      </c>
      <c r="E411" s="3" t="s">
        <v>357</v>
      </c>
      <c r="F411" s="3">
        <v>11860</v>
      </c>
      <c r="G411" s="3">
        <v>1448</v>
      </c>
      <c r="H411" s="3">
        <v>893</v>
      </c>
      <c r="I411" s="3">
        <v>490</v>
      </c>
      <c r="J411" s="3">
        <v>23518</v>
      </c>
      <c r="K411" s="3">
        <v>206205</v>
      </c>
      <c r="L411" s="3" t="s">
        <v>16</v>
      </c>
      <c r="M411" s="4">
        <v>6.8868359157149436E-2</v>
      </c>
      <c r="N411" s="3" t="str">
        <f>INDEX(Table5_2[Objective], MATCH(L411,Table5_2[Campaign_Name], 0))</f>
        <v>Health &amp; Fitness Awareness</v>
      </c>
    </row>
    <row r="412" spans="1:14" x14ac:dyDescent="0.3">
      <c r="A412" s="3" t="s">
        <v>72</v>
      </c>
      <c r="B412" s="3" t="s">
        <v>18</v>
      </c>
      <c r="C412" s="2">
        <v>45663</v>
      </c>
      <c r="D412" s="3" t="s">
        <v>14</v>
      </c>
      <c r="E412" s="3" t="s">
        <v>358</v>
      </c>
      <c r="F412" s="3">
        <v>11860</v>
      </c>
      <c r="G412" s="3">
        <v>1448</v>
      </c>
      <c r="H412" s="3">
        <v>893</v>
      </c>
      <c r="I412" s="3">
        <v>490</v>
      </c>
      <c r="J412" s="3">
        <v>23518</v>
      </c>
      <c r="K412" s="3">
        <v>206205</v>
      </c>
      <c r="L412" s="3" t="s">
        <v>16</v>
      </c>
      <c r="M412" s="4">
        <v>6.8868359157149436E-2</v>
      </c>
      <c r="N412" s="3" t="str">
        <f>INDEX(Table5_2[Objective], MATCH(L412,Table5_2[Campaign_Name], 0))</f>
        <v>Health &amp; Fitness Awareness</v>
      </c>
    </row>
    <row r="413" spans="1:14" x14ac:dyDescent="0.3">
      <c r="A413" s="3" t="s">
        <v>198</v>
      </c>
      <c r="B413" s="3" t="s">
        <v>22</v>
      </c>
      <c r="C413" s="2">
        <v>45748</v>
      </c>
      <c r="D413" s="3" t="s">
        <v>14</v>
      </c>
      <c r="E413" s="3" t="s">
        <v>361</v>
      </c>
      <c r="F413" s="3">
        <v>6432</v>
      </c>
      <c r="G413" s="3">
        <v>1272</v>
      </c>
      <c r="H413" s="3">
        <v>498</v>
      </c>
      <c r="I413" s="3">
        <v>677</v>
      </c>
      <c r="J413" s="3">
        <v>47305</v>
      </c>
      <c r="K413" s="3">
        <v>119134</v>
      </c>
      <c r="L413" s="3" t="s">
        <v>16</v>
      </c>
      <c r="M413" s="4">
        <v>6.8846844729464299E-2</v>
      </c>
      <c r="N413" s="3" t="str">
        <f>INDEX(Table5_2[Objective], MATCH(L413,Table5_2[Campaign_Name], 0))</f>
        <v>Health &amp; Fitness Awareness</v>
      </c>
    </row>
    <row r="414" spans="1:14" x14ac:dyDescent="0.3">
      <c r="A414" s="3" t="s">
        <v>198</v>
      </c>
      <c r="B414" s="3" t="s">
        <v>22</v>
      </c>
      <c r="C414" s="2">
        <v>45748</v>
      </c>
      <c r="D414" s="3" t="s">
        <v>14</v>
      </c>
      <c r="E414" s="3" t="s">
        <v>362</v>
      </c>
      <c r="F414" s="3">
        <v>6432</v>
      </c>
      <c r="G414" s="3">
        <v>1272</v>
      </c>
      <c r="H414" s="3">
        <v>498</v>
      </c>
      <c r="I414" s="3">
        <v>677</v>
      </c>
      <c r="J414" s="3">
        <v>47305</v>
      </c>
      <c r="K414" s="3">
        <v>119134</v>
      </c>
      <c r="L414" s="3" t="s">
        <v>16</v>
      </c>
      <c r="M414" s="4">
        <v>6.8846844729464299E-2</v>
      </c>
      <c r="N414" s="3" t="str">
        <f>INDEX(Table5_2[Objective], MATCH(L414,Table5_2[Campaign_Name], 0))</f>
        <v>Health &amp; Fitness Awareness</v>
      </c>
    </row>
    <row r="415" spans="1:14" x14ac:dyDescent="0.3">
      <c r="A415" s="3" t="s">
        <v>315</v>
      </c>
      <c r="B415" s="3" t="s">
        <v>22</v>
      </c>
      <c r="C415" s="2">
        <v>45537</v>
      </c>
      <c r="D415" s="3" t="s">
        <v>27</v>
      </c>
      <c r="E415" s="3" t="s">
        <v>359</v>
      </c>
      <c r="F415" s="3">
        <v>11765</v>
      </c>
      <c r="G415" s="3">
        <v>693</v>
      </c>
      <c r="H415" s="3">
        <v>729</v>
      </c>
      <c r="I415" s="3">
        <v>744</v>
      </c>
      <c r="J415" s="3">
        <v>97772</v>
      </c>
      <c r="K415" s="3">
        <v>194243</v>
      </c>
      <c r="L415" s="3" t="s">
        <v>16</v>
      </c>
      <c r="M415" s="4">
        <v>6.7889190344053579E-2</v>
      </c>
      <c r="N415" s="3" t="str">
        <f>INDEX(Table5_2[Objective], MATCH(L415,Table5_2[Campaign_Name], 0))</f>
        <v>Health &amp; Fitness Awareness</v>
      </c>
    </row>
    <row r="416" spans="1:14" x14ac:dyDescent="0.3">
      <c r="A416" s="3" t="s">
        <v>315</v>
      </c>
      <c r="B416" s="3" t="s">
        <v>22</v>
      </c>
      <c r="C416" s="2">
        <v>45537</v>
      </c>
      <c r="D416" s="3" t="s">
        <v>27</v>
      </c>
      <c r="E416" s="3" t="s">
        <v>360</v>
      </c>
      <c r="F416" s="3">
        <v>11765</v>
      </c>
      <c r="G416" s="3">
        <v>693</v>
      </c>
      <c r="H416" s="3">
        <v>729</v>
      </c>
      <c r="I416" s="3">
        <v>744</v>
      </c>
      <c r="J416" s="3">
        <v>97772</v>
      </c>
      <c r="K416" s="3">
        <v>194243</v>
      </c>
      <c r="L416" s="3" t="s">
        <v>16</v>
      </c>
      <c r="M416" s="4">
        <v>6.7889190344053579E-2</v>
      </c>
      <c r="N416" s="3" t="str">
        <f>INDEX(Table5_2[Objective], MATCH(L416,Table5_2[Campaign_Name], 0))</f>
        <v>Health &amp; Fitness Awareness</v>
      </c>
    </row>
    <row r="417" spans="1:14" x14ac:dyDescent="0.3">
      <c r="A417" s="3" t="s">
        <v>277</v>
      </c>
      <c r="B417" s="3" t="s">
        <v>40</v>
      </c>
      <c r="C417" s="2">
        <v>45675</v>
      </c>
      <c r="D417" s="3" t="s">
        <v>23</v>
      </c>
      <c r="E417" s="3" t="s">
        <v>367</v>
      </c>
      <c r="F417" s="3">
        <v>12589</v>
      </c>
      <c r="G417" s="3">
        <v>346</v>
      </c>
      <c r="H417" s="3">
        <v>459</v>
      </c>
      <c r="I417" s="3">
        <v>1407</v>
      </c>
      <c r="J417" s="3">
        <v>29254</v>
      </c>
      <c r="K417" s="3">
        <v>198059</v>
      </c>
      <c r="L417" s="3" t="s">
        <v>25</v>
      </c>
      <c r="M417" s="4">
        <v>6.7626313371268162E-2</v>
      </c>
      <c r="N417" s="3" t="str">
        <f>INDEX(Table5_2[Objective], MATCH(L417,Table5_2[Campaign_Name], 0))</f>
        <v>Sustainability Branding</v>
      </c>
    </row>
    <row r="418" spans="1:14" x14ac:dyDescent="0.3">
      <c r="A418" s="3" t="s">
        <v>277</v>
      </c>
      <c r="B418" s="3" t="s">
        <v>40</v>
      </c>
      <c r="C418" s="2">
        <v>45675</v>
      </c>
      <c r="D418" s="3" t="s">
        <v>23</v>
      </c>
      <c r="E418" s="3" t="s">
        <v>32</v>
      </c>
      <c r="F418" s="3">
        <v>12589</v>
      </c>
      <c r="G418" s="3">
        <v>346</v>
      </c>
      <c r="H418" s="3">
        <v>459</v>
      </c>
      <c r="I418" s="3">
        <v>1407</v>
      </c>
      <c r="J418" s="3">
        <v>29254</v>
      </c>
      <c r="K418" s="3">
        <v>198059</v>
      </c>
      <c r="L418" s="3" t="s">
        <v>25</v>
      </c>
      <c r="M418" s="4">
        <v>6.7626313371268162E-2</v>
      </c>
      <c r="N418" s="3" t="str">
        <f>INDEX(Table5_2[Objective], MATCH(L418,Table5_2[Campaign_Name], 0))</f>
        <v>Sustainability Branding</v>
      </c>
    </row>
    <row r="419" spans="1:14" x14ac:dyDescent="0.3">
      <c r="A419" s="3" t="s">
        <v>147</v>
      </c>
      <c r="B419" s="3" t="s">
        <v>18</v>
      </c>
      <c r="C419" s="2">
        <v>45619</v>
      </c>
      <c r="D419" s="3" t="s">
        <v>23</v>
      </c>
      <c r="E419" s="3" t="s">
        <v>32</v>
      </c>
      <c r="F419" s="3">
        <v>9941</v>
      </c>
      <c r="G419" s="3">
        <v>1329</v>
      </c>
      <c r="H419" s="3">
        <v>238</v>
      </c>
      <c r="I419" s="3">
        <v>869</v>
      </c>
      <c r="J419" s="3">
        <v>40281</v>
      </c>
      <c r="K419" s="3">
        <v>172311</v>
      </c>
      <c r="L419" s="3" t="s">
        <v>25</v>
      </c>
      <c r="M419" s="4">
        <v>6.6786217943137702E-2</v>
      </c>
      <c r="N419" s="3" t="str">
        <f>INDEX(Table5_2[Objective], MATCH(L419,Table5_2[Campaign_Name], 0))</f>
        <v>Sustainability Branding</v>
      </c>
    </row>
    <row r="420" spans="1:14" x14ac:dyDescent="0.3">
      <c r="A420" s="3" t="s">
        <v>135</v>
      </c>
      <c r="B420" s="3" t="s">
        <v>40</v>
      </c>
      <c r="C420" s="2">
        <v>45475</v>
      </c>
      <c r="D420" s="3" t="s">
        <v>34</v>
      </c>
      <c r="E420" s="3" t="s">
        <v>361</v>
      </c>
      <c r="F420" s="3">
        <v>12320</v>
      </c>
      <c r="G420" s="3">
        <v>1157</v>
      </c>
      <c r="H420" s="3">
        <v>365</v>
      </c>
      <c r="I420" s="3">
        <v>584</v>
      </c>
      <c r="J420" s="3">
        <v>66634</v>
      </c>
      <c r="K420" s="3">
        <v>210102</v>
      </c>
      <c r="L420" s="3" t="s">
        <v>29</v>
      </c>
      <c r="M420" s="4">
        <v>6.5882285746922925E-2</v>
      </c>
      <c r="N420" s="3" t="str">
        <f>INDEX(Table5_2[Objective], MATCH(L420,Table5_2[Campaign_Name], 0))</f>
        <v>Product Launch</v>
      </c>
    </row>
    <row r="421" spans="1:14" x14ac:dyDescent="0.3">
      <c r="A421" s="3" t="s">
        <v>135</v>
      </c>
      <c r="B421" s="3" t="s">
        <v>40</v>
      </c>
      <c r="C421" s="2">
        <v>45475</v>
      </c>
      <c r="D421" s="3" t="s">
        <v>34</v>
      </c>
      <c r="E421" s="3" t="s">
        <v>362</v>
      </c>
      <c r="F421" s="3">
        <v>12320</v>
      </c>
      <c r="G421" s="3">
        <v>1157</v>
      </c>
      <c r="H421" s="3">
        <v>365</v>
      </c>
      <c r="I421" s="3">
        <v>584</v>
      </c>
      <c r="J421" s="3">
        <v>66634</v>
      </c>
      <c r="K421" s="3">
        <v>210102</v>
      </c>
      <c r="L421" s="3" t="s">
        <v>29</v>
      </c>
      <c r="M421" s="4">
        <v>6.5882285746922925E-2</v>
      </c>
      <c r="N421" s="3" t="str">
        <f>INDEX(Table5_2[Objective], MATCH(L421,Table5_2[Campaign_Name], 0))</f>
        <v>Product Launch</v>
      </c>
    </row>
    <row r="422" spans="1:14" x14ac:dyDescent="0.3">
      <c r="A422" s="3" t="s">
        <v>258</v>
      </c>
      <c r="B422" s="3" t="s">
        <v>13</v>
      </c>
      <c r="C422" s="2">
        <v>45573</v>
      </c>
      <c r="D422" s="3" t="s">
        <v>23</v>
      </c>
      <c r="E422" s="3" t="s">
        <v>64</v>
      </c>
      <c r="F422" s="3">
        <v>8738</v>
      </c>
      <c r="G422" s="3">
        <v>295</v>
      </c>
      <c r="H422" s="3">
        <v>529</v>
      </c>
      <c r="I422" s="3">
        <v>442</v>
      </c>
      <c r="J422" s="3">
        <v>25286</v>
      </c>
      <c r="K422" s="3">
        <v>147522</v>
      </c>
      <c r="L422" s="3" t="s">
        <v>29</v>
      </c>
      <c r="M422" s="4">
        <v>6.4817450956467515E-2</v>
      </c>
      <c r="N422" s="3" t="str">
        <f>INDEX(Table5_2[Objective], MATCH(L422,Table5_2[Campaign_Name], 0))</f>
        <v>Product Launch</v>
      </c>
    </row>
    <row r="423" spans="1:14" x14ac:dyDescent="0.3">
      <c r="A423" s="3" t="s">
        <v>89</v>
      </c>
      <c r="B423" s="3" t="s">
        <v>18</v>
      </c>
      <c r="C423" s="2">
        <v>45729</v>
      </c>
      <c r="D423" s="3" t="s">
        <v>34</v>
      </c>
      <c r="E423" s="3" t="s">
        <v>357</v>
      </c>
      <c r="F423" s="3">
        <v>6544</v>
      </c>
      <c r="G423" s="3">
        <v>749</v>
      </c>
      <c r="H423" s="3">
        <v>888</v>
      </c>
      <c r="I423" s="3">
        <v>594</v>
      </c>
      <c r="J423" s="3">
        <v>18171</v>
      </c>
      <c r="K423" s="3">
        <v>126475</v>
      </c>
      <c r="L423" s="3" t="s">
        <v>25</v>
      </c>
      <c r="M423" s="4">
        <v>6.4684720300454635E-2</v>
      </c>
      <c r="N423" s="3" t="str">
        <f>INDEX(Table5_2[Objective], MATCH(L423,Table5_2[Campaign_Name], 0))</f>
        <v>Sustainability Branding</v>
      </c>
    </row>
    <row r="424" spans="1:14" x14ac:dyDescent="0.3">
      <c r="A424" s="3" t="s">
        <v>89</v>
      </c>
      <c r="B424" s="3" t="s">
        <v>18</v>
      </c>
      <c r="C424" s="2">
        <v>45729</v>
      </c>
      <c r="D424" s="3" t="s">
        <v>34</v>
      </c>
      <c r="E424" s="3" t="s">
        <v>358</v>
      </c>
      <c r="F424" s="3">
        <v>6544</v>
      </c>
      <c r="G424" s="3">
        <v>749</v>
      </c>
      <c r="H424" s="3">
        <v>888</v>
      </c>
      <c r="I424" s="3">
        <v>594</v>
      </c>
      <c r="J424" s="3">
        <v>18171</v>
      </c>
      <c r="K424" s="3">
        <v>126475</v>
      </c>
      <c r="L424" s="3" t="s">
        <v>25</v>
      </c>
      <c r="M424" s="4">
        <v>6.4684720300454635E-2</v>
      </c>
      <c r="N424" s="3" t="str">
        <f>INDEX(Table5_2[Objective], MATCH(L424,Table5_2[Campaign_Name], 0))</f>
        <v>Sustainability Branding</v>
      </c>
    </row>
    <row r="425" spans="1:14" x14ac:dyDescent="0.3">
      <c r="A425" s="3" t="s">
        <v>254</v>
      </c>
      <c r="B425" s="3" t="s">
        <v>22</v>
      </c>
      <c r="C425" s="2">
        <v>45454</v>
      </c>
      <c r="D425" s="3" t="s">
        <v>27</v>
      </c>
      <c r="E425" s="3" t="s">
        <v>64</v>
      </c>
      <c r="F425" s="3">
        <v>14910</v>
      </c>
      <c r="G425" s="3">
        <v>778</v>
      </c>
      <c r="H425" s="3">
        <v>289</v>
      </c>
      <c r="I425" s="3">
        <v>2541</v>
      </c>
      <c r="J425" s="3">
        <v>14309</v>
      </c>
      <c r="K425" s="3">
        <v>247815</v>
      </c>
      <c r="L425" s="3" t="s">
        <v>25</v>
      </c>
      <c r="M425" s="4">
        <v>6.4471480741682297E-2</v>
      </c>
      <c r="N425" s="3" t="str">
        <f>INDEX(Table5_2[Objective], MATCH(L425,Table5_2[Campaign_Name], 0))</f>
        <v>Sustainability Branding</v>
      </c>
    </row>
    <row r="426" spans="1:14" x14ac:dyDescent="0.3">
      <c r="A426" s="3" t="s">
        <v>190</v>
      </c>
      <c r="B426" s="3" t="s">
        <v>13</v>
      </c>
      <c r="C426" s="2">
        <v>45574</v>
      </c>
      <c r="D426" s="3" t="s">
        <v>27</v>
      </c>
      <c r="E426" s="3" t="s">
        <v>365</v>
      </c>
      <c r="F426" s="3">
        <v>7240</v>
      </c>
      <c r="G426" s="3">
        <v>1384</v>
      </c>
      <c r="H426" s="3">
        <v>954</v>
      </c>
      <c r="I426" s="3">
        <v>2335</v>
      </c>
      <c r="J426" s="3">
        <v>6757</v>
      </c>
      <c r="K426" s="3">
        <v>150448</v>
      </c>
      <c r="L426" s="3" t="s">
        <v>25</v>
      </c>
      <c r="M426" s="4">
        <v>6.3663192598106988E-2</v>
      </c>
      <c r="N426" s="3" t="str">
        <f>INDEX(Table5_2[Objective], MATCH(L426,Table5_2[Campaign_Name], 0))</f>
        <v>Sustainability Branding</v>
      </c>
    </row>
    <row r="427" spans="1:14" x14ac:dyDescent="0.3">
      <c r="A427" s="3" t="s">
        <v>190</v>
      </c>
      <c r="B427" s="3" t="s">
        <v>13</v>
      </c>
      <c r="C427" s="2">
        <v>45574</v>
      </c>
      <c r="D427" s="3" t="s">
        <v>27</v>
      </c>
      <c r="E427" s="3" t="s">
        <v>359</v>
      </c>
      <c r="F427" s="3">
        <v>7240</v>
      </c>
      <c r="G427" s="3">
        <v>1384</v>
      </c>
      <c r="H427" s="3">
        <v>954</v>
      </c>
      <c r="I427" s="3">
        <v>2335</v>
      </c>
      <c r="J427" s="3">
        <v>6757</v>
      </c>
      <c r="K427" s="3">
        <v>150448</v>
      </c>
      <c r="L427" s="3" t="s">
        <v>25</v>
      </c>
      <c r="M427" s="4">
        <v>6.3663192598106988E-2</v>
      </c>
      <c r="N427" s="3" t="str">
        <f>INDEX(Table5_2[Objective], MATCH(L427,Table5_2[Campaign_Name], 0))</f>
        <v>Sustainability Branding</v>
      </c>
    </row>
    <row r="428" spans="1:14" x14ac:dyDescent="0.3">
      <c r="A428" s="3" t="s">
        <v>246</v>
      </c>
      <c r="B428" s="3" t="s">
        <v>22</v>
      </c>
      <c r="C428" s="2">
        <v>45707</v>
      </c>
      <c r="D428" s="3" t="s">
        <v>27</v>
      </c>
      <c r="E428" s="3" t="s">
        <v>365</v>
      </c>
      <c r="F428" s="3">
        <v>8168</v>
      </c>
      <c r="G428" s="3">
        <v>512</v>
      </c>
      <c r="H428" s="3">
        <v>442</v>
      </c>
      <c r="I428" s="3">
        <v>2343</v>
      </c>
      <c r="J428" s="3">
        <v>2753</v>
      </c>
      <c r="K428" s="3">
        <v>143896</v>
      </c>
      <c r="L428" s="3" t="s">
        <v>45</v>
      </c>
      <c r="M428" s="4">
        <v>6.3393006059932172E-2</v>
      </c>
      <c r="N428" s="3" t="str">
        <f>INDEX(Table5_2[Objective], MATCH(L428,Table5_2[Campaign_Name], 0))</f>
        <v>Product Promotion</v>
      </c>
    </row>
    <row r="429" spans="1:14" x14ac:dyDescent="0.3">
      <c r="A429" s="3" t="s">
        <v>246</v>
      </c>
      <c r="B429" s="3" t="s">
        <v>22</v>
      </c>
      <c r="C429" s="2">
        <v>45707</v>
      </c>
      <c r="D429" s="3" t="s">
        <v>27</v>
      </c>
      <c r="E429" s="3" t="s">
        <v>359</v>
      </c>
      <c r="F429" s="3">
        <v>8168</v>
      </c>
      <c r="G429" s="3">
        <v>512</v>
      </c>
      <c r="H429" s="3">
        <v>442</v>
      </c>
      <c r="I429" s="3">
        <v>2343</v>
      </c>
      <c r="J429" s="3">
        <v>2753</v>
      </c>
      <c r="K429" s="3">
        <v>143896</v>
      </c>
      <c r="L429" s="3" t="s">
        <v>45</v>
      </c>
      <c r="M429" s="4">
        <v>6.3393006059932172E-2</v>
      </c>
      <c r="N429" s="3" t="str">
        <f>INDEX(Table5_2[Objective], MATCH(L429,Table5_2[Campaign_Name], 0))</f>
        <v>Product Promotion</v>
      </c>
    </row>
    <row r="430" spans="1:14" x14ac:dyDescent="0.3">
      <c r="A430" s="3" t="s">
        <v>185</v>
      </c>
      <c r="B430" s="3" t="s">
        <v>22</v>
      </c>
      <c r="C430" s="2">
        <v>45459</v>
      </c>
      <c r="D430" s="3" t="s">
        <v>23</v>
      </c>
      <c r="E430" s="3" t="s">
        <v>353</v>
      </c>
      <c r="F430" s="3">
        <v>12160</v>
      </c>
      <c r="G430" s="3">
        <v>1405</v>
      </c>
      <c r="H430" s="3">
        <v>769</v>
      </c>
      <c r="I430" s="3">
        <v>1980</v>
      </c>
      <c r="J430" s="3">
        <v>33174</v>
      </c>
      <c r="K430" s="3">
        <v>226481</v>
      </c>
      <c r="L430" s="3" t="s">
        <v>16</v>
      </c>
      <c r="M430" s="4">
        <v>6.329007731332871E-2</v>
      </c>
      <c r="N430" s="3" t="str">
        <f>INDEX(Table5_2[Objective], MATCH(L430,Table5_2[Campaign_Name], 0))</f>
        <v>Health &amp; Fitness Awareness</v>
      </c>
    </row>
    <row r="431" spans="1:14" x14ac:dyDescent="0.3">
      <c r="A431" s="3" t="s">
        <v>185</v>
      </c>
      <c r="B431" s="3" t="s">
        <v>22</v>
      </c>
      <c r="C431" s="2">
        <v>45459</v>
      </c>
      <c r="D431" s="3" t="s">
        <v>23</v>
      </c>
      <c r="E431" s="3" t="s">
        <v>354</v>
      </c>
      <c r="F431" s="3">
        <v>12160</v>
      </c>
      <c r="G431" s="3">
        <v>1405</v>
      </c>
      <c r="H431" s="3">
        <v>769</v>
      </c>
      <c r="I431" s="3">
        <v>1980</v>
      </c>
      <c r="J431" s="3">
        <v>33174</v>
      </c>
      <c r="K431" s="3">
        <v>226481</v>
      </c>
      <c r="L431" s="3" t="s">
        <v>16</v>
      </c>
      <c r="M431" s="4">
        <v>6.329007731332871E-2</v>
      </c>
      <c r="N431" s="3" t="str">
        <f>INDEX(Table5_2[Objective], MATCH(L431,Table5_2[Campaign_Name], 0))</f>
        <v>Health &amp; Fitness Awareness</v>
      </c>
    </row>
    <row r="432" spans="1:14" x14ac:dyDescent="0.3">
      <c r="A432" s="3" t="s">
        <v>331</v>
      </c>
      <c r="B432" s="3" t="s">
        <v>40</v>
      </c>
      <c r="C432" s="2">
        <v>45783</v>
      </c>
      <c r="D432" s="3" t="s">
        <v>34</v>
      </c>
      <c r="E432" s="3" t="s">
        <v>353</v>
      </c>
      <c r="F432" s="3">
        <v>7287</v>
      </c>
      <c r="G432" s="3">
        <v>1240</v>
      </c>
      <c r="H432" s="3">
        <v>686</v>
      </c>
      <c r="I432" s="3">
        <v>1255</v>
      </c>
      <c r="J432" s="3">
        <v>15403</v>
      </c>
      <c r="K432" s="3">
        <v>147971</v>
      </c>
      <c r="L432" s="3" t="s">
        <v>16</v>
      </c>
      <c r="M432" s="4">
        <v>6.2262200025680704E-2</v>
      </c>
      <c r="N432" s="3" t="str">
        <f>INDEX(Table5_2[Objective], MATCH(L432,Table5_2[Campaign_Name], 0))</f>
        <v>Health &amp; Fitness Awareness</v>
      </c>
    </row>
    <row r="433" spans="1:14" x14ac:dyDescent="0.3">
      <c r="A433" s="3" t="s">
        <v>331</v>
      </c>
      <c r="B433" s="3" t="s">
        <v>40</v>
      </c>
      <c r="C433" s="2">
        <v>45783</v>
      </c>
      <c r="D433" s="3" t="s">
        <v>34</v>
      </c>
      <c r="E433" s="3" t="s">
        <v>354</v>
      </c>
      <c r="F433" s="3">
        <v>7287</v>
      </c>
      <c r="G433" s="3">
        <v>1240</v>
      </c>
      <c r="H433" s="3">
        <v>686</v>
      </c>
      <c r="I433" s="3">
        <v>1255</v>
      </c>
      <c r="J433" s="3">
        <v>15403</v>
      </c>
      <c r="K433" s="3">
        <v>147971</v>
      </c>
      <c r="L433" s="3" t="s">
        <v>16</v>
      </c>
      <c r="M433" s="4">
        <v>6.2262200025680704E-2</v>
      </c>
      <c r="N433" s="3" t="str">
        <f>INDEX(Table5_2[Objective], MATCH(L433,Table5_2[Campaign_Name], 0))</f>
        <v>Health &amp; Fitness Awareness</v>
      </c>
    </row>
    <row r="434" spans="1:14" x14ac:dyDescent="0.3">
      <c r="A434" s="3" t="s">
        <v>121</v>
      </c>
      <c r="B434" s="3" t="s">
        <v>13</v>
      </c>
      <c r="C434" s="2">
        <v>45766</v>
      </c>
      <c r="D434" s="3" t="s">
        <v>14</v>
      </c>
      <c r="E434" s="3" t="s">
        <v>361</v>
      </c>
      <c r="F434" s="3">
        <v>8881</v>
      </c>
      <c r="G434" s="3">
        <v>210</v>
      </c>
      <c r="H434" s="3">
        <v>673</v>
      </c>
      <c r="I434" s="3">
        <v>1565</v>
      </c>
      <c r="J434" s="3">
        <v>24847</v>
      </c>
      <c r="K434" s="3">
        <v>156891</v>
      </c>
      <c r="L434" s="3" t="s">
        <v>25</v>
      </c>
      <c r="M434" s="4">
        <v>6.223429004850501E-2</v>
      </c>
      <c r="N434" s="3" t="str">
        <f>INDEX(Table5_2[Objective], MATCH(L434,Table5_2[Campaign_Name], 0))</f>
        <v>Sustainability Branding</v>
      </c>
    </row>
    <row r="435" spans="1:14" x14ac:dyDescent="0.3">
      <c r="A435" s="3" t="s">
        <v>121</v>
      </c>
      <c r="B435" s="3" t="s">
        <v>13</v>
      </c>
      <c r="C435" s="2">
        <v>45766</v>
      </c>
      <c r="D435" s="3" t="s">
        <v>14</v>
      </c>
      <c r="E435" s="3" t="s">
        <v>362</v>
      </c>
      <c r="F435" s="3">
        <v>8881</v>
      </c>
      <c r="G435" s="3">
        <v>210</v>
      </c>
      <c r="H435" s="3">
        <v>673</v>
      </c>
      <c r="I435" s="3">
        <v>1565</v>
      </c>
      <c r="J435" s="3">
        <v>24847</v>
      </c>
      <c r="K435" s="3">
        <v>156891</v>
      </c>
      <c r="L435" s="3" t="s">
        <v>25</v>
      </c>
      <c r="M435" s="4">
        <v>6.223429004850501E-2</v>
      </c>
      <c r="N435" s="3" t="str">
        <f>INDEX(Table5_2[Objective], MATCH(L435,Table5_2[Campaign_Name], 0))</f>
        <v>Sustainability Branding</v>
      </c>
    </row>
    <row r="436" spans="1:14" x14ac:dyDescent="0.3">
      <c r="A436" s="3" t="s">
        <v>192</v>
      </c>
      <c r="B436" s="3" t="s">
        <v>40</v>
      </c>
      <c r="C436" s="2">
        <v>45587</v>
      </c>
      <c r="D436" s="3" t="s">
        <v>23</v>
      </c>
      <c r="E436" s="3" t="s">
        <v>361</v>
      </c>
      <c r="F436" s="3">
        <v>12478</v>
      </c>
      <c r="G436" s="3">
        <v>484</v>
      </c>
      <c r="H436" s="3">
        <v>332</v>
      </c>
      <c r="I436" s="3">
        <v>2734</v>
      </c>
      <c r="J436" s="3">
        <v>43338</v>
      </c>
      <c r="K436" s="3">
        <v>213895</v>
      </c>
      <c r="L436" s="3" t="s">
        <v>29</v>
      </c>
      <c r="M436" s="4">
        <v>6.2151990462610156E-2</v>
      </c>
      <c r="N436" s="3" t="str">
        <f>INDEX(Table5_2[Objective], MATCH(L436,Table5_2[Campaign_Name], 0))</f>
        <v>Product Launch</v>
      </c>
    </row>
    <row r="437" spans="1:14" x14ac:dyDescent="0.3">
      <c r="A437" s="3" t="s">
        <v>192</v>
      </c>
      <c r="B437" s="3" t="s">
        <v>40</v>
      </c>
      <c r="C437" s="2">
        <v>45587</v>
      </c>
      <c r="D437" s="3" t="s">
        <v>23</v>
      </c>
      <c r="E437" s="3" t="s">
        <v>362</v>
      </c>
      <c r="F437" s="3">
        <v>12478</v>
      </c>
      <c r="G437" s="3">
        <v>484</v>
      </c>
      <c r="H437" s="3">
        <v>332</v>
      </c>
      <c r="I437" s="3">
        <v>2734</v>
      </c>
      <c r="J437" s="3">
        <v>43338</v>
      </c>
      <c r="K437" s="3">
        <v>213895</v>
      </c>
      <c r="L437" s="3" t="s">
        <v>29</v>
      </c>
      <c r="M437" s="4">
        <v>6.2151990462610156E-2</v>
      </c>
      <c r="N437" s="3" t="str">
        <f>INDEX(Table5_2[Objective], MATCH(L437,Table5_2[Campaign_Name], 0))</f>
        <v>Product Launch</v>
      </c>
    </row>
    <row r="438" spans="1:14" x14ac:dyDescent="0.3">
      <c r="A438" s="3" t="s">
        <v>306</v>
      </c>
      <c r="B438" s="3" t="s">
        <v>13</v>
      </c>
      <c r="C438" s="2">
        <v>45672</v>
      </c>
      <c r="D438" s="3" t="s">
        <v>23</v>
      </c>
      <c r="E438" s="3" t="s">
        <v>355</v>
      </c>
      <c r="F438" s="3">
        <v>11333</v>
      </c>
      <c r="G438" s="3">
        <v>920</v>
      </c>
      <c r="H438" s="3">
        <v>294</v>
      </c>
      <c r="I438" s="3">
        <v>606</v>
      </c>
      <c r="J438" s="3">
        <v>59490</v>
      </c>
      <c r="K438" s="3">
        <v>202082</v>
      </c>
      <c r="L438" s="3" t="s">
        <v>25</v>
      </c>
      <c r="M438" s="4">
        <v>6.2088657079799291E-2</v>
      </c>
      <c r="N438" s="3" t="str">
        <f>INDEX(Table5_2[Objective], MATCH(L438,Table5_2[Campaign_Name], 0))</f>
        <v>Sustainability Branding</v>
      </c>
    </row>
    <row r="439" spans="1:14" x14ac:dyDescent="0.3">
      <c r="A439" s="3" t="s">
        <v>306</v>
      </c>
      <c r="B439" s="3" t="s">
        <v>13</v>
      </c>
      <c r="C439" s="2">
        <v>45672</v>
      </c>
      <c r="D439" s="3" t="s">
        <v>23</v>
      </c>
      <c r="E439" s="3" t="s">
        <v>356</v>
      </c>
      <c r="F439" s="3">
        <v>11333</v>
      </c>
      <c r="G439" s="3">
        <v>920</v>
      </c>
      <c r="H439" s="3">
        <v>294</v>
      </c>
      <c r="I439" s="3">
        <v>606</v>
      </c>
      <c r="J439" s="3">
        <v>59490</v>
      </c>
      <c r="K439" s="3">
        <v>202082</v>
      </c>
      <c r="L439" s="3" t="s">
        <v>25</v>
      </c>
      <c r="M439" s="4">
        <v>6.2088657079799291E-2</v>
      </c>
      <c r="N439" s="3" t="str">
        <f>INDEX(Table5_2[Objective], MATCH(L439,Table5_2[Campaign_Name], 0))</f>
        <v>Sustainability Branding</v>
      </c>
    </row>
    <row r="440" spans="1:14" x14ac:dyDescent="0.3">
      <c r="A440" s="3" t="s">
        <v>205</v>
      </c>
      <c r="B440" s="3" t="s">
        <v>13</v>
      </c>
      <c r="C440" s="2">
        <v>45629</v>
      </c>
      <c r="D440" s="3" t="s">
        <v>14</v>
      </c>
      <c r="E440" s="3" t="s">
        <v>361</v>
      </c>
      <c r="F440" s="3">
        <v>2055</v>
      </c>
      <c r="G440" s="3">
        <v>675</v>
      </c>
      <c r="H440" s="3">
        <v>257</v>
      </c>
      <c r="I440" s="3">
        <v>820</v>
      </c>
      <c r="J440" s="3">
        <v>33534</v>
      </c>
      <c r="K440" s="3">
        <v>48125</v>
      </c>
      <c r="L440" s="3" t="s">
        <v>16</v>
      </c>
      <c r="M440" s="4">
        <v>6.2067532467532466E-2</v>
      </c>
      <c r="N440" s="3" t="str">
        <f>INDEX(Table5_2[Objective], MATCH(L440,Table5_2[Campaign_Name], 0))</f>
        <v>Health &amp; Fitness Awareness</v>
      </c>
    </row>
    <row r="441" spans="1:14" x14ac:dyDescent="0.3">
      <c r="A441" s="3" t="s">
        <v>205</v>
      </c>
      <c r="B441" s="3" t="s">
        <v>13</v>
      </c>
      <c r="C441" s="2">
        <v>45629</v>
      </c>
      <c r="D441" s="3" t="s">
        <v>14</v>
      </c>
      <c r="E441" s="3" t="s">
        <v>362</v>
      </c>
      <c r="F441" s="3">
        <v>2055</v>
      </c>
      <c r="G441" s="3">
        <v>675</v>
      </c>
      <c r="H441" s="3">
        <v>257</v>
      </c>
      <c r="I441" s="3">
        <v>820</v>
      </c>
      <c r="J441" s="3">
        <v>33534</v>
      </c>
      <c r="K441" s="3">
        <v>48125</v>
      </c>
      <c r="L441" s="3" t="s">
        <v>16</v>
      </c>
      <c r="M441" s="4">
        <v>6.2067532467532466E-2</v>
      </c>
      <c r="N441" s="3" t="str">
        <f>INDEX(Table5_2[Objective], MATCH(L441,Table5_2[Campaign_Name], 0))</f>
        <v>Health &amp; Fitness Awareness</v>
      </c>
    </row>
    <row r="442" spans="1:14" x14ac:dyDescent="0.3">
      <c r="A442" s="3" t="s">
        <v>117</v>
      </c>
      <c r="B442" s="3" t="s">
        <v>13</v>
      </c>
      <c r="C442" s="2">
        <v>45584</v>
      </c>
      <c r="D442" s="3" t="s">
        <v>34</v>
      </c>
      <c r="E442" s="3" t="s">
        <v>359</v>
      </c>
      <c r="F442" s="3">
        <v>6673</v>
      </c>
      <c r="G442" s="3">
        <v>826</v>
      </c>
      <c r="H442" s="3">
        <v>321</v>
      </c>
      <c r="I442" s="3">
        <v>577</v>
      </c>
      <c r="J442" s="3">
        <v>19262</v>
      </c>
      <c r="K442" s="3">
        <v>132324</v>
      </c>
      <c r="L442" s="3" t="s">
        <v>45</v>
      </c>
      <c r="M442" s="4">
        <v>5.9097367068710133E-2</v>
      </c>
      <c r="N442" s="3" t="str">
        <f>INDEX(Table5_2[Objective], MATCH(L442,Table5_2[Campaign_Name], 0))</f>
        <v>Product Promotion</v>
      </c>
    </row>
    <row r="443" spans="1:14" x14ac:dyDescent="0.3">
      <c r="A443" s="3" t="s">
        <v>117</v>
      </c>
      <c r="B443" s="3" t="s">
        <v>13</v>
      </c>
      <c r="C443" s="2">
        <v>45584</v>
      </c>
      <c r="D443" s="3" t="s">
        <v>34</v>
      </c>
      <c r="E443" s="3" t="s">
        <v>360</v>
      </c>
      <c r="F443" s="3">
        <v>6673</v>
      </c>
      <c r="G443" s="3">
        <v>826</v>
      </c>
      <c r="H443" s="3">
        <v>321</v>
      </c>
      <c r="I443" s="3">
        <v>577</v>
      </c>
      <c r="J443" s="3">
        <v>19262</v>
      </c>
      <c r="K443" s="3">
        <v>132324</v>
      </c>
      <c r="L443" s="3" t="s">
        <v>45</v>
      </c>
      <c r="M443" s="4">
        <v>5.9097367068710133E-2</v>
      </c>
      <c r="N443" s="3" t="str">
        <f>INDEX(Table5_2[Objective], MATCH(L443,Table5_2[Campaign_Name], 0))</f>
        <v>Product Promotion</v>
      </c>
    </row>
    <row r="444" spans="1:14" x14ac:dyDescent="0.3">
      <c r="A444" s="3" t="s">
        <v>83</v>
      </c>
      <c r="B444" s="3" t="s">
        <v>13</v>
      </c>
      <c r="C444" s="2">
        <v>45727</v>
      </c>
      <c r="D444" s="3" t="s">
        <v>34</v>
      </c>
      <c r="E444" s="3" t="s">
        <v>353</v>
      </c>
      <c r="F444" s="3">
        <v>7997</v>
      </c>
      <c r="G444" s="3">
        <v>1238</v>
      </c>
      <c r="H444" s="3">
        <v>438</v>
      </c>
      <c r="I444" s="3">
        <v>1874</v>
      </c>
      <c r="J444" s="3">
        <v>36272</v>
      </c>
      <c r="K444" s="3">
        <v>165818</v>
      </c>
      <c r="L444" s="3" t="s">
        <v>45</v>
      </c>
      <c r="M444" s="4">
        <v>5.8335042034037318E-2</v>
      </c>
      <c r="N444" s="3" t="str">
        <f>INDEX(Table5_2[Objective], MATCH(L444,Table5_2[Campaign_Name], 0))</f>
        <v>Product Promotion</v>
      </c>
    </row>
    <row r="445" spans="1:14" x14ac:dyDescent="0.3">
      <c r="A445" s="3" t="s">
        <v>83</v>
      </c>
      <c r="B445" s="3" t="s">
        <v>13</v>
      </c>
      <c r="C445" s="2">
        <v>45727</v>
      </c>
      <c r="D445" s="3" t="s">
        <v>34</v>
      </c>
      <c r="E445" s="3" t="s">
        <v>354</v>
      </c>
      <c r="F445" s="3">
        <v>7997</v>
      </c>
      <c r="G445" s="3">
        <v>1238</v>
      </c>
      <c r="H445" s="3">
        <v>438</v>
      </c>
      <c r="I445" s="3">
        <v>1874</v>
      </c>
      <c r="J445" s="3">
        <v>36272</v>
      </c>
      <c r="K445" s="3">
        <v>165818</v>
      </c>
      <c r="L445" s="3" t="s">
        <v>45</v>
      </c>
      <c r="M445" s="4">
        <v>5.8335042034037318E-2</v>
      </c>
      <c r="N445" s="3" t="str">
        <f>INDEX(Table5_2[Objective], MATCH(L445,Table5_2[Campaign_Name], 0))</f>
        <v>Product Promotion</v>
      </c>
    </row>
    <row r="446" spans="1:14" x14ac:dyDescent="0.3">
      <c r="A446" s="3" t="s">
        <v>47</v>
      </c>
      <c r="B446" s="3" t="s">
        <v>18</v>
      </c>
      <c r="C446" s="2">
        <v>45907</v>
      </c>
      <c r="D446" s="3" t="s">
        <v>23</v>
      </c>
      <c r="E446" s="3" t="s">
        <v>357</v>
      </c>
      <c r="F446" s="3">
        <v>3015</v>
      </c>
      <c r="G446" s="3">
        <v>997</v>
      </c>
      <c r="H446" s="3">
        <v>783</v>
      </c>
      <c r="I446" s="3">
        <v>617</v>
      </c>
      <c r="J446" s="3">
        <v>77167</v>
      </c>
      <c r="K446" s="3">
        <v>82229</v>
      </c>
      <c r="L446" s="3" t="s">
        <v>20</v>
      </c>
      <c r="M446" s="4">
        <v>5.8312760704860814E-2</v>
      </c>
      <c r="N446" s="3" t="str">
        <f>INDEX(Table5_2[Objective], MATCH(L446,Table5_2[Campaign_Name], 0))</f>
        <v>Brand Engagement</v>
      </c>
    </row>
    <row r="447" spans="1:14" x14ac:dyDescent="0.3">
      <c r="A447" s="3" t="s">
        <v>47</v>
      </c>
      <c r="B447" s="3" t="s">
        <v>18</v>
      </c>
      <c r="C447" s="2">
        <v>45907</v>
      </c>
      <c r="D447" s="3" t="s">
        <v>23</v>
      </c>
      <c r="E447" s="3" t="s">
        <v>358</v>
      </c>
      <c r="F447" s="3">
        <v>3015</v>
      </c>
      <c r="G447" s="3">
        <v>997</v>
      </c>
      <c r="H447" s="3">
        <v>783</v>
      </c>
      <c r="I447" s="3">
        <v>617</v>
      </c>
      <c r="J447" s="3">
        <v>77167</v>
      </c>
      <c r="K447" s="3">
        <v>82229</v>
      </c>
      <c r="L447" s="3" t="s">
        <v>20</v>
      </c>
      <c r="M447" s="4">
        <v>5.8312760704860814E-2</v>
      </c>
      <c r="N447" s="3" t="str">
        <f>INDEX(Table5_2[Objective], MATCH(L447,Table5_2[Campaign_Name], 0))</f>
        <v>Brand Engagement</v>
      </c>
    </row>
    <row r="448" spans="1:14" x14ac:dyDescent="0.3">
      <c r="A448" s="3" t="s">
        <v>324</v>
      </c>
      <c r="B448" s="3" t="s">
        <v>22</v>
      </c>
      <c r="C448" s="2">
        <v>45764</v>
      </c>
      <c r="D448" s="3" t="s">
        <v>23</v>
      </c>
      <c r="E448" s="3" t="s">
        <v>363</v>
      </c>
      <c r="F448" s="3">
        <v>2009</v>
      </c>
      <c r="G448" s="3">
        <v>1037</v>
      </c>
      <c r="H448" s="3">
        <v>344</v>
      </c>
      <c r="I448" s="3">
        <v>2277</v>
      </c>
      <c r="J448" s="3">
        <v>85743</v>
      </c>
      <c r="K448" s="3">
        <v>58743</v>
      </c>
      <c r="L448" s="3" t="s">
        <v>29</v>
      </c>
      <c r="M448" s="4">
        <v>5.7709003625963942E-2</v>
      </c>
      <c r="N448" s="3" t="str">
        <f>INDEX(Table5_2[Objective], MATCH(L448,Table5_2[Campaign_Name], 0))</f>
        <v>Product Launch</v>
      </c>
    </row>
    <row r="449" spans="1:14" x14ac:dyDescent="0.3">
      <c r="A449" s="3" t="s">
        <v>324</v>
      </c>
      <c r="B449" s="3" t="s">
        <v>22</v>
      </c>
      <c r="C449" s="2">
        <v>45764</v>
      </c>
      <c r="D449" s="3" t="s">
        <v>23</v>
      </c>
      <c r="E449" s="3" t="s">
        <v>364</v>
      </c>
      <c r="F449" s="3">
        <v>2009</v>
      </c>
      <c r="G449" s="3">
        <v>1037</v>
      </c>
      <c r="H449" s="3">
        <v>344</v>
      </c>
      <c r="I449" s="3">
        <v>2277</v>
      </c>
      <c r="J449" s="3">
        <v>85743</v>
      </c>
      <c r="K449" s="3">
        <v>58743</v>
      </c>
      <c r="L449" s="3" t="s">
        <v>29</v>
      </c>
      <c r="M449" s="4">
        <v>5.7709003625963942E-2</v>
      </c>
      <c r="N449" s="3" t="str">
        <f>INDEX(Table5_2[Objective], MATCH(L449,Table5_2[Campaign_Name], 0))</f>
        <v>Product Launch</v>
      </c>
    </row>
    <row r="450" spans="1:14" x14ac:dyDescent="0.3">
      <c r="A450" s="3" t="s">
        <v>67</v>
      </c>
      <c r="B450" s="3" t="s">
        <v>22</v>
      </c>
      <c r="C450" s="2">
        <v>45504</v>
      </c>
      <c r="D450" s="3" t="s">
        <v>14</v>
      </c>
      <c r="E450" s="3" t="s">
        <v>359</v>
      </c>
      <c r="F450" s="3">
        <v>2404</v>
      </c>
      <c r="G450" s="3">
        <v>774</v>
      </c>
      <c r="H450" s="3">
        <v>661</v>
      </c>
      <c r="I450" s="3">
        <v>662</v>
      </c>
      <c r="J450" s="3">
        <v>12676</v>
      </c>
      <c r="K450" s="3">
        <v>66916</v>
      </c>
      <c r="L450" s="3" t="s">
        <v>16</v>
      </c>
      <c r="M450" s="4">
        <v>5.7370434574690654E-2</v>
      </c>
      <c r="N450" s="3" t="str">
        <f>INDEX(Table5_2[Objective], MATCH(L450,Table5_2[Campaign_Name], 0))</f>
        <v>Health &amp; Fitness Awareness</v>
      </c>
    </row>
    <row r="451" spans="1:14" x14ac:dyDescent="0.3">
      <c r="A451" s="3" t="s">
        <v>67</v>
      </c>
      <c r="B451" s="3" t="s">
        <v>22</v>
      </c>
      <c r="C451" s="2">
        <v>45504</v>
      </c>
      <c r="D451" s="3" t="s">
        <v>14</v>
      </c>
      <c r="E451" s="3" t="s">
        <v>366</v>
      </c>
      <c r="F451" s="3">
        <v>2404</v>
      </c>
      <c r="G451" s="3">
        <v>774</v>
      </c>
      <c r="H451" s="3">
        <v>661</v>
      </c>
      <c r="I451" s="3">
        <v>662</v>
      </c>
      <c r="J451" s="3">
        <v>12676</v>
      </c>
      <c r="K451" s="3">
        <v>66916</v>
      </c>
      <c r="L451" s="3" t="s">
        <v>16</v>
      </c>
      <c r="M451" s="4">
        <v>5.7370434574690654E-2</v>
      </c>
      <c r="N451" s="3" t="str">
        <f>INDEX(Table5_2[Objective], MATCH(L451,Table5_2[Campaign_Name], 0))</f>
        <v>Health &amp; Fitness Awareness</v>
      </c>
    </row>
    <row r="452" spans="1:14" x14ac:dyDescent="0.3">
      <c r="A452" s="3" t="s">
        <v>169</v>
      </c>
      <c r="B452" s="3" t="s">
        <v>22</v>
      </c>
      <c r="C452" s="2">
        <v>45694</v>
      </c>
      <c r="D452" s="3" t="s">
        <v>14</v>
      </c>
      <c r="E452" s="3" t="s">
        <v>353</v>
      </c>
      <c r="F452" s="3">
        <v>2666</v>
      </c>
      <c r="G452" s="3">
        <v>1136</v>
      </c>
      <c r="H452" s="3">
        <v>989</v>
      </c>
      <c r="I452" s="3">
        <v>1710</v>
      </c>
      <c r="J452" s="3">
        <v>36467</v>
      </c>
      <c r="K452" s="3">
        <v>83753</v>
      </c>
      <c r="L452" s="3" t="s">
        <v>25</v>
      </c>
      <c r="M452" s="4">
        <v>5.7203921053574198E-2</v>
      </c>
      <c r="N452" s="3" t="str">
        <f>INDEX(Table5_2[Objective], MATCH(L452,Table5_2[Campaign_Name], 0))</f>
        <v>Sustainability Branding</v>
      </c>
    </row>
    <row r="453" spans="1:14" x14ac:dyDescent="0.3">
      <c r="A453" s="3" t="s">
        <v>169</v>
      </c>
      <c r="B453" s="3" t="s">
        <v>22</v>
      </c>
      <c r="C453" s="2">
        <v>45694</v>
      </c>
      <c r="D453" s="3" t="s">
        <v>14</v>
      </c>
      <c r="E453" s="3" t="s">
        <v>354</v>
      </c>
      <c r="F453" s="3">
        <v>2666</v>
      </c>
      <c r="G453" s="3">
        <v>1136</v>
      </c>
      <c r="H453" s="3">
        <v>989</v>
      </c>
      <c r="I453" s="3">
        <v>1710</v>
      </c>
      <c r="J453" s="3">
        <v>36467</v>
      </c>
      <c r="K453" s="3">
        <v>83753</v>
      </c>
      <c r="L453" s="3" t="s">
        <v>25</v>
      </c>
      <c r="M453" s="4">
        <v>5.7203921053574198E-2</v>
      </c>
      <c r="N453" s="3" t="str">
        <f>INDEX(Table5_2[Objective], MATCH(L453,Table5_2[Campaign_Name], 0))</f>
        <v>Sustainability Branding</v>
      </c>
    </row>
    <row r="454" spans="1:14" x14ac:dyDescent="0.3">
      <c r="A454" s="3" t="s">
        <v>62</v>
      </c>
      <c r="B454" s="3" t="s">
        <v>40</v>
      </c>
      <c r="C454" s="2">
        <v>45720</v>
      </c>
      <c r="D454" s="3" t="s">
        <v>23</v>
      </c>
      <c r="E454" s="3" t="s">
        <v>32</v>
      </c>
      <c r="F454" s="3">
        <v>12344</v>
      </c>
      <c r="G454" s="3">
        <v>815</v>
      </c>
      <c r="H454" s="3">
        <v>298</v>
      </c>
      <c r="I454" s="3">
        <v>2439</v>
      </c>
      <c r="J454" s="3">
        <v>6259</v>
      </c>
      <c r="K454" s="3">
        <v>237133</v>
      </c>
      <c r="L454" s="3" t="s">
        <v>29</v>
      </c>
      <c r="M454" s="4">
        <v>5.6748744375519224E-2</v>
      </c>
      <c r="N454" s="3" t="str">
        <f>INDEX(Table5_2[Objective], MATCH(L454,Table5_2[Campaign_Name], 0))</f>
        <v>Product Launch</v>
      </c>
    </row>
    <row r="455" spans="1:14" x14ac:dyDescent="0.3">
      <c r="A455" s="3" t="s">
        <v>132</v>
      </c>
      <c r="B455" s="3" t="s">
        <v>40</v>
      </c>
      <c r="C455" s="2">
        <v>45545</v>
      </c>
      <c r="D455" s="3" t="s">
        <v>34</v>
      </c>
      <c r="E455" s="3" t="s">
        <v>363</v>
      </c>
      <c r="F455" s="3">
        <v>6637</v>
      </c>
      <c r="G455" s="3">
        <v>595</v>
      </c>
      <c r="H455" s="3">
        <v>161</v>
      </c>
      <c r="I455" s="3">
        <v>2653</v>
      </c>
      <c r="J455" s="3">
        <v>19334</v>
      </c>
      <c r="K455" s="3">
        <v>131155</v>
      </c>
      <c r="L455" s="3" t="s">
        <v>25</v>
      </c>
      <c r="M455" s="4">
        <v>5.6368419046166747E-2</v>
      </c>
      <c r="N455" s="3" t="str">
        <f>INDEX(Table5_2[Objective], MATCH(L455,Table5_2[Campaign_Name], 0))</f>
        <v>Sustainability Branding</v>
      </c>
    </row>
    <row r="456" spans="1:14" x14ac:dyDescent="0.3">
      <c r="A456" s="3" t="s">
        <v>132</v>
      </c>
      <c r="B456" s="3" t="s">
        <v>40</v>
      </c>
      <c r="C456" s="2">
        <v>45545</v>
      </c>
      <c r="D456" s="3" t="s">
        <v>34</v>
      </c>
      <c r="E456" s="3" t="s">
        <v>364</v>
      </c>
      <c r="F456" s="3">
        <v>6637</v>
      </c>
      <c r="G456" s="3">
        <v>595</v>
      </c>
      <c r="H456" s="3">
        <v>161</v>
      </c>
      <c r="I456" s="3">
        <v>2653</v>
      </c>
      <c r="J456" s="3">
        <v>19334</v>
      </c>
      <c r="K456" s="3">
        <v>131155</v>
      </c>
      <c r="L456" s="3" t="s">
        <v>25</v>
      </c>
      <c r="M456" s="4">
        <v>5.6368419046166747E-2</v>
      </c>
      <c r="N456" s="3" t="str">
        <f>INDEX(Table5_2[Objective], MATCH(L456,Table5_2[Campaign_Name], 0))</f>
        <v>Sustainability Branding</v>
      </c>
    </row>
    <row r="457" spans="1:14" x14ac:dyDescent="0.3">
      <c r="A457" s="3" t="s">
        <v>123</v>
      </c>
      <c r="B457" s="3" t="s">
        <v>40</v>
      </c>
      <c r="C457" s="2">
        <v>45449</v>
      </c>
      <c r="D457" s="3" t="s">
        <v>23</v>
      </c>
      <c r="E457" s="3" t="s">
        <v>365</v>
      </c>
      <c r="F457" s="3">
        <v>11521</v>
      </c>
      <c r="G457" s="3">
        <v>1071</v>
      </c>
      <c r="H457" s="3">
        <v>762</v>
      </c>
      <c r="I457" s="3">
        <v>2539</v>
      </c>
      <c r="J457" s="3">
        <v>12701</v>
      </c>
      <c r="K457" s="3">
        <v>238350</v>
      </c>
      <c r="L457" s="3" t="s">
        <v>25</v>
      </c>
      <c r="M457" s="4">
        <v>5.6026851269142017E-2</v>
      </c>
      <c r="N457" s="3" t="str">
        <f>INDEX(Table5_2[Objective], MATCH(L457,Table5_2[Campaign_Name], 0))</f>
        <v>Sustainability Branding</v>
      </c>
    </row>
    <row r="458" spans="1:14" x14ac:dyDescent="0.3">
      <c r="A458" s="3" t="s">
        <v>123</v>
      </c>
      <c r="B458" s="3" t="s">
        <v>40</v>
      </c>
      <c r="C458" s="2">
        <v>45449</v>
      </c>
      <c r="D458" s="3" t="s">
        <v>23</v>
      </c>
      <c r="E458" s="3" t="s">
        <v>359</v>
      </c>
      <c r="F458" s="3">
        <v>11521</v>
      </c>
      <c r="G458" s="3">
        <v>1071</v>
      </c>
      <c r="H458" s="3">
        <v>762</v>
      </c>
      <c r="I458" s="3">
        <v>2539</v>
      </c>
      <c r="J458" s="3">
        <v>12701</v>
      </c>
      <c r="K458" s="3">
        <v>238350</v>
      </c>
      <c r="L458" s="3" t="s">
        <v>25</v>
      </c>
      <c r="M458" s="4">
        <v>5.6026851269142017E-2</v>
      </c>
      <c r="N458" s="3" t="str">
        <f>INDEX(Table5_2[Objective], MATCH(L458,Table5_2[Campaign_Name], 0))</f>
        <v>Sustainability Branding</v>
      </c>
    </row>
    <row r="459" spans="1:14" x14ac:dyDescent="0.3">
      <c r="A459" s="3" t="s">
        <v>84</v>
      </c>
      <c r="B459" s="3" t="s">
        <v>40</v>
      </c>
      <c r="C459" s="2">
        <v>45918</v>
      </c>
      <c r="D459" s="3" t="s">
        <v>34</v>
      </c>
      <c r="E459" s="3" t="s">
        <v>359</v>
      </c>
      <c r="F459" s="3">
        <v>4048</v>
      </c>
      <c r="G459" s="3">
        <v>677</v>
      </c>
      <c r="H459" s="3">
        <v>911</v>
      </c>
      <c r="I459" s="3">
        <v>2429</v>
      </c>
      <c r="J459" s="3">
        <v>27361</v>
      </c>
      <c r="K459" s="3">
        <v>101272</v>
      </c>
      <c r="L459" s="3" t="s">
        <v>20</v>
      </c>
      <c r="M459" s="4">
        <v>5.5652105221581483E-2</v>
      </c>
      <c r="N459" s="3" t="str">
        <f>INDEX(Table5_2[Objective], MATCH(L459,Table5_2[Campaign_Name], 0))</f>
        <v>Brand Engagement</v>
      </c>
    </row>
    <row r="460" spans="1:14" x14ac:dyDescent="0.3">
      <c r="A460" s="3" t="s">
        <v>84</v>
      </c>
      <c r="B460" s="3" t="s">
        <v>40</v>
      </c>
      <c r="C460" s="2">
        <v>45918</v>
      </c>
      <c r="D460" s="3" t="s">
        <v>34</v>
      </c>
      <c r="E460" s="3" t="s">
        <v>366</v>
      </c>
      <c r="F460" s="3">
        <v>4048</v>
      </c>
      <c r="G460" s="3">
        <v>677</v>
      </c>
      <c r="H460" s="3">
        <v>911</v>
      </c>
      <c r="I460" s="3">
        <v>2429</v>
      </c>
      <c r="J460" s="3">
        <v>27361</v>
      </c>
      <c r="K460" s="3">
        <v>101272</v>
      </c>
      <c r="L460" s="3" t="s">
        <v>20</v>
      </c>
      <c r="M460" s="4">
        <v>5.5652105221581483E-2</v>
      </c>
      <c r="N460" s="3" t="str">
        <f>INDEX(Table5_2[Objective], MATCH(L460,Table5_2[Campaign_Name], 0))</f>
        <v>Brand Engagement</v>
      </c>
    </row>
    <row r="461" spans="1:14" x14ac:dyDescent="0.3">
      <c r="A461" s="3" t="s">
        <v>53</v>
      </c>
      <c r="B461" s="3" t="s">
        <v>13</v>
      </c>
      <c r="C461" s="2">
        <v>45544</v>
      </c>
      <c r="D461" s="3" t="s">
        <v>27</v>
      </c>
      <c r="E461" s="3" t="s">
        <v>357</v>
      </c>
      <c r="F461" s="3">
        <v>6158</v>
      </c>
      <c r="G461" s="3">
        <v>277</v>
      </c>
      <c r="H461" s="3">
        <v>512</v>
      </c>
      <c r="I461" s="3">
        <v>2189</v>
      </c>
      <c r="J461" s="3">
        <v>76881</v>
      </c>
      <c r="K461" s="3">
        <v>124878</v>
      </c>
      <c r="L461" s="3" t="s">
        <v>29</v>
      </c>
      <c r="M461" s="4">
        <v>5.563029516808405E-2</v>
      </c>
      <c r="N461" s="3" t="str">
        <f>INDEX(Table5_2[Objective], MATCH(L461,Table5_2[Campaign_Name], 0))</f>
        <v>Product Launch</v>
      </c>
    </row>
    <row r="462" spans="1:14" x14ac:dyDescent="0.3">
      <c r="A462" s="3" t="s">
        <v>53</v>
      </c>
      <c r="B462" s="3" t="s">
        <v>13</v>
      </c>
      <c r="C462" s="2">
        <v>45544</v>
      </c>
      <c r="D462" s="3" t="s">
        <v>27</v>
      </c>
      <c r="E462" s="3" t="s">
        <v>358</v>
      </c>
      <c r="F462" s="3">
        <v>6158</v>
      </c>
      <c r="G462" s="3">
        <v>277</v>
      </c>
      <c r="H462" s="3">
        <v>512</v>
      </c>
      <c r="I462" s="3">
        <v>2189</v>
      </c>
      <c r="J462" s="3">
        <v>76881</v>
      </c>
      <c r="K462" s="3">
        <v>124878</v>
      </c>
      <c r="L462" s="3" t="s">
        <v>29</v>
      </c>
      <c r="M462" s="4">
        <v>5.563029516808405E-2</v>
      </c>
      <c r="N462" s="3" t="str">
        <f>INDEX(Table5_2[Objective], MATCH(L462,Table5_2[Campaign_Name], 0))</f>
        <v>Product Launch</v>
      </c>
    </row>
    <row r="463" spans="1:14" x14ac:dyDescent="0.3">
      <c r="A463" s="3" t="s">
        <v>138</v>
      </c>
      <c r="B463" s="3" t="s">
        <v>40</v>
      </c>
      <c r="C463" s="2">
        <v>45926</v>
      </c>
      <c r="D463" s="3" t="s">
        <v>34</v>
      </c>
      <c r="E463" s="3" t="s">
        <v>32</v>
      </c>
      <c r="F463" s="3">
        <v>9043</v>
      </c>
      <c r="G463" s="3">
        <v>1192</v>
      </c>
      <c r="H463" s="3">
        <v>810</v>
      </c>
      <c r="I463" s="3">
        <v>1550</v>
      </c>
      <c r="J463" s="3">
        <v>5221</v>
      </c>
      <c r="K463" s="3">
        <v>199476</v>
      </c>
      <c r="L463" s="3" t="s">
        <v>20</v>
      </c>
      <c r="M463" s="4">
        <v>5.5370069582305642E-2</v>
      </c>
      <c r="N463" s="3" t="str">
        <f>INDEX(Table5_2[Objective], MATCH(L463,Table5_2[Campaign_Name], 0))</f>
        <v>Brand Engagement</v>
      </c>
    </row>
    <row r="464" spans="1:14" x14ac:dyDescent="0.3">
      <c r="A464" s="3" t="s">
        <v>104</v>
      </c>
      <c r="B464" s="3" t="s">
        <v>18</v>
      </c>
      <c r="C464" s="2">
        <v>45724</v>
      </c>
      <c r="D464" s="3" t="s">
        <v>23</v>
      </c>
      <c r="E464" s="3" t="s">
        <v>363</v>
      </c>
      <c r="F464" s="3">
        <v>10580</v>
      </c>
      <c r="G464" s="3">
        <v>427</v>
      </c>
      <c r="H464" s="3">
        <v>790</v>
      </c>
      <c r="I464" s="3">
        <v>2814</v>
      </c>
      <c r="J464" s="3">
        <v>24916</v>
      </c>
      <c r="K464" s="3">
        <v>213312</v>
      </c>
      <c r="L464" s="3" t="s">
        <v>45</v>
      </c>
      <c r="M464" s="4">
        <v>5.530396789678968E-2</v>
      </c>
      <c r="N464" s="3" t="str">
        <f>INDEX(Table5_2[Objective], MATCH(L464,Table5_2[Campaign_Name], 0))</f>
        <v>Product Promotion</v>
      </c>
    </row>
    <row r="465" spans="1:14" x14ac:dyDescent="0.3">
      <c r="A465" s="3" t="s">
        <v>104</v>
      </c>
      <c r="B465" s="3" t="s">
        <v>18</v>
      </c>
      <c r="C465" s="2">
        <v>45724</v>
      </c>
      <c r="D465" s="3" t="s">
        <v>23</v>
      </c>
      <c r="E465" s="3" t="s">
        <v>364</v>
      </c>
      <c r="F465" s="3">
        <v>10580</v>
      </c>
      <c r="G465" s="3">
        <v>427</v>
      </c>
      <c r="H465" s="3">
        <v>790</v>
      </c>
      <c r="I465" s="3">
        <v>2814</v>
      </c>
      <c r="J465" s="3">
        <v>24916</v>
      </c>
      <c r="K465" s="3">
        <v>213312</v>
      </c>
      <c r="L465" s="3" t="s">
        <v>45</v>
      </c>
      <c r="M465" s="4">
        <v>5.530396789678968E-2</v>
      </c>
      <c r="N465" s="3" t="str">
        <f>INDEX(Table5_2[Objective], MATCH(L465,Table5_2[Campaign_Name], 0))</f>
        <v>Product Promotion</v>
      </c>
    </row>
    <row r="466" spans="1:14" x14ac:dyDescent="0.3">
      <c r="A466" s="3" t="s">
        <v>156</v>
      </c>
      <c r="B466" s="3" t="s">
        <v>22</v>
      </c>
      <c r="C466" s="2">
        <v>45586</v>
      </c>
      <c r="D466" s="3" t="s">
        <v>27</v>
      </c>
      <c r="E466" s="3" t="s">
        <v>359</v>
      </c>
      <c r="F466" s="3">
        <v>8254</v>
      </c>
      <c r="G466" s="3">
        <v>1405</v>
      </c>
      <c r="H466" s="3">
        <v>165</v>
      </c>
      <c r="I466" s="3">
        <v>2504</v>
      </c>
      <c r="J466" s="3">
        <v>8081</v>
      </c>
      <c r="K466" s="3">
        <v>177710</v>
      </c>
      <c r="L466" s="3" t="s">
        <v>16</v>
      </c>
      <c r="M466" s="4">
        <v>5.5281075910190762E-2</v>
      </c>
      <c r="N466" s="3" t="str">
        <f>INDEX(Table5_2[Objective], MATCH(L466,Table5_2[Campaign_Name], 0))</f>
        <v>Health &amp; Fitness Awareness</v>
      </c>
    </row>
    <row r="467" spans="1:14" x14ac:dyDescent="0.3">
      <c r="A467" s="3" t="s">
        <v>156</v>
      </c>
      <c r="B467" s="3" t="s">
        <v>22</v>
      </c>
      <c r="C467" s="2">
        <v>45586</v>
      </c>
      <c r="D467" s="3" t="s">
        <v>27</v>
      </c>
      <c r="E467" s="3" t="s">
        <v>360</v>
      </c>
      <c r="F467" s="3">
        <v>8254</v>
      </c>
      <c r="G467" s="3">
        <v>1405</v>
      </c>
      <c r="H467" s="3">
        <v>165</v>
      </c>
      <c r="I467" s="3">
        <v>2504</v>
      </c>
      <c r="J467" s="3">
        <v>8081</v>
      </c>
      <c r="K467" s="3">
        <v>177710</v>
      </c>
      <c r="L467" s="3" t="s">
        <v>16</v>
      </c>
      <c r="M467" s="4">
        <v>5.5281075910190762E-2</v>
      </c>
      <c r="N467" s="3" t="str">
        <f>INDEX(Table5_2[Objective], MATCH(L467,Table5_2[Campaign_Name], 0))</f>
        <v>Health &amp; Fitness Awareness</v>
      </c>
    </row>
    <row r="468" spans="1:14" x14ac:dyDescent="0.3">
      <c r="A468" s="3" t="s">
        <v>329</v>
      </c>
      <c r="B468" s="3" t="s">
        <v>22</v>
      </c>
      <c r="C468" s="2">
        <v>45791</v>
      </c>
      <c r="D468" s="3" t="s">
        <v>14</v>
      </c>
      <c r="E468" s="3" t="s">
        <v>359</v>
      </c>
      <c r="F468" s="3">
        <v>9041</v>
      </c>
      <c r="G468" s="3">
        <v>1133</v>
      </c>
      <c r="H468" s="3">
        <v>612</v>
      </c>
      <c r="I468" s="3">
        <v>1687</v>
      </c>
      <c r="J468" s="3">
        <v>28102</v>
      </c>
      <c r="K468" s="3">
        <v>195683</v>
      </c>
      <c r="L468" s="3" t="s">
        <v>29</v>
      </c>
      <c r="M468" s="4">
        <v>5.5119760020032396E-2</v>
      </c>
      <c r="N468" s="3" t="str">
        <f>INDEX(Table5_2[Objective], MATCH(L468,Table5_2[Campaign_Name], 0))</f>
        <v>Product Launch</v>
      </c>
    </row>
    <row r="469" spans="1:14" x14ac:dyDescent="0.3">
      <c r="A469" s="3" t="s">
        <v>329</v>
      </c>
      <c r="B469" s="3" t="s">
        <v>22</v>
      </c>
      <c r="C469" s="2">
        <v>45791</v>
      </c>
      <c r="D469" s="3" t="s">
        <v>14</v>
      </c>
      <c r="E469" s="3" t="s">
        <v>366</v>
      </c>
      <c r="F469" s="3">
        <v>9041</v>
      </c>
      <c r="G469" s="3">
        <v>1133</v>
      </c>
      <c r="H469" s="3">
        <v>612</v>
      </c>
      <c r="I469" s="3">
        <v>1687</v>
      </c>
      <c r="J469" s="3">
        <v>28102</v>
      </c>
      <c r="K469" s="3">
        <v>195683</v>
      </c>
      <c r="L469" s="3" t="s">
        <v>29</v>
      </c>
      <c r="M469" s="4">
        <v>5.5119760020032396E-2</v>
      </c>
      <c r="N469" s="3" t="str">
        <f>INDEX(Table5_2[Objective], MATCH(L469,Table5_2[Campaign_Name], 0))</f>
        <v>Product Launch</v>
      </c>
    </row>
    <row r="470" spans="1:14" x14ac:dyDescent="0.3">
      <c r="A470" s="3" t="s">
        <v>149</v>
      </c>
      <c r="B470" s="3" t="s">
        <v>18</v>
      </c>
      <c r="C470" s="2">
        <v>45929</v>
      </c>
      <c r="D470" s="3" t="s">
        <v>27</v>
      </c>
      <c r="E470" s="3" t="s">
        <v>367</v>
      </c>
      <c r="F470" s="3">
        <v>7569</v>
      </c>
      <c r="G470" s="3">
        <v>803</v>
      </c>
      <c r="H470" s="3">
        <v>804</v>
      </c>
      <c r="I470" s="3">
        <v>1753</v>
      </c>
      <c r="J470" s="3">
        <v>43582</v>
      </c>
      <c r="K470" s="3">
        <v>166945</v>
      </c>
      <c r="L470" s="3" t="s">
        <v>20</v>
      </c>
      <c r="M470" s="4">
        <v>5.4964209769684629E-2</v>
      </c>
      <c r="N470" s="3" t="str">
        <f>INDEX(Table5_2[Objective], MATCH(L470,Table5_2[Campaign_Name], 0))</f>
        <v>Brand Engagement</v>
      </c>
    </row>
    <row r="471" spans="1:14" x14ac:dyDescent="0.3">
      <c r="A471" s="3" t="s">
        <v>149</v>
      </c>
      <c r="B471" s="3" t="s">
        <v>18</v>
      </c>
      <c r="C471" s="2">
        <v>45929</v>
      </c>
      <c r="D471" s="3" t="s">
        <v>27</v>
      </c>
      <c r="E471" s="3" t="s">
        <v>32</v>
      </c>
      <c r="F471" s="3">
        <v>7569</v>
      </c>
      <c r="G471" s="3">
        <v>803</v>
      </c>
      <c r="H471" s="3">
        <v>804</v>
      </c>
      <c r="I471" s="3">
        <v>1753</v>
      </c>
      <c r="J471" s="3">
        <v>43582</v>
      </c>
      <c r="K471" s="3">
        <v>166945</v>
      </c>
      <c r="L471" s="3" t="s">
        <v>20</v>
      </c>
      <c r="M471" s="4">
        <v>5.4964209769684629E-2</v>
      </c>
      <c r="N471" s="3" t="str">
        <f>INDEX(Table5_2[Objective], MATCH(L471,Table5_2[Campaign_Name], 0))</f>
        <v>Brand Engagement</v>
      </c>
    </row>
    <row r="472" spans="1:14" x14ac:dyDescent="0.3">
      <c r="A472" s="3" t="s">
        <v>233</v>
      </c>
      <c r="B472" s="3" t="s">
        <v>40</v>
      </c>
      <c r="C472" s="2">
        <v>45587</v>
      </c>
      <c r="D472" s="3" t="s">
        <v>23</v>
      </c>
      <c r="E472" s="3" t="s">
        <v>357</v>
      </c>
      <c r="F472" s="3">
        <v>7750</v>
      </c>
      <c r="G472" s="3">
        <v>1146</v>
      </c>
      <c r="H472" s="3">
        <v>415</v>
      </c>
      <c r="I472" s="3">
        <v>1411</v>
      </c>
      <c r="J472" s="3">
        <v>85339</v>
      </c>
      <c r="K472" s="3">
        <v>172439</v>
      </c>
      <c r="L472" s="3" t="s">
        <v>25</v>
      </c>
      <c r="M472" s="4">
        <v>5.3995905798572247E-2</v>
      </c>
      <c r="N472" s="3" t="str">
        <f>INDEX(Table5_2[Objective], MATCH(L472,Table5_2[Campaign_Name], 0))</f>
        <v>Sustainability Branding</v>
      </c>
    </row>
    <row r="473" spans="1:14" x14ac:dyDescent="0.3">
      <c r="A473" s="3" t="s">
        <v>233</v>
      </c>
      <c r="B473" s="3" t="s">
        <v>40</v>
      </c>
      <c r="C473" s="2">
        <v>45587</v>
      </c>
      <c r="D473" s="3" t="s">
        <v>23</v>
      </c>
      <c r="E473" s="3" t="s">
        <v>358</v>
      </c>
      <c r="F473" s="3">
        <v>7750</v>
      </c>
      <c r="G473" s="3">
        <v>1146</v>
      </c>
      <c r="H473" s="3">
        <v>415</v>
      </c>
      <c r="I473" s="3">
        <v>1411</v>
      </c>
      <c r="J473" s="3">
        <v>85339</v>
      </c>
      <c r="K473" s="3">
        <v>172439</v>
      </c>
      <c r="L473" s="3" t="s">
        <v>25</v>
      </c>
      <c r="M473" s="4">
        <v>5.3995905798572247E-2</v>
      </c>
      <c r="N473" s="3" t="str">
        <f>INDEX(Table5_2[Objective], MATCH(L473,Table5_2[Campaign_Name], 0))</f>
        <v>Sustainability Branding</v>
      </c>
    </row>
    <row r="474" spans="1:14" x14ac:dyDescent="0.3">
      <c r="A474" s="3" t="s">
        <v>130</v>
      </c>
      <c r="B474" s="3" t="s">
        <v>40</v>
      </c>
      <c r="C474" s="2">
        <v>45603</v>
      </c>
      <c r="D474" s="3" t="s">
        <v>34</v>
      </c>
      <c r="E474" s="3" t="s">
        <v>365</v>
      </c>
      <c r="F474" s="3">
        <v>11550</v>
      </c>
      <c r="G474" s="3">
        <v>501</v>
      </c>
      <c r="H474" s="3">
        <v>646</v>
      </c>
      <c r="I474" s="3">
        <v>773</v>
      </c>
      <c r="J474" s="3">
        <v>17841</v>
      </c>
      <c r="K474" s="3">
        <v>237576</v>
      </c>
      <c r="L474" s="3" t="s">
        <v>29</v>
      </c>
      <c r="M474" s="4">
        <v>5.3443950567397383E-2</v>
      </c>
      <c r="N474" s="3" t="str">
        <f>INDEX(Table5_2[Objective], MATCH(L474,Table5_2[Campaign_Name], 0))</f>
        <v>Product Launch</v>
      </c>
    </row>
    <row r="475" spans="1:14" x14ac:dyDescent="0.3">
      <c r="A475" s="3" t="s">
        <v>130</v>
      </c>
      <c r="B475" s="3" t="s">
        <v>40</v>
      </c>
      <c r="C475" s="2">
        <v>45603</v>
      </c>
      <c r="D475" s="3" t="s">
        <v>34</v>
      </c>
      <c r="E475" s="3" t="s">
        <v>359</v>
      </c>
      <c r="F475" s="3">
        <v>11550</v>
      </c>
      <c r="G475" s="3">
        <v>501</v>
      </c>
      <c r="H475" s="3">
        <v>646</v>
      </c>
      <c r="I475" s="3">
        <v>773</v>
      </c>
      <c r="J475" s="3">
        <v>17841</v>
      </c>
      <c r="K475" s="3">
        <v>237576</v>
      </c>
      <c r="L475" s="3" t="s">
        <v>29</v>
      </c>
      <c r="M475" s="4">
        <v>5.3443950567397383E-2</v>
      </c>
      <c r="N475" s="3" t="str">
        <f>INDEX(Table5_2[Objective], MATCH(L475,Table5_2[Campaign_Name], 0))</f>
        <v>Product Launch</v>
      </c>
    </row>
    <row r="476" spans="1:14" x14ac:dyDescent="0.3">
      <c r="A476" s="3" t="s">
        <v>65</v>
      </c>
      <c r="B476" s="3" t="s">
        <v>18</v>
      </c>
      <c r="C476" s="2">
        <v>45713</v>
      </c>
      <c r="D476" s="3" t="s">
        <v>34</v>
      </c>
      <c r="E476" s="3" t="s">
        <v>367</v>
      </c>
      <c r="F476" s="3">
        <v>10702</v>
      </c>
      <c r="G476" s="3">
        <v>621</v>
      </c>
      <c r="H476" s="3">
        <v>445</v>
      </c>
      <c r="I476" s="3">
        <v>2918</v>
      </c>
      <c r="J476" s="3">
        <v>54808</v>
      </c>
      <c r="K476" s="3">
        <v>220225</v>
      </c>
      <c r="L476" s="3" t="s">
        <v>16</v>
      </c>
      <c r="M476" s="4">
        <v>5.3436258372119426E-2</v>
      </c>
      <c r="N476" s="3" t="str">
        <f>INDEX(Table5_2[Objective], MATCH(L476,Table5_2[Campaign_Name], 0))</f>
        <v>Health &amp; Fitness Awareness</v>
      </c>
    </row>
    <row r="477" spans="1:14" x14ac:dyDescent="0.3">
      <c r="A477" s="3" t="s">
        <v>65</v>
      </c>
      <c r="B477" s="3" t="s">
        <v>18</v>
      </c>
      <c r="C477" s="2">
        <v>45713</v>
      </c>
      <c r="D477" s="3" t="s">
        <v>34</v>
      </c>
      <c r="E477" s="3" t="s">
        <v>32</v>
      </c>
      <c r="F477" s="3">
        <v>10702</v>
      </c>
      <c r="G477" s="3">
        <v>621</v>
      </c>
      <c r="H477" s="3">
        <v>445</v>
      </c>
      <c r="I477" s="3">
        <v>2918</v>
      </c>
      <c r="J477" s="3">
        <v>54808</v>
      </c>
      <c r="K477" s="3">
        <v>220225</v>
      </c>
      <c r="L477" s="3" t="s">
        <v>16</v>
      </c>
      <c r="M477" s="4">
        <v>5.3436258372119426E-2</v>
      </c>
      <c r="N477" s="3" t="str">
        <f>INDEX(Table5_2[Objective], MATCH(L477,Table5_2[Campaign_Name], 0))</f>
        <v>Health &amp; Fitness Awareness</v>
      </c>
    </row>
    <row r="478" spans="1:14" x14ac:dyDescent="0.3">
      <c r="A478" s="3" t="s">
        <v>43</v>
      </c>
      <c r="B478" s="3" t="s">
        <v>13</v>
      </c>
      <c r="C478" s="2">
        <v>45494</v>
      </c>
      <c r="D478" s="3" t="s">
        <v>23</v>
      </c>
      <c r="E478" s="3" t="s">
        <v>355</v>
      </c>
      <c r="F478" s="3">
        <v>2009</v>
      </c>
      <c r="G478" s="3">
        <v>1072</v>
      </c>
      <c r="H478" s="3">
        <v>550</v>
      </c>
      <c r="I478" s="3">
        <v>1437</v>
      </c>
      <c r="J478" s="3">
        <v>22982</v>
      </c>
      <c r="K478" s="3">
        <v>69426</v>
      </c>
      <c r="L478" s="3" t="s">
        <v>29</v>
      </c>
      <c r="M478" s="4">
        <v>5.2300290957278256E-2</v>
      </c>
      <c r="N478" s="3" t="str">
        <f>INDEX(Table5_2[Objective], MATCH(L478,Table5_2[Campaign_Name], 0))</f>
        <v>Product Launch</v>
      </c>
    </row>
    <row r="479" spans="1:14" x14ac:dyDescent="0.3">
      <c r="A479" s="3" t="s">
        <v>43</v>
      </c>
      <c r="B479" s="3" t="s">
        <v>13</v>
      </c>
      <c r="C479" s="2">
        <v>45494</v>
      </c>
      <c r="D479" s="3" t="s">
        <v>23</v>
      </c>
      <c r="E479" s="3" t="s">
        <v>356</v>
      </c>
      <c r="F479" s="3">
        <v>2009</v>
      </c>
      <c r="G479" s="3">
        <v>1072</v>
      </c>
      <c r="H479" s="3">
        <v>550</v>
      </c>
      <c r="I479" s="3">
        <v>1437</v>
      </c>
      <c r="J479" s="3">
        <v>22982</v>
      </c>
      <c r="K479" s="3">
        <v>69426</v>
      </c>
      <c r="L479" s="3" t="s">
        <v>29</v>
      </c>
      <c r="M479" s="4">
        <v>5.2300290957278256E-2</v>
      </c>
      <c r="N479" s="3" t="str">
        <f>INDEX(Table5_2[Objective], MATCH(L479,Table5_2[Campaign_Name], 0))</f>
        <v>Product Launch</v>
      </c>
    </row>
    <row r="480" spans="1:14" x14ac:dyDescent="0.3">
      <c r="A480" s="3" t="s">
        <v>305</v>
      </c>
      <c r="B480" s="3" t="s">
        <v>13</v>
      </c>
      <c r="C480" s="2">
        <v>45601</v>
      </c>
      <c r="D480" s="3" t="s">
        <v>23</v>
      </c>
      <c r="E480" s="3" t="s">
        <v>64</v>
      </c>
      <c r="F480" s="3">
        <v>8469</v>
      </c>
      <c r="G480" s="3">
        <v>935</v>
      </c>
      <c r="H480" s="3">
        <v>211</v>
      </c>
      <c r="I480" s="3">
        <v>2635</v>
      </c>
      <c r="J480" s="3">
        <v>21890</v>
      </c>
      <c r="K480" s="3">
        <v>184539</v>
      </c>
      <c r="L480" s="3" t="s">
        <v>45</v>
      </c>
      <c r="M480" s="4">
        <v>5.2102807536618279E-2</v>
      </c>
      <c r="N480" s="3" t="str">
        <f>INDEX(Table5_2[Objective], MATCH(L480,Table5_2[Campaign_Name], 0))</f>
        <v>Product Promotion</v>
      </c>
    </row>
    <row r="481" spans="1:14" x14ac:dyDescent="0.3">
      <c r="A481" s="3" t="s">
        <v>38</v>
      </c>
      <c r="B481" s="3" t="s">
        <v>13</v>
      </c>
      <c r="C481" s="2">
        <v>45534</v>
      </c>
      <c r="D481" s="3" t="s">
        <v>34</v>
      </c>
      <c r="E481" s="3" t="s">
        <v>355</v>
      </c>
      <c r="F481" s="3">
        <v>6804</v>
      </c>
      <c r="G481" s="3">
        <v>787</v>
      </c>
      <c r="H481" s="3">
        <v>970</v>
      </c>
      <c r="I481" s="3">
        <v>1095</v>
      </c>
      <c r="J481" s="3">
        <v>56343</v>
      </c>
      <c r="K481" s="3">
        <v>164677</v>
      </c>
      <c r="L481" s="3" t="s">
        <v>16</v>
      </c>
      <c r="M481" s="4">
        <v>5.1986616224487935E-2</v>
      </c>
      <c r="N481" s="3" t="str">
        <f>INDEX(Table5_2[Objective], MATCH(L481,Table5_2[Campaign_Name], 0))</f>
        <v>Health &amp; Fitness Awareness</v>
      </c>
    </row>
    <row r="482" spans="1:14" x14ac:dyDescent="0.3">
      <c r="A482" s="3" t="s">
        <v>38</v>
      </c>
      <c r="B482" s="3" t="s">
        <v>13</v>
      </c>
      <c r="C482" s="2">
        <v>45534</v>
      </c>
      <c r="D482" s="3" t="s">
        <v>34</v>
      </c>
      <c r="E482" s="3" t="s">
        <v>356</v>
      </c>
      <c r="F482" s="3">
        <v>6804</v>
      </c>
      <c r="G482" s="3">
        <v>787</v>
      </c>
      <c r="H482" s="3">
        <v>970</v>
      </c>
      <c r="I482" s="3">
        <v>1095</v>
      </c>
      <c r="J482" s="3">
        <v>56343</v>
      </c>
      <c r="K482" s="3">
        <v>164677</v>
      </c>
      <c r="L482" s="3" t="s">
        <v>16</v>
      </c>
      <c r="M482" s="4">
        <v>5.1986616224487935E-2</v>
      </c>
      <c r="N482" s="3" t="str">
        <f>INDEX(Table5_2[Objective], MATCH(L482,Table5_2[Campaign_Name], 0))</f>
        <v>Health &amp; Fitness Awareness</v>
      </c>
    </row>
    <row r="483" spans="1:14" x14ac:dyDescent="0.3">
      <c r="A483" s="3" t="s">
        <v>66</v>
      </c>
      <c r="B483" s="3" t="s">
        <v>22</v>
      </c>
      <c r="C483" s="2">
        <v>45642</v>
      </c>
      <c r="D483" s="3" t="s">
        <v>14</v>
      </c>
      <c r="E483" s="3" t="s">
        <v>359</v>
      </c>
      <c r="F483" s="3">
        <v>2384</v>
      </c>
      <c r="G483" s="3">
        <v>1246</v>
      </c>
      <c r="H483" s="3">
        <v>160</v>
      </c>
      <c r="I483" s="3">
        <v>2004</v>
      </c>
      <c r="J483" s="3">
        <v>2701</v>
      </c>
      <c r="K483" s="3">
        <v>73142</v>
      </c>
      <c r="L483" s="3" t="s">
        <v>16</v>
      </c>
      <c r="M483" s="4">
        <v>5.1817013480626728E-2</v>
      </c>
      <c r="N483" s="3" t="str">
        <f>INDEX(Table5_2[Objective], MATCH(L483,Table5_2[Campaign_Name], 0))</f>
        <v>Health &amp; Fitness Awareness</v>
      </c>
    </row>
    <row r="484" spans="1:14" x14ac:dyDescent="0.3">
      <c r="A484" s="3" t="s">
        <v>66</v>
      </c>
      <c r="B484" s="3" t="s">
        <v>22</v>
      </c>
      <c r="C484" s="2">
        <v>45642</v>
      </c>
      <c r="D484" s="3" t="s">
        <v>14</v>
      </c>
      <c r="E484" s="3" t="s">
        <v>360</v>
      </c>
      <c r="F484" s="3">
        <v>2384</v>
      </c>
      <c r="G484" s="3">
        <v>1246</v>
      </c>
      <c r="H484" s="3">
        <v>160</v>
      </c>
      <c r="I484" s="3">
        <v>2004</v>
      </c>
      <c r="J484" s="3">
        <v>2701</v>
      </c>
      <c r="K484" s="3">
        <v>73142</v>
      </c>
      <c r="L484" s="3" t="s">
        <v>16</v>
      </c>
      <c r="M484" s="4">
        <v>5.1817013480626728E-2</v>
      </c>
      <c r="N484" s="3" t="str">
        <f>INDEX(Table5_2[Objective], MATCH(L484,Table5_2[Campaign_Name], 0))</f>
        <v>Health &amp; Fitness Awareness</v>
      </c>
    </row>
    <row r="485" spans="1:14" x14ac:dyDescent="0.3">
      <c r="A485" s="3" t="s">
        <v>56</v>
      </c>
      <c r="B485" s="3" t="s">
        <v>22</v>
      </c>
      <c r="C485" s="2">
        <v>45715</v>
      </c>
      <c r="D485" s="3" t="s">
        <v>14</v>
      </c>
      <c r="E485" s="3" t="s">
        <v>361</v>
      </c>
      <c r="F485" s="3">
        <v>8970</v>
      </c>
      <c r="G485" s="3">
        <v>331</v>
      </c>
      <c r="H485" s="3">
        <v>968</v>
      </c>
      <c r="I485" s="3">
        <v>2296</v>
      </c>
      <c r="J485" s="3">
        <v>24613</v>
      </c>
      <c r="K485" s="3">
        <v>198562</v>
      </c>
      <c r="L485" s="3" t="s">
        <v>29</v>
      </c>
      <c r="M485" s="4">
        <v>5.1716844109144754E-2</v>
      </c>
      <c r="N485" s="3" t="str">
        <f>INDEX(Table5_2[Objective], MATCH(L485,Table5_2[Campaign_Name], 0))</f>
        <v>Product Launch</v>
      </c>
    </row>
    <row r="486" spans="1:14" x14ac:dyDescent="0.3">
      <c r="A486" s="3" t="s">
        <v>56</v>
      </c>
      <c r="B486" s="3" t="s">
        <v>22</v>
      </c>
      <c r="C486" s="2">
        <v>45715</v>
      </c>
      <c r="D486" s="3" t="s">
        <v>14</v>
      </c>
      <c r="E486" s="3" t="s">
        <v>362</v>
      </c>
      <c r="F486" s="3">
        <v>8970</v>
      </c>
      <c r="G486" s="3">
        <v>331</v>
      </c>
      <c r="H486" s="3">
        <v>968</v>
      </c>
      <c r="I486" s="3">
        <v>2296</v>
      </c>
      <c r="J486" s="3">
        <v>24613</v>
      </c>
      <c r="K486" s="3">
        <v>198562</v>
      </c>
      <c r="L486" s="3" t="s">
        <v>29</v>
      </c>
      <c r="M486" s="4">
        <v>5.1716844109144754E-2</v>
      </c>
      <c r="N486" s="3" t="str">
        <f>INDEX(Table5_2[Objective], MATCH(L486,Table5_2[Campaign_Name], 0))</f>
        <v>Product Launch</v>
      </c>
    </row>
    <row r="487" spans="1:14" x14ac:dyDescent="0.3">
      <c r="A487" s="3" t="s">
        <v>236</v>
      </c>
      <c r="B487" s="3" t="s">
        <v>13</v>
      </c>
      <c r="C487" s="2">
        <v>45754</v>
      </c>
      <c r="D487" s="3" t="s">
        <v>34</v>
      </c>
      <c r="E487" s="3" t="s">
        <v>367</v>
      </c>
      <c r="F487" s="3">
        <v>3062</v>
      </c>
      <c r="G487" s="3">
        <v>1124</v>
      </c>
      <c r="H487" s="3">
        <v>538</v>
      </c>
      <c r="I487" s="3">
        <v>2935</v>
      </c>
      <c r="J487" s="3">
        <v>69749</v>
      </c>
      <c r="K487" s="3">
        <v>91924</v>
      </c>
      <c r="L487" s="3" t="s">
        <v>29</v>
      </c>
      <c r="M487" s="4">
        <v>5.1390278926069365E-2</v>
      </c>
      <c r="N487" s="3" t="str">
        <f>INDEX(Table5_2[Objective], MATCH(L487,Table5_2[Campaign_Name], 0))</f>
        <v>Product Launch</v>
      </c>
    </row>
    <row r="488" spans="1:14" x14ac:dyDescent="0.3">
      <c r="A488" s="3" t="s">
        <v>236</v>
      </c>
      <c r="B488" s="3" t="s">
        <v>13</v>
      </c>
      <c r="C488" s="2">
        <v>45754</v>
      </c>
      <c r="D488" s="3" t="s">
        <v>34</v>
      </c>
      <c r="E488" s="3" t="s">
        <v>32</v>
      </c>
      <c r="F488" s="3">
        <v>3062</v>
      </c>
      <c r="G488" s="3">
        <v>1124</v>
      </c>
      <c r="H488" s="3">
        <v>538</v>
      </c>
      <c r="I488" s="3">
        <v>2935</v>
      </c>
      <c r="J488" s="3">
        <v>69749</v>
      </c>
      <c r="K488" s="3">
        <v>91924</v>
      </c>
      <c r="L488" s="3" t="s">
        <v>29</v>
      </c>
      <c r="M488" s="4">
        <v>5.1390278926069365E-2</v>
      </c>
      <c r="N488" s="3" t="str">
        <f>INDEX(Table5_2[Objective], MATCH(L488,Table5_2[Campaign_Name], 0))</f>
        <v>Product Launch</v>
      </c>
    </row>
    <row r="489" spans="1:14" x14ac:dyDescent="0.3">
      <c r="A489" s="3" t="s">
        <v>297</v>
      </c>
      <c r="B489" s="3" t="s">
        <v>22</v>
      </c>
      <c r="C489" s="2">
        <v>45592</v>
      </c>
      <c r="D489" s="3" t="s">
        <v>34</v>
      </c>
      <c r="E489" s="3" t="s">
        <v>353</v>
      </c>
      <c r="F489" s="3">
        <v>7560</v>
      </c>
      <c r="G489" s="3">
        <v>1139</v>
      </c>
      <c r="H489" s="3">
        <v>248</v>
      </c>
      <c r="I489" s="3">
        <v>1624</v>
      </c>
      <c r="J489" s="3">
        <v>72237</v>
      </c>
      <c r="K489" s="3">
        <v>177084</v>
      </c>
      <c r="L489" s="3" t="s">
        <v>25</v>
      </c>
      <c r="M489" s="4">
        <v>5.0524045085947912E-2</v>
      </c>
      <c r="N489" s="3" t="str">
        <f>INDEX(Table5_2[Objective], MATCH(L489,Table5_2[Campaign_Name], 0))</f>
        <v>Sustainability Branding</v>
      </c>
    </row>
    <row r="490" spans="1:14" x14ac:dyDescent="0.3">
      <c r="A490" s="3" t="s">
        <v>297</v>
      </c>
      <c r="B490" s="3" t="s">
        <v>22</v>
      </c>
      <c r="C490" s="2">
        <v>45592</v>
      </c>
      <c r="D490" s="3" t="s">
        <v>34</v>
      </c>
      <c r="E490" s="3" t="s">
        <v>354</v>
      </c>
      <c r="F490" s="3">
        <v>7560</v>
      </c>
      <c r="G490" s="3">
        <v>1139</v>
      </c>
      <c r="H490" s="3">
        <v>248</v>
      </c>
      <c r="I490" s="3">
        <v>1624</v>
      </c>
      <c r="J490" s="3">
        <v>72237</v>
      </c>
      <c r="K490" s="3">
        <v>177084</v>
      </c>
      <c r="L490" s="3" t="s">
        <v>25</v>
      </c>
      <c r="M490" s="4">
        <v>5.0524045085947912E-2</v>
      </c>
      <c r="N490" s="3" t="str">
        <f>INDEX(Table5_2[Objective], MATCH(L490,Table5_2[Campaign_Name], 0))</f>
        <v>Sustainability Branding</v>
      </c>
    </row>
    <row r="491" spans="1:14" x14ac:dyDescent="0.3">
      <c r="A491" s="3" t="s">
        <v>255</v>
      </c>
      <c r="B491" s="3" t="s">
        <v>18</v>
      </c>
      <c r="C491" s="2">
        <v>45685</v>
      </c>
      <c r="D491" s="3" t="s">
        <v>34</v>
      </c>
      <c r="E491" s="3" t="s">
        <v>361</v>
      </c>
      <c r="F491" s="3">
        <v>9943</v>
      </c>
      <c r="G491" s="3">
        <v>1274</v>
      </c>
      <c r="H491" s="3">
        <v>336</v>
      </c>
      <c r="I491" s="3">
        <v>389</v>
      </c>
      <c r="J491" s="3">
        <v>6145</v>
      </c>
      <c r="K491" s="3">
        <v>231305</v>
      </c>
      <c r="L491" s="3" t="s">
        <v>16</v>
      </c>
      <c r="M491" s="4">
        <v>4.9947039623008581E-2</v>
      </c>
      <c r="N491" s="3" t="str">
        <f>INDEX(Table5_2[Objective], MATCH(L491,Table5_2[Campaign_Name], 0))</f>
        <v>Health &amp; Fitness Awareness</v>
      </c>
    </row>
    <row r="492" spans="1:14" x14ac:dyDescent="0.3">
      <c r="A492" s="3" t="s">
        <v>255</v>
      </c>
      <c r="B492" s="3" t="s">
        <v>18</v>
      </c>
      <c r="C492" s="2">
        <v>45685</v>
      </c>
      <c r="D492" s="3" t="s">
        <v>34</v>
      </c>
      <c r="E492" s="3" t="s">
        <v>362</v>
      </c>
      <c r="F492" s="3">
        <v>9943</v>
      </c>
      <c r="G492" s="3">
        <v>1274</v>
      </c>
      <c r="H492" s="3">
        <v>336</v>
      </c>
      <c r="I492" s="3">
        <v>389</v>
      </c>
      <c r="J492" s="3">
        <v>6145</v>
      </c>
      <c r="K492" s="3">
        <v>231305</v>
      </c>
      <c r="L492" s="3" t="s">
        <v>16</v>
      </c>
      <c r="M492" s="4">
        <v>4.9947039623008581E-2</v>
      </c>
      <c r="N492" s="3" t="str">
        <f>INDEX(Table5_2[Objective], MATCH(L492,Table5_2[Campaign_Name], 0))</f>
        <v>Health &amp; Fitness Awareness</v>
      </c>
    </row>
    <row r="493" spans="1:14" x14ac:dyDescent="0.3">
      <c r="A493" s="3" t="s">
        <v>207</v>
      </c>
      <c r="B493" s="3" t="s">
        <v>18</v>
      </c>
      <c r="C493" s="2">
        <v>45657</v>
      </c>
      <c r="D493" s="3" t="s">
        <v>14</v>
      </c>
      <c r="E493" s="3" t="s">
        <v>353</v>
      </c>
      <c r="F493" s="3">
        <v>10717</v>
      </c>
      <c r="G493" s="3">
        <v>760</v>
      </c>
      <c r="H493" s="3">
        <v>460</v>
      </c>
      <c r="I493" s="3">
        <v>1316</v>
      </c>
      <c r="J493" s="3">
        <v>18164</v>
      </c>
      <c r="K493" s="3">
        <v>240641</v>
      </c>
      <c r="L493" s="3" t="s">
        <v>45</v>
      </c>
      <c r="M493" s="4">
        <v>4.9605013277039242E-2</v>
      </c>
      <c r="N493" s="3" t="str">
        <f>INDEX(Table5_2[Objective], MATCH(L493,Table5_2[Campaign_Name], 0))</f>
        <v>Product Promotion</v>
      </c>
    </row>
    <row r="494" spans="1:14" x14ac:dyDescent="0.3">
      <c r="A494" s="3" t="s">
        <v>207</v>
      </c>
      <c r="B494" s="3" t="s">
        <v>18</v>
      </c>
      <c r="C494" s="2">
        <v>45657</v>
      </c>
      <c r="D494" s="3" t="s">
        <v>14</v>
      </c>
      <c r="E494" s="3" t="s">
        <v>354</v>
      </c>
      <c r="F494" s="3">
        <v>10717</v>
      </c>
      <c r="G494" s="3">
        <v>760</v>
      </c>
      <c r="H494" s="3">
        <v>460</v>
      </c>
      <c r="I494" s="3">
        <v>1316</v>
      </c>
      <c r="J494" s="3">
        <v>18164</v>
      </c>
      <c r="K494" s="3">
        <v>240641</v>
      </c>
      <c r="L494" s="3" t="s">
        <v>45</v>
      </c>
      <c r="M494" s="4">
        <v>4.9605013277039242E-2</v>
      </c>
      <c r="N494" s="3" t="str">
        <f>INDEX(Table5_2[Objective], MATCH(L494,Table5_2[Campaign_Name], 0))</f>
        <v>Product Promotion</v>
      </c>
    </row>
    <row r="495" spans="1:14" x14ac:dyDescent="0.3">
      <c r="A495" s="3" t="s">
        <v>100</v>
      </c>
      <c r="B495" s="3" t="s">
        <v>13</v>
      </c>
      <c r="C495" s="2">
        <v>45744</v>
      </c>
      <c r="D495" s="3" t="s">
        <v>23</v>
      </c>
      <c r="E495" s="3" t="s">
        <v>353</v>
      </c>
      <c r="F495" s="3">
        <v>6363</v>
      </c>
      <c r="G495" s="3">
        <v>1341</v>
      </c>
      <c r="H495" s="3">
        <v>222</v>
      </c>
      <c r="I495" s="3">
        <v>2712</v>
      </c>
      <c r="J495" s="3">
        <v>19987</v>
      </c>
      <c r="K495" s="3">
        <v>160585</v>
      </c>
      <c r="L495" s="3" t="s">
        <v>25</v>
      </c>
      <c r="M495" s="4">
        <v>4.9357038328611019E-2</v>
      </c>
      <c r="N495" s="3" t="str">
        <f>INDEX(Table5_2[Objective], MATCH(L495,Table5_2[Campaign_Name], 0))</f>
        <v>Sustainability Branding</v>
      </c>
    </row>
    <row r="496" spans="1:14" x14ac:dyDescent="0.3">
      <c r="A496" s="3" t="s">
        <v>100</v>
      </c>
      <c r="B496" s="3" t="s">
        <v>13</v>
      </c>
      <c r="C496" s="2">
        <v>45744</v>
      </c>
      <c r="D496" s="3" t="s">
        <v>23</v>
      </c>
      <c r="E496" s="3" t="s">
        <v>354</v>
      </c>
      <c r="F496" s="3">
        <v>6363</v>
      </c>
      <c r="G496" s="3">
        <v>1341</v>
      </c>
      <c r="H496" s="3">
        <v>222</v>
      </c>
      <c r="I496" s="3">
        <v>2712</v>
      </c>
      <c r="J496" s="3">
        <v>19987</v>
      </c>
      <c r="K496" s="3">
        <v>160585</v>
      </c>
      <c r="L496" s="3" t="s">
        <v>25</v>
      </c>
      <c r="M496" s="4">
        <v>4.9357038328611019E-2</v>
      </c>
      <c r="N496" s="3" t="str">
        <f>INDEX(Table5_2[Objective], MATCH(L496,Table5_2[Campaign_Name], 0))</f>
        <v>Sustainability Branding</v>
      </c>
    </row>
    <row r="497" spans="1:14" x14ac:dyDescent="0.3">
      <c r="A497" s="3" t="s">
        <v>166</v>
      </c>
      <c r="B497" s="3" t="s">
        <v>18</v>
      </c>
      <c r="C497" s="2">
        <v>45564</v>
      </c>
      <c r="D497" s="3" t="s">
        <v>34</v>
      </c>
      <c r="E497" s="3" t="s">
        <v>355</v>
      </c>
      <c r="F497" s="3">
        <v>10472</v>
      </c>
      <c r="G497" s="3">
        <v>401</v>
      </c>
      <c r="H497" s="3">
        <v>668</v>
      </c>
      <c r="I497" s="3">
        <v>383</v>
      </c>
      <c r="J497" s="3">
        <v>37571</v>
      </c>
      <c r="K497" s="3">
        <v>249203</v>
      </c>
      <c r="L497" s="3" t="s">
        <v>25</v>
      </c>
      <c r="M497" s="4">
        <v>4.6311641513143903E-2</v>
      </c>
      <c r="N497" s="3" t="str">
        <f>INDEX(Table5_2[Objective], MATCH(L497,Table5_2[Campaign_Name], 0))</f>
        <v>Sustainability Branding</v>
      </c>
    </row>
    <row r="498" spans="1:14" x14ac:dyDescent="0.3">
      <c r="A498" s="3" t="s">
        <v>166</v>
      </c>
      <c r="B498" s="3" t="s">
        <v>18</v>
      </c>
      <c r="C498" s="2">
        <v>45564</v>
      </c>
      <c r="D498" s="3" t="s">
        <v>34</v>
      </c>
      <c r="E498" s="3" t="s">
        <v>356</v>
      </c>
      <c r="F498" s="3">
        <v>10472</v>
      </c>
      <c r="G498" s="3">
        <v>401</v>
      </c>
      <c r="H498" s="3">
        <v>668</v>
      </c>
      <c r="I498" s="3">
        <v>383</v>
      </c>
      <c r="J498" s="3">
        <v>37571</v>
      </c>
      <c r="K498" s="3">
        <v>249203</v>
      </c>
      <c r="L498" s="3" t="s">
        <v>25</v>
      </c>
      <c r="M498" s="4">
        <v>4.6311641513143903E-2</v>
      </c>
      <c r="N498" s="3" t="str">
        <f>INDEX(Table5_2[Objective], MATCH(L498,Table5_2[Campaign_Name], 0))</f>
        <v>Sustainability Branding</v>
      </c>
    </row>
    <row r="499" spans="1:14" x14ac:dyDescent="0.3">
      <c r="A499" s="3" t="s">
        <v>48</v>
      </c>
      <c r="B499" s="3" t="s">
        <v>22</v>
      </c>
      <c r="C499" s="2">
        <v>45530</v>
      </c>
      <c r="D499" s="3" t="s">
        <v>34</v>
      </c>
      <c r="E499" s="3" t="s">
        <v>363</v>
      </c>
      <c r="F499" s="3">
        <v>4193</v>
      </c>
      <c r="G499" s="3">
        <v>924</v>
      </c>
      <c r="H499" s="3">
        <v>707</v>
      </c>
      <c r="I499" s="3">
        <v>2696</v>
      </c>
      <c r="J499" s="3">
        <v>55075</v>
      </c>
      <c r="K499" s="3">
        <v>126652</v>
      </c>
      <c r="L499" s="3" t="s">
        <v>29</v>
      </c>
      <c r="M499" s="4">
        <v>4.5984271863057827E-2</v>
      </c>
      <c r="N499" s="3" t="str">
        <f>INDEX(Table5_2[Objective], MATCH(L499,Table5_2[Campaign_Name], 0))</f>
        <v>Product Launch</v>
      </c>
    </row>
    <row r="500" spans="1:14" x14ac:dyDescent="0.3">
      <c r="A500" s="3" t="s">
        <v>48</v>
      </c>
      <c r="B500" s="3" t="s">
        <v>22</v>
      </c>
      <c r="C500" s="2">
        <v>45530</v>
      </c>
      <c r="D500" s="3" t="s">
        <v>34</v>
      </c>
      <c r="E500" s="3" t="s">
        <v>364</v>
      </c>
      <c r="F500" s="3">
        <v>4193</v>
      </c>
      <c r="G500" s="3">
        <v>924</v>
      </c>
      <c r="H500" s="3">
        <v>707</v>
      </c>
      <c r="I500" s="3">
        <v>2696</v>
      </c>
      <c r="J500" s="3">
        <v>55075</v>
      </c>
      <c r="K500" s="3">
        <v>126652</v>
      </c>
      <c r="L500" s="3" t="s">
        <v>29</v>
      </c>
      <c r="M500" s="4">
        <v>4.5984271863057827E-2</v>
      </c>
      <c r="N500" s="3" t="str">
        <f>INDEX(Table5_2[Objective], MATCH(L500,Table5_2[Campaign_Name], 0))</f>
        <v>Product Launch</v>
      </c>
    </row>
    <row r="501" spans="1:14" x14ac:dyDescent="0.3">
      <c r="A501" s="3" t="s">
        <v>93</v>
      </c>
      <c r="B501" s="3" t="s">
        <v>22</v>
      </c>
      <c r="C501" s="2">
        <v>45762</v>
      </c>
      <c r="D501" s="3" t="s">
        <v>34</v>
      </c>
      <c r="E501" s="3" t="s">
        <v>357</v>
      </c>
      <c r="F501" s="3">
        <v>5419</v>
      </c>
      <c r="G501" s="3">
        <v>1150</v>
      </c>
      <c r="H501" s="3">
        <v>656</v>
      </c>
      <c r="I501" s="3">
        <v>1990</v>
      </c>
      <c r="J501" s="3">
        <v>410</v>
      </c>
      <c r="K501" s="3">
        <v>158154</v>
      </c>
      <c r="L501" s="3" t="s">
        <v>25</v>
      </c>
      <c r="M501" s="4">
        <v>4.5683321319726342E-2</v>
      </c>
      <c r="N501" s="3" t="str">
        <f>INDEX(Table5_2[Objective], MATCH(L501,Table5_2[Campaign_Name], 0))</f>
        <v>Sustainability Branding</v>
      </c>
    </row>
    <row r="502" spans="1:14" x14ac:dyDescent="0.3">
      <c r="A502" s="3" t="s">
        <v>93</v>
      </c>
      <c r="B502" s="3" t="s">
        <v>22</v>
      </c>
      <c r="C502" s="2">
        <v>45762</v>
      </c>
      <c r="D502" s="3" t="s">
        <v>34</v>
      </c>
      <c r="E502" s="3" t="s">
        <v>358</v>
      </c>
      <c r="F502" s="3">
        <v>5419</v>
      </c>
      <c r="G502" s="3">
        <v>1150</v>
      </c>
      <c r="H502" s="3">
        <v>656</v>
      </c>
      <c r="I502" s="3">
        <v>1990</v>
      </c>
      <c r="J502" s="3">
        <v>410</v>
      </c>
      <c r="K502" s="3">
        <v>158154</v>
      </c>
      <c r="L502" s="3" t="s">
        <v>25</v>
      </c>
      <c r="M502" s="4">
        <v>4.5683321319726342E-2</v>
      </c>
      <c r="N502" s="3" t="str">
        <f>INDEX(Table5_2[Objective], MATCH(L502,Table5_2[Campaign_Name], 0))</f>
        <v>Sustainability Branding</v>
      </c>
    </row>
    <row r="503" spans="1:14" x14ac:dyDescent="0.3">
      <c r="A503" s="3" t="s">
        <v>181</v>
      </c>
      <c r="B503" s="3" t="s">
        <v>18</v>
      </c>
      <c r="C503" s="2">
        <v>45516</v>
      </c>
      <c r="D503" s="3" t="s">
        <v>34</v>
      </c>
      <c r="E503" s="3" t="s">
        <v>355</v>
      </c>
      <c r="F503" s="3">
        <v>8376</v>
      </c>
      <c r="G503" s="3">
        <v>1154</v>
      </c>
      <c r="H503" s="3">
        <v>422</v>
      </c>
      <c r="I503" s="3">
        <v>1907</v>
      </c>
      <c r="J503" s="3">
        <v>36874</v>
      </c>
      <c r="K503" s="3">
        <v>218486</v>
      </c>
      <c r="L503" s="3" t="s">
        <v>25</v>
      </c>
      <c r="M503" s="4">
        <v>4.5549829279679245E-2</v>
      </c>
      <c r="N503" s="3" t="str">
        <f>INDEX(Table5_2[Objective], MATCH(L503,Table5_2[Campaign_Name], 0))</f>
        <v>Sustainability Branding</v>
      </c>
    </row>
    <row r="504" spans="1:14" x14ac:dyDescent="0.3">
      <c r="A504" s="3" t="s">
        <v>181</v>
      </c>
      <c r="B504" s="3" t="s">
        <v>18</v>
      </c>
      <c r="C504" s="2">
        <v>45516</v>
      </c>
      <c r="D504" s="3" t="s">
        <v>34</v>
      </c>
      <c r="E504" s="3" t="s">
        <v>356</v>
      </c>
      <c r="F504" s="3">
        <v>8376</v>
      </c>
      <c r="G504" s="3">
        <v>1154</v>
      </c>
      <c r="H504" s="3">
        <v>422</v>
      </c>
      <c r="I504" s="3">
        <v>1907</v>
      </c>
      <c r="J504" s="3">
        <v>36874</v>
      </c>
      <c r="K504" s="3">
        <v>218486</v>
      </c>
      <c r="L504" s="3" t="s">
        <v>25</v>
      </c>
      <c r="M504" s="4">
        <v>4.5549829279679245E-2</v>
      </c>
      <c r="N504" s="3" t="str">
        <f>INDEX(Table5_2[Objective], MATCH(L504,Table5_2[Campaign_Name], 0))</f>
        <v>Sustainability Branding</v>
      </c>
    </row>
    <row r="505" spans="1:14" x14ac:dyDescent="0.3">
      <c r="A505" s="3" t="s">
        <v>319</v>
      </c>
      <c r="B505" s="3" t="s">
        <v>40</v>
      </c>
      <c r="C505" s="2">
        <v>45786</v>
      </c>
      <c r="D505" s="3" t="s">
        <v>34</v>
      </c>
      <c r="E505" s="3" t="s">
        <v>363</v>
      </c>
      <c r="F505" s="3">
        <v>8988</v>
      </c>
      <c r="G505" s="3">
        <v>228</v>
      </c>
      <c r="H505" s="3">
        <v>766</v>
      </c>
      <c r="I505" s="3">
        <v>652</v>
      </c>
      <c r="J505" s="3">
        <v>63789</v>
      </c>
      <c r="K505" s="3">
        <v>219785</v>
      </c>
      <c r="L505" s="3" t="s">
        <v>25</v>
      </c>
      <c r="M505" s="4">
        <v>4.541711217781013E-2</v>
      </c>
      <c r="N505" s="3" t="str">
        <f>INDEX(Table5_2[Objective], MATCH(L505,Table5_2[Campaign_Name], 0))</f>
        <v>Sustainability Branding</v>
      </c>
    </row>
    <row r="506" spans="1:14" x14ac:dyDescent="0.3">
      <c r="A506" s="3" t="s">
        <v>319</v>
      </c>
      <c r="B506" s="3" t="s">
        <v>40</v>
      </c>
      <c r="C506" s="2">
        <v>45786</v>
      </c>
      <c r="D506" s="3" t="s">
        <v>34</v>
      </c>
      <c r="E506" s="3" t="s">
        <v>364</v>
      </c>
      <c r="F506" s="3">
        <v>8988</v>
      </c>
      <c r="G506" s="3">
        <v>228</v>
      </c>
      <c r="H506" s="3">
        <v>766</v>
      </c>
      <c r="I506" s="3">
        <v>652</v>
      </c>
      <c r="J506" s="3">
        <v>63789</v>
      </c>
      <c r="K506" s="3">
        <v>219785</v>
      </c>
      <c r="L506" s="3" t="s">
        <v>25</v>
      </c>
      <c r="M506" s="4">
        <v>4.541711217781013E-2</v>
      </c>
      <c r="N506" s="3" t="str">
        <f>INDEX(Table5_2[Objective], MATCH(L506,Table5_2[Campaign_Name], 0))</f>
        <v>Sustainability Branding</v>
      </c>
    </row>
    <row r="507" spans="1:14" x14ac:dyDescent="0.3">
      <c r="A507" s="3" t="s">
        <v>334</v>
      </c>
      <c r="B507" s="3" t="s">
        <v>13</v>
      </c>
      <c r="C507" s="2">
        <v>45924</v>
      </c>
      <c r="D507" s="3" t="s">
        <v>23</v>
      </c>
      <c r="E507" s="3" t="s">
        <v>365</v>
      </c>
      <c r="F507" s="3">
        <v>3342</v>
      </c>
      <c r="G507" s="3">
        <v>787</v>
      </c>
      <c r="H507" s="3">
        <v>375</v>
      </c>
      <c r="I507" s="3">
        <v>907</v>
      </c>
      <c r="J507" s="3">
        <v>85823</v>
      </c>
      <c r="K507" s="3">
        <v>99189</v>
      </c>
      <c r="L507" s="3" t="s">
        <v>20</v>
      </c>
      <c r="M507" s="4">
        <v>4.5408260996683103E-2</v>
      </c>
      <c r="N507" s="3" t="str">
        <f>INDEX(Table5_2[Objective], MATCH(L507,Table5_2[Campaign_Name], 0))</f>
        <v>Brand Engagement</v>
      </c>
    </row>
    <row r="508" spans="1:14" x14ac:dyDescent="0.3">
      <c r="A508" s="3" t="s">
        <v>334</v>
      </c>
      <c r="B508" s="3" t="s">
        <v>13</v>
      </c>
      <c r="C508" s="2">
        <v>45924</v>
      </c>
      <c r="D508" s="3" t="s">
        <v>23</v>
      </c>
      <c r="E508" s="3" t="s">
        <v>359</v>
      </c>
      <c r="F508" s="3">
        <v>3342</v>
      </c>
      <c r="G508" s="3">
        <v>787</v>
      </c>
      <c r="H508" s="3">
        <v>375</v>
      </c>
      <c r="I508" s="3">
        <v>907</v>
      </c>
      <c r="J508" s="3">
        <v>85823</v>
      </c>
      <c r="K508" s="3">
        <v>99189</v>
      </c>
      <c r="L508" s="3" t="s">
        <v>20</v>
      </c>
      <c r="M508" s="4">
        <v>4.5408260996683103E-2</v>
      </c>
      <c r="N508" s="3" t="str">
        <f>INDEX(Table5_2[Objective], MATCH(L508,Table5_2[Campaign_Name], 0))</f>
        <v>Brand Engagement</v>
      </c>
    </row>
    <row r="509" spans="1:14" x14ac:dyDescent="0.3">
      <c r="A509" s="3" t="s">
        <v>126</v>
      </c>
      <c r="B509" s="3" t="s">
        <v>40</v>
      </c>
      <c r="C509" s="2">
        <v>45446</v>
      </c>
      <c r="D509" s="3" t="s">
        <v>14</v>
      </c>
      <c r="E509" s="3" t="s">
        <v>359</v>
      </c>
      <c r="F509" s="3">
        <v>8941</v>
      </c>
      <c r="G509" s="3">
        <v>911</v>
      </c>
      <c r="H509" s="3">
        <v>166</v>
      </c>
      <c r="I509" s="3">
        <v>1217</v>
      </c>
      <c r="J509" s="3">
        <v>68817</v>
      </c>
      <c r="K509" s="3">
        <v>221180</v>
      </c>
      <c r="L509" s="3" t="s">
        <v>45</v>
      </c>
      <c r="M509" s="4">
        <v>4.5293426168731353E-2</v>
      </c>
      <c r="N509" s="3" t="str">
        <f>INDEX(Table5_2[Objective], MATCH(L509,Table5_2[Campaign_Name], 0))</f>
        <v>Product Promotion</v>
      </c>
    </row>
    <row r="510" spans="1:14" x14ac:dyDescent="0.3">
      <c r="A510" s="3" t="s">
        <v>126</v>
      </c>
      <c r="B510" s="3" t="s">
        <v>40</v>
      </c>
      <c r="C510" s="2">
        <v>45446</v>
      </c>
      <c r="D510" s="3" t="s">
        <v>14</v>
      </c>
      <c r="E510" s="3" t="s">
        <v>366</v>
      </c>
      <c r="F510" s="3">
        <v>8941</v>
      </c>
      <c r="G510" s="3">
        <v>911</v>
      </c>
      <c r="H510" s="3">
        <v>166</v>
      </c>
      <c r="I510" s="3">
        <v>1217</v>
      </c>
      <c r="J510" s="3">
        <v>68817</v>
      </c>
      <c r="K510" s="3">
        <v>221180</v>
      </c>
      <c r="L510" s="3" t="s">
        <v>45</v>
      </c>
      <c r="M510" s="4">
        <v>4.5293426168731353E-2</v>
      </c>
      <c r="N510" s="3" t="str">
        <f>INDEX(Table5_2[Objective], MATCH(L510,Table5_2[Campaign_Name], 0))</f>
        <v>Product Promotion</v>
      </c>
    </row>
    <row r="511" spans="1:14" x14ac:dyDescent="0.3">
      <c r="A511" s="3" t="s">
        <v>170</v>
      </c>
      <c r="B511" s="3" t="s">
        <v>22</v>
      </c>
      <c r="C511" s="2">
        <v>45931</v>
      </c>
      <c r="D511" s="3" t="s">
        <v>34</v>
      </c>
      <c r="E511" s="3" t="s">
        <v>32</v>
      </c>
      <c r="F511" s="3">
        <v>6188</v>
      </c>
      <c r="G511" s="3">
        <v>774</v>
      </c>
      <c r="H511" s="3">
        <v>647</v>
      </c>
      <c r="I511" s="3">
        <v>1830</v>
      </c>
      <c r="J511" s="3">
        <v>55436</v>
      </c>
      <c r="K511" s="3">
        <v>175542</v>
      </c>
      <c r="L511" s="3" t="s">
        <v>20</v>
      </c>
      <c r="M511" s="4">
        <v>4.3345752013763089E-2</v>
      </c>
      <c r="N511" s="3" t="str">
        <f>INDEX(Table5_2[Objective], MATCH(L511,Table5_2[Campaign_Name], 0))</f>
        <v>Brand Engagement</v>
      </c>
    </row>
    <row r="512" spans="1:14" x14ac:dyDescent="0.3">
      <c r="A512" s="3" t="s">
        <v>73</v>
      </c>
      <c r="B512" s="3" t="s">
        <v>22</v>
      </c>
      <c r="C512" s="2">
        <v>45705</v>
      </c>
      <c r="D512" s="3" t="s">
        <v>23</v>
      </c>
      <c r="E512" s="3" t="s">
        <v>355</v>
      </c>
      <c r="F512" s="3">
        <v>7989</v>
      </c>
      <c r="G512" s="3">
        <v>1206</v>
      </c>
      <c r="H512" s="3">
        <v>376</v>
      </c>
      <c r="I512" s="3">
        <v>2769</v>
      </c>
      <c r="J512" s="3">
        <v>27550</v>
      </c>
      <c r="K512" s="3">
        <v>221749</v>
      </c>
      <c r="L512" s="3" t="s">
        <v>25</v>
      </c>
      <c r="M512" s="4">
        <v>4.3161412227338117E-2</v>
      </c>
      <c r="N512" s="3" t="str">
        <f>INDEX(Table5_2[Objective], MATCH(L512,Table5_2[Campaign_Name], 0))</f>
        <v>Sustainability Branding</v>
      </c>
    </row>
    <row r="513" spans="1:14" x14ac:dyDescent="0.3">
      <c r="A513" s="3" t="s">
        <v>73</v>
      </c>
      <c r="B513" s="3" t="s">
        <v>22</v>
      </c>
      <c r="C513" s="2">
        <v>45705</v>
      </c>
      <c r="D513" s="3" t="s">
        <v>23</v>
      </c>
      <c r="E513" s="3" t="s">
        <v>356</v>
      </c>
      <c r="F513" s="3">
        <v>7989</v>
      </c>
      <c r="G513" s="3">
        <v>1206</v>
      </c>
      <c r="H513" s="3">
        <v>376</v>
      </c>
      <c r="I513" s="3">
        <v>2769</v>
      </c>
      <c r="J513" s="3">
        <v>27550</v>
      </c>
      <c r="K513" s="3">
        <v>221749</v>
      </c>
      <c r="L513" s="3" t="s">
        <v>25</v>
      </c>
      <c r="M513" s="4">
        <v>4.3161412227338117E-2</v>
      </c>
      <c r="N513" s="3" t="str">
        <f>INDEX(Table5_2[Objective], MATCH(L513,Table5_2[Campaign_Name], 0))</f>
        <v>Sustainability Branding</v>
      </c>
    </row>
    <row r="514" spans="1:14" x14ac:dyDescent="0.3">
      <c r="A514" s="3" t="s">
        <v>105</v>
      </c>
      <c r="B514" s="3" t="s">
        <v>40</v>
      </c>
      <c r="C514" s="2">
        <v>45749</v>
      </c>
      <c r="D514" s="3" t="s">
        <v>23</v>
      </c>
      <c r="E514" s="3" t="s">
        <v>365</v>
      </c>
      <c r="F514" s="3">
        <v>6858</v>
      </c>
      <c r="G514" s="3">
        <v>415</v>
      </c>
      <c r="H514" s="3">
        <v>366</v>
      </c>
      <c r="I514" s="3">
        <v>2761</v>
      </c>
      <c r="J514" s="3">
        <v>2988</v>
      </c>
      <c r="K514" s="3">
        <v>177348</v>
      </c>
      <c r="L514" s="3" t="s">
        <v>16</v>
      </c>
      <c r="M514" s="4">
        <v>4.3073505198818141E-2</v>
      </c>
      <c r="N514" s="3" t="str">
        <f>INDEX(Table5_2[Objective], MATCH(L514,Table5_2[Campaign_Name], 0))</f>
        <v>Health &amp; Fitness Awareness</v>
      </c>
    </row>
    <row r="515" spans="1:14" x14ac:dyDescent="0.3">
      <c r="A515" s="3" t="s">
        <v>105</v>
      </c>
      <c r="B515" s="3" t="s">
        <v>40</v>
      </c>
      <c r="C515" s="2">
        <v>45749</v>
      </c>
      <c r="D515" s="3" t="s">
        <v>23</v>
      </c>
      <c r="E515" s="3" t="s">
        <v>359</v>
      </c>
      <c r="F515" s="3">
        <v>6858</v>
      </c>
      <c r="G515" s="3">
        <v>415</v>
      </c>
      <c r="H515" s="3">
        <v>366</v>
      </c>
      <c r="I515" s="3">
        <v>2761</v>
      </c>
      <c r="J515" s="3">
        <v>2988</v>
      </c>
      <c r="K515" s="3">
        <v>177348</v>
      </c>
      <c r="L515" s="3" t="s">
        <v>16</v>
      </c>
      <c r="M515" s="4">
        <v>4.3073505198818141E-2</v>
      </c>
      <c r="N515" s="3" t="str">
        <f>INDEX(Table5_2[Objective], MATCH(L515,Table5_2[Campaign_Name], 0))</f>
        <v>Health &amp; Fitness Awareness</v>
      </c>
    </row>
    <row r="516" spans="1:14" x14ac:dyDescent="0.3">
      <c r="A516" s="3" t="s">
        <v>178</v>
      </c>
      <c r="B516" s="3" t="s">
        <v>22</v>
      </c>
      <c r="C516" s="2">
        <v>45741</v>
      </c>
      <c r="D516" s="3" t="s">
        <v>34</v>
      </c>
      <c r="E516" s="3" t="s">
        <v>357</v>
      </c>
      <c r="F516" s="3">
        <v>5900</v>
      </c>
      <c r="G516" s="3">
        <v>546</v>
      </c>
      <c r="H516" s="3">
        <v>592</v>
      </c>
      <c r="I516" s="3">
        <v>1594</v>
      </c>
      <c r="J516" s="3">
        <v>38627</v>
      </c>
      <c r="K516" s="3">
        <v>164398</v>
      </c>
      <c r="L516" s="3" t="s">
        <v>45</v>
      </c>
      <c r="M516" s="4">
        <v>4.2810739790021778E-2</v>
      </c>
      <c r="N516" s="3" t="str">
        <f>INDEX(Table5_2[Objective], MATCH(L516,Table5_2[Campaign_Name], 0))</f>
        <v>Product Promotion</v>
      </c>
    </row>
    <row r="517" spans="1:14" x14ac:dyDescent="0.3">
      <c r="A517" s="3" t="s">
        <v>178</v>
      </c>
      <c r="B517" s="3" t="s">
        <v>22</v>
      </c>
      <c r="C517" s="2">
        <v>45741</v>
      </c>
      <c r="D517" s="3" t="s">
        <v>34</v>
      </c>
      <c r="E517" s="3" t="s">
        <v>358</v>
      </c>
      <c r="F517" s="3">
        <v>5900</v>
      </c>
      <c r="G517" s="3">
        <v>546</v>
      </c>
      <c r="H517" s="3">
        <v>592</v>
      </c>
      <c r="I517" s="3">
        <v>1594</v>
      </c>
      <c r="J517" s="3">
        <v>38627</v>
      </c>
      <c r="K517" s="3">
        <v>164398</v>
      </c>
      <c r="L517" s="3" t="s">
        <v>45</v>
      </c>
      <c r="M517" s="4">
        <v>4.2810739790021778E-2</v>
      </c>
      <c r="N517" s="3" t="str">
        <f>INDEX(Table5_2[Objective], MATCH(L517,Table5_2[Campaign_Name], 0))</f>
        <v>Product Promotion</v>
      </c>
    </row>
    <row r="518" spans="1:14" x14ac:dyDescent="0.3">
      <c r="A518" s="3" t="s">
        <v>243</v>
      </c>
      <c r="B518" s="3" t="s">
        <v>18</v>
      </c>
      <c r="C518" s="2">
        <v>45655</v>
      </c>
      <c r="D518" s="3" t="s">
        <v>34</v>
      </c>
      <c r="E518" s="3" t="s">
        <v>64</v>
      </c>
      <c r="F518" s="3">
        <v>8288</v>
      </c>
      <c r="G518" s="3">
        <v>1401</v>
      </c>
      <c r="H518" s="3">
        <v>819</v>
      </c>
      <c r="I518" s="3">
        <v>1235</v>
      </c>
      <c r="J518" s="3">
        <v>33446</v>
      </c>
      <c r="K518" s="3">
        <v>248786</v>
      </c>
      <c r="L518" s="3" t="s">
        <v>16</v>
      </c>
      <c r="M518" s="4">
        <v>4.2237103373984064E-2</v>
      </c>
      <c r="N518" s="3" t="str">
        <f>INDEX(Table5_2[Objective], MATCH(L518,Table5_2[Campaign_Name], 0))</f>
        <v>Health &amp; Fitness Awareness</v>
      </c>
    </row>
    <row r="519" spans="1:14" x14ac:dyDescent="0.3">
      <c r="A519" s="3" t="s">
        <v>310</v>
      </c>
      <c r="B519" s="3" t="s">
        <v>18</v>
      </c>
      <c r="C519" s="2">
        <v>45658</v>
      </c>
      <c r="D519" s="3" t="s">
        <v>27</v>
      </c>
      <c r="E519" s="3" t="s">
        <v>361</v>
      </c>
      <c r="F519" s="3">
        <v>8283</v>
      </c>
      <c r="G519" s="3">
        <v>720</v>
      </c>
      <c r="H519" s="3">
        <v>888</v>
      </c>
      <c r="I519" s="3">
        <v>611</v>
      </c>
      <c r="J519" s="3">
        <v>52791</v>
      </c>
      <c r="K519" s="3">
        <v>235229</v>
      </c>
      <c r="L519" s="3" t="s">
        <v>16</v>
      </c>
      <c r="M519" s="4">
        <v>4.2048386891072105E-2</v>
      </c>
      <c r="N519" s="3" t="str">
        <f>INDEX(Table5_2[Objective], MATCH(L519,Table5_2[Campaign_Name], 0))</f>
        <v>Health &amp; Fitness Awareness</v>
      </c>
    </row>
    <row r="520" spans="1:14" x14ac:dyDescent="0.3">
      <c r="A520" s="3" t="s">
        <v>310</v>
      </c>
      <c r="B520" s="3" t="s">
        <v>18</v>
      </c>
      <c r="C520" s="2">
        <v>45658</v>
      </c>
      <c r="D520" s="3" t="s">
        <v>27</v>
      </c>
      <c r="E520" s="3" t="s">
        <v>362</v>
      </c>
      <c r="F520" s="3">
        <v>8283</v>
      </c>
      <c r="G520" s="3">
        <v>720</v>
      </c>
      <c r="H520" s="3">
        <v>888</v>
      </c>
      <c r="I520" s="3">
        <v>611</v>
      </c>
      <c r="J520" s="3">
        <v>52791</v>
      </c>
      <c r="K520" s="3">
        <v>235229</v>
      </c>
      <c r="L520" s="3" t="s">
        <v>16</v>
      </c>
      <c r="M520" s="4">
        <v>4.2048386891072105E-2</v>
      </c>
      <c r="N520" s="3" t="str">
        <f>INDEX(Table5_2[Objective], MATCH(L520,Table5_2[Campaign_Name], 0))</f>
        <v>Health &amp; Fitness Awareness</v>
      </c>
    </row>
    <row r="521" spans="1:14" x14ac:dyDescent="0.3">
      <c r="A521" s="3" t="s">
        <v>242</v>
      </c>
      <c r="B521" s="3" t="s">
        <v>22</v>
      </c>
      <c r="C521" s="2">
        <v>45467</v>
      </c>
      <c r="D521" s="3" t="s">
        <v>14</v>
      </c>
      <c r="E521" s="3" t="s">
        <v>359</v>
      </c>
      <c r="F521" s="3">
        <v>6632</v>
      </c>
      <c r="G521" s="3">
        <v>254</v>
      </c>
      <c r="H521" s="3">
        <v>525</v>
      </c>
      <c r="I521" s="3">
        <v>1013</v>
      </c>
      <c r="J521" s="3">
        <v>13838</v>
      </c>
      <c r="K521" s="3">
        <v>180180</v>
      </c>
      <c r="L521" s="3" t="s">
        <v>16</v>
      </c>
      <c r="M521" s="4">
        <v>4.1131091131091133E-2</v>
      </c>
      <c r="N521" s="3" t="str">
        <f>INDEX(Table5_2[Objective], MATCH(L521,Table5_2[Campaign_Name], 0))</f>
        <v>Health &amp; Fitness Awareness</v>
      </c>
    </row>
    <row r="522" spans="1:14" x14ac:dyDescent="0.3">
      <c r="A522" s="3" t="s">
        <v>242</v>
      </c>
      <c r="B522" s="3" t="s">
        <v>22</v>
      </c>
      <c r="C522" s="2">
        <v>45467</v>
      </c>
      <c r="D522" s="3" t="s">
        <v>14</v>
      </c>
      <c r="E522" s="3" t="s">
        <v>366</v>
      </c>
      <c r="F522" s="3">
        <v>6632</v>
      </c>
      <c r="G522" s="3">
        <v>254</v>
      </c>
      <c r="H522" s="3">
        <v>525</v>
      </c>
      <c r="I522" s="3">
        <v>1013</v>
      </c>
      <c r="J522" s="3">
        <v>13838</v>
      </c>
      <c r="K522" s="3">
        <v>180180</v>
      </c>
      <c r="L522" s="3" t="s">
        <v>16</v>
      </c>
      <c r="M522" s="4">
        <v>4.1131091131091133E-2</v>
      </c>
      <c r="N522" s="3" t="str">
        <f>INDEX(Table5_2[Objective], MATCH(L522,Table5_2[Campaign_Name], 0))</f>
        <v>Health &amp; Fitness Awareness</v>
      </c>
    </row>
    <row r="523" spans="1:14" x14ac:dyDescent="0.3">
      <c r="A523" s="3" t="s">
        <v>292</v>
      </c>
      <c r="B523" s="3" t="s">
        <v>13</v>
      </c>
      <c r="C523" s="2">
        <v>45917</v>
      </c>
      <c r="D523" s="3" t="s">
        <v>34</v>
      </c>
      <c r="E523" s="3" t="s">
        <v>361</v>
      </c>
      <c r="F523" s="3">
        <v>2117</v>
      </c>
      <c r="G523" s="3">
        <v>1133</v>
      </c>
      <c r="H523" s="3">
        <v>203</v>
      </c>
      <c r="I523" s="3">
        <v>1173</v>
      </c>
      <c r="J523" s="3">
        <v>40125</v>
      </c>
      <c r="K523" s="3">
        <v>85379</v>
      </c>
      <c r="L523" s="3" t="s">
        <v>20</v>
      </c>
      <c r="M523" s="4">
        <v>4.0443200318579509E-2</v>
      </c>
      <c r="N523" s="3" t="str">
        <f>INDEX(Table5_2[Objective], MATCH(L523,Table5_2[Campaign_Name], 0))</f>
        <v>Brand Engagement</v>
      </c>
    </row>
    <row r="524" spans="1:14" x14ac:dyDescent="0.3">
      <c r="A524" s="3" t="s">
        <v>292</v>
      </c>
      <c r="B524" s="3" t="s">
        <v>13</v>
      </c>
      <c r="C524" s="2">
        <v>45917</v>
      </c>
      <c r="D524" s="3" t="s">
        <v>34</v>
      </c>
      <c r="E524" s="3" t="s">
        <v>362</v>
      </c>
      <c r="F524" s="3">
        <v>2117</v>
      </c>
      <c r="G524" s="3">
        <v>1133</v>
      </c>
      <c r="H524" s="3">
        <v>203</v>
      </c>
      <c r="I524" s="3">
        <v>1173</v>
      </c>
      <c r="J524" s="3">
        <v>40125</v>
      </c>
      <c r="K524" s="3">
        <v>85379</v>
      </c>
      <c r="L524" s="3" t="s">
        <v>20</v>
      </c>
      <c r="M524" s="4">
        <v>4.0443200318579509E-2</v>
      </c>
      <c r="N524" s="3" t="str">
        <f>INDEX(Table5_2[Objective], MATCH(L524,Table5_2[Campaign_Name], 0))</f>
        <v>Brand Engagement</v>
      </c>
    </row>
    <row r="525" spans="1:14" x14ac:dyDescent="0.3">
      <c r="A525" s="3" t="s">
        <v>218</v>
      </c>
      <c r="B525" s="3" t="s">
        <v>13</v>
      </c>
      <c r="C525" s="2">
        <v>45504</v>
      </c>
      <c r="D525" s="3" t="s">
        <v>27</v>
      </c>
      <c r="E525" s="3" t="s">
        <v>357</v>
      </c>
      <c r="F525" s="3">
        <v>7122</v>
      </c>
      <c r="G525" s="3">
        <v>628</v>
      </c>
      <c r="H525" s="3">
        <v>757</v>
      </c>
      <c r="I525" s="3">
        <v>2313</v>
      </c>
      <c r="J525" s="3">
        <v>50924</v>
      </c>
      <c r="K525" s="3">
        <v>210954</v>
      </c>
      <c r="L525" s="3" t="s">
        <v>45</v>
      </c>
      <c r="M525" s="4">
        <v>4.0326327066564277E-2</v>
      </c>
      <c r="N525" s="3" t="str">
        <f>INDEX(Table5_2[Objective], MATCH(L525,Table5_2[Campaign_Name], 0))</f>
        <v>Product Promotion</v>
      </c>
    </row>
    <row r="526" spans="1:14" x14ac:dyDescent="0.3">
      <c r="A526" s="3" t="s">
        <v>218</v>
      </c>
      <c r="B526" s="3" t="s">
        <v>13</v>
      </c>
      <c r="C526" s="2">
        <v>45504</v>
      </c>
      <c r="D526" s="3" t="s">
        <v>27</v>
      </c>
      <c r="E526" s="3" t="s">
        <v>358</v>
      </c>
      <c r="F526" s="3">
        <v>7122</v>
      </c>
      <c r="G526" s="3">
        <v>628</v>
      </c>
      <c r="H526" s="3">
        <v>757</v>
      </c>
      <c r="I526" s="3">
        <v>2313</v>
      </c>
      <c r="J526" s="3">
        <v>50924</v>
      </c>
      <c r="K526" s="3">
        <v>210954</v>
      </c>
      <c r="L526" s="3" t="s">
        <v>45</v>
      </c>
      <c r="M526" s="4">
        <v>4.0326327066564277E-2</v>
      </c>
      <c r="N526" s="3" t="str">
        <f>INDEX(Table5_2[Objective], MATCH(L526,Table5_2[Campaign_Name], 0))</f>
        <v>Product Promotion</v>
      </c>
    </row>
    <row r="527" spans="1:14" x14ac:dyDescent="0.3">
      <c r="A527" s="3" t="s">
        <v>114</v>
      </c>
      <c r="B527" s="3" t="s">
        <v>13</v>
      </c>
      <c r="C527" s="2">
        <v>45922</v>
      </c>
      <c r="D527" s="3" t="s">
        <v>27</v>
      </c>
      <c r="E527" s="3" t="s">
        <v>368</v>
      </c>
      <c r="F527" s="3">
        <v>8996</v>
      </c>
      <c r="G527" s="3">
        <v>329</v>
      </c>
      <c r="H527" s="3">
        <v>378</v>
      </c>
      <c r="I527" s="3">
        <v>2384</v>
      </c>
      <c r="J527" s="3">
        <v>39404</v>
      </c>
      <c r="K527" s="3">
        <v>242724</v>
      </c>
      <c r="L527" s="3" t="s">
        <v>20</v>
      </c>
      <c r="M527" s="4">
        <v>3.9975445361810122E-2</v>
      </c>
      <c r="N527" s="3" t="str">
        <f>INDEX(Table5_2[Objective], MATCH(L527,Table5_2[Campaign_Name], 0))</f>
        <v>Brand Engagement</v>
      </c>
    </row>
    <row r="528" spans="1:14" x14ac:dyDescent="0.3">
      <c r="A528" s="3" t="s">
        <v>114</v>
      </c>
      <c r="B528" s="3" t="s">
        <v>13</v>
      </c>
      <c r="C528" s="2">
        <v>45922</v>
      </c>
      <c r="D528" s="3" t="s">
        <v>27</v>
      </c>
      <c r="E528" s="3" t="s">
        <v>369</v>
      </c>
      <c r="F528" s="3">
        <v>8996</v>
      </c>
      <c r="G528" s="3">
        <v>329</v>
      </c>
      <c r="H528" s="3">
        <v>378</v>
      </c>
      <c r="I528" s="3">
        <v>2384</v>
      </c>
      <c r="J528" s="3">
        <v>39404</v>
      </c>
      <c r="K528" s="3">
        <v>242724</v>
      </c>
      <c r="L528" s="3" t="s">
        <v>20</v>
      </c>
      <c r="M528" s="4">
        <v>3.9975445361810122E-2</v>
      </c>
      <c r="N528" s="3" t="str">
        <f>INDEX(Table5_2[Objective], MATCH(L528,Table5_2[Campaign_Name], 0))</f>
        <v>Brand Engagement</v>
      </c>
    </row>
    <row r="529" spans="1:14" x14ac:dyDescent="0.3">
      <c r="A529" s="3" t="s">
        <v>46</v>
      </c>
      <c r="B529" s="3" t="s">
        <v>13</v>
      </c>
      <c r="C529" s="2">
        <v>45906</v>
      </c>
      <c r="D529" s="3" t="s">
        <v>23</v>
      </c>
      <c r="E529" s="3" t="s">
        <v>363</v>
      </c>
      <c r="F529" s="3">
        <v>7124</v>
      </c>
      <c r="G529" s="3">
        <v>469</v>
      </c>
      <c r="H529" s="3">
        <v>851</v>
      </c>
      <c r="I529" s="3">
        <v>2571</v>
      </c>
      <c r="J529" s="3">
        <v>33802</v>
      </c>
      <c r="K529" s="3">
        <v>216313</v>
      </c>
      <c r="L529" s="3" t="s">
        <v>20</v>
      </c>
      <c r="M529" s="4">
        <v>3.9036026498638549E-2</v>
      </c>
      <c r="N529" s="3" t="str">
        <f>INDEX(Table5_2[Objective], MATCH(L529,Table5_2[Campaign_Name], 0))</f>
        <v>Brand Engagement</v>
      </c>
    </row>
    <row r="530" spans="1:14" x14ac:dyDescent="0.3">
      <c r="A530" s="3" t="s">
        <v>46</v>
      </c>
      <c r="B530" s="3" t="s">
        <v>13</v>
      </c>
      <c r="C530" s="2">
        <v>45906</v>
      </c>
      <c r="D530" s="3" t="s">
        <v>23</v>
      </c>
      <c r="E530" s="3" t="s">
        <v>364</v>
      </c>
      <c r="F530" s="3">
        <v>7124</v>
      </c>
      <c r="G530" s="3">
        <v>469</v>
      </c>
      <c r="H530" s="3">
        <v>851</v>
      </c>
      <c r="I530" s="3">
        <v>2571</v>
      </c>
      <c r="J530" s="3">
        <v>33802</v>
      </c>
      <c r="K530" s="3">
        <v>216313</v>
      </c>
      <c r="L530" s="3" t="s">
        <v>20</v>
      </c>
      <c r="M530" s="4">
        <v>3.9036026498638549E-2</v>
      </c>
      <c r="N530" s="3" t="str">
        <f>INDEX(Table5_2[Objective], MATCH(L530,Table5_2[Campaign_Name], 0))</f>
        <v>Brand Engagement</v>
      </c>
    </row>
    <row r="531" spans="1:14" x14ac:dyDescent="0.3">
      <c r="A531" s="3" t="s">
        <v>311</v>
      </c>
      <c r="B531" s="3" t="s">
        <v>22</v>
      </c>
      <c r="C531" s="2">
        <v>45509</v>
      </c>
      <c r="D531" s="3" t="s">
        <v>23</v>
      </c>
      <c r="E531" s="3" t="s">
        <v>363</v>
      </c>
      <c r="F531" s="3">
        <v>4048</v>
      </c>
      <c r="G531" s="3">
        <v>751</v>
      </c>
      <c r="H531" s="3">
        <v>930</v>
      </c>
      <c r="I531" s="3">
        <v>1382</v>
      </c>
      <c r="J531" s="3">
        <v>16844</v>
      </c>
      <c r="K531" s="3">
        <v>148177</v>
      </c>
      <c r="L531" s="3" t="s">
        <v>29</v>
      </c>
      <c r="M531" s="4">
        <v>3.8663220337839206E-2</v>
      </c>
      <c r="N531" s="3" t="str">
        <f>INDEX(Table5_2[Objective], MATCH(L531,Table5_2[Campaign_Name], 0))</f>
        <v>Product Launch</v>
      </c>
    </row>
    <row r="532" spans="1:14" x14ac:dyDescent="0.3">
      <c r="A532" s="3" t="s">
        <v>311</v>
      </c>
      <c r="B532" s="3" t="s">
        <v>22</v>
      </c>
      <c r="C532" s="2">
        <v>45509</v>
      </c>
      <c r="D532" s="3" t="s">
        <v>23</v>
      </c>
      <c r="E532" s="3" t="s">
        <v>364</v>
      </c>
      <c r="F532" s="3">
        <v>4048</v>
      </c>
      <c r="G532" s="3">
        <v>751</v>
      </c>
      <c r="H532" s="3">
        <v>930</v>
      </c>
      <c r="I532" s="3">
        <v>1382</v>
      </c>
      <c r="J532" s="3">
        <v>16844</v>
      </c>
      <c r="K532" s="3">
        <v>148177</v>
      </c>
      <c r="L532" s="3" t="s">
        <v>29</v>
      </c>
      <c r="M532" s="4">
        <v>3.8663220337839206E-2</v>
      </c>
      <c r="N532" s="3" t="str">
        <f>INDEX(Table5_2[Objective], MATCH(L532,Table5_2[Campaign_Name], 0))</f>
        <v>Product Launch</v>
      </c>
    </row>
    <row r="533" spans="1:14" x14ac:dyDescent="0.3">
      <c r="A533" s="3" t="s">
        <v>177</v>
      </c>
      <c r="B533" s="3" t="s">
        <v>18</v>
      </c>
      <c r="C533" s="2">
        <v>45933</v>
      </c>
      <c r="D533" s="3" t="s">
        <v>14</v>
      </c>
      <c r="E533" s="3" t="s">
        <v>365</v>
      </c>
      <c r="F533" s="3">
        <v>6777</v>
      </c>
      <c r="G533" s="3">
        <v>617</v>
      </c>
      <c r="H533" s="3">
        <v>551</v>
      </c>
      <c r="I533" s="3">
        <v>2109</v>
      </c>
      <c r="J533" s="3">
        <v>18559</v>
      </c>
      <c r="K533" s="3">
        <v>208452</v>
      </c>
      <c r="L533" s="3" t="s">
        <v>20</v>
      </c>
      <c r="M533" s="4">
        <v>3.8114290100358834E-2</v>
      </c>
      <c r="N533" s="3" t="str">
        <f>INDEX(Table5_2[Objective], MATCH(L533,Table5_2[Campaign_Name], 0))</f>
        <v>Brand Engagement</v>
      </c>
    </row>
    <row r="534" spans="1:14" x14ac:dyDescent="0.3">
      <c r="A534" s="3" t="s">
        <v>177</v>
      </c>
      <c r="B534" s="3" t="s">
        <v>18</v>
      </c>
      <c r="C534" s="2">
        <v>45933</v>
      </c>
      <c r="D534" s="3" t="s">
        <v>14</v>
      </c>
      <c r="E534" s="3" t="s">
        <v>359</v>
      </c>
      <c r="F534" s="3">
        <v>6777</v>
      </c>
      <c r="G534" s="3">
        <v>617</v>
      </c>
      <c r="H534" s="3">
        <v>551</v>
      </c>
      <c r="I534" s="3">
        <v>2109</v>
      </c>
      <c r="J534" s="3">
        <v>18559</v>
      </c>
      <c r="K534" s="3">
        <v>208452</v>
      </c>
      <c r="L534" s="3" t="s">
        <v>20</v>
      </c>
      <c r="M534" s="4">
        <v>3.8114290100358834E-2</v>
      </c>
      <c r="N534" s="3" t="str">
        <f>INDEX(Table5_2[Objective], MATCH(L534,Table5_2[Campaign_Name], 0))</f>
        <v>Brand Engagement</v>
      </c>
    </row>
    <row r="535" spans="1:14" x14ac:dyDescent="0.3">
      <c r="A535" s="3" t="s">
        <v>78</v>
      </c>
      <c r="B535" s="3" t="s">
        <v>40</v>
      </c>
      <c r="C535" s="2">
        <v>45916</v>
      </c>
      <c r="D535" s="3" t="s">
        <v>23</v>
      </c>
      <c r="E535" s="3" t="s">
        <v>64</v>
      </c>
      <c r="F535" s="3">
        <v>6809</v>
      </c>
      <c r="G535" s="3">
        <v>397</v>
      </c>
      <c r="H535" s="3">
        <v>813</v>
      </c>
      <c r="I535" s="3">
        <v>1125</v>
      </c>
      <c r="J535" s="3">
        <v>12206</v>
      </c>
      <c r="K535" s="3">
        <v>218136</v>
      </c>
      <c r="L535" s="3" t="s">
        <v>20</v>
      </c>
      <c r="M535" s="4">
        <v>3.6761469908680823E-2</v>
      </c>
      <c r="N535" s="3" t="str">
        <f>INDEX(Table5_2[Objective], MATCH(L535,Table5_2[Campaign_Name], 0))</f>
        <v>Brand Engagement</v>
      </c>
    </row>
    <row r="536" spans="1:14" x14ac:dyDescent="0.3">
      <c r="A536" s="3" t="s">
        <v>317</v>
      </c>
      <c r="B536" s="3" t="s">
        <v>18</v>
      </c>
      <c r="C536" s="2">
        <v>45738</v>
      </c>
      <c r="D536" s="3" t="s">
        <v>27</v>
      </c>
      <c r="E536" s="3" t="s">
        <v>359</v>
      </c>
      <c r="F536" s="3">
        <v>3917</v>
      </c>
      <c r="G536" s="3">
        <v>865</v>
      </c>
      <c r="H536" s="3">
        <v>759</v>
      </c>
      <c r="I536" s="3">
        <v>2282</v>
      </c>
      <c r="J536" s="3">
        <v>56125</v>
      </c>
      <c r="K536" s="3">
        <v>154014</v>
      </c>
      <c r="L536" s="3" t="s">
        <v>16</v>
      </c>
      <c r="M536" s="4">
        <v>3.5977248821535704E-2</v>
      </c>
      <c r="N536" s="3" t="str">
        <f>INDEX(Table5_2[Objective], MATCH(L536,Table5_2[Campaign_Name], 0))</f>
        <v>Health &amp; Fitness Awareness</v>
      </c>
    </row>
    <row r="537" spans="1:14" x14ac:dyDescent="0.3">
      <c r="A537" s="3" t="s">
        <v>317</v>
      </c>
      <c r="B537" s="3" t="s">
        <v>18</v>
      </c>
      <c r="C537" s="2">
        <v>45738</v>
      </c>
      <c r="D537" s="3" t="s">
        <v>27</v>
      </c>
      <c r="E537" s="3" t="s">
        <v>366</v>
      </c>
      <c r="F537" s="3">
        <v>3917</v>
      </c>
      <c r="G537" s="3">
        <v>865</v>
      </c>
      <c r="H537" s="3">
        <v>759</v>
      </c>
      <c r="I537" s="3">
        <v>2282</v>
      </c>
      <c r="J537" s="3">
        <v>56125</v>
      </c>
      <c r="K537" s="3">
        <v>154014</v>
      </c>
      <c r="L537" s="3" t="s">
        <v>16</v>
      </c>
      <c r="M537" s="4">
        <v>3.5977248821535704E-2</v>
      </c>
      <c r="N537" s="3" t="str">
        <f>INDEX(Table5_2[Objective], MATCH(L537,Table5_2[Campaign_Name], 0))</f>
        <v>Health &amp; Fitness Awareness</v>
      </c>
    </row>
    <row r="538" spans="1:14" x14ac:dyDescent="0.3">
      <c r="A538" s="3" t="s">
        <v>316</v>
      </c>
      <c r="B538" s="3" t="s">
        <v>40</v>
      </c>
      <c r="C538" s="2">
        <v>45918</v>
      </c>
      <c r="D538" s="3" t="s">
        <v>27</v>
      </c>
      <c r="E538" s="3" t="s">
        <v>361</v>
      </c>
      <c r="F538" s="3">
        <v>3828</v>
      </c>
      <c r="G538" s="3">
        <v>203</v>
      </c>
      <c r="H538" s="3">
        <v>506</v>
      </c>
      <c r="I538" s="3">
        <v>2440</v>
      </c>
      <c r="J538" s="3">
        <v>63650</v>
      </c>
      <c r="K538" s="3">
        <v>126365</v>
      </c>
      <c r="L538" s="3" t="s">
        <v>20</v>
      </c>
      <c r="M538" s="4">
        <v>3.5903929094290347E-2</v>
      </c>
      <c r="N538" s="3" t="str">
        <f>INDEX(Table5_2[Objective], MATCH(L538,Table5_2[Campaign_Name], 0))</f>
        <v>Brand Engagement</v>
      </c>
    </row>
    <row r="539" spans="1:14" x14ac:dyDescent="0.3">
      <c r="A539" s="3" t="s">
        <v>316</v>
      </c>
      <c r="B539" s="3" t="s">
        <v>40</v>
      </c>
      <c r="C539" s="2">
        <v>45918</v>
      </c>
      <c r="D539" s="3" t="s">
        <v>27</v>
      </c>
      <c r="E539" s="3" t="s">
        <v>362</v>
      </c>
      <c r="F539" s="3">
        <v>3828</v>
      </c>
      <c r="G539" s="3">
        <v>203</v>
      </c>
      <c r="H539" s="3">
        <v>506</v>
      </c>
      <c r="I539" s="3">
        <v>2440</v>
      </c>
      <c r="J539" s="3">
        <v>63650</v>
      </c>
      <c r="K539" s="3">
        <v>126365</v>
      </c>
      <c r="L539" s="3" t="s">
        <v>20</v>
      </c>
      <c r="M539" s="4">
        <v>3.5903929094290347E-2</v>
      </c>
      <c r="N539" s="3" t="str">
        <f>INDEX(Table5_2[Objective], MATCH(L539,Table5_2[Campaign_Name], 0))</f>
        <v>Brand Engagement</v>
      </c>
    </row>
    <row r="540" spans="1:14" x14ac:dyDescent="0.3">
      <c r="A540" s="3" t="s">
        <v>214</v>
      </c>
      <c r="B540" s="3" t="s">
        <v>13</v>
      </c>
      <c r="C540" s="2">
        <v>45940</v>
      </c>
      <c r="D540" s="3" t="s">
        <v>34</v>
      </c>
      <c r="E540" s="3" t="s">
        <v>357</v>
      </c>
      <c r="F540" s="3">
        <v>6621</v>
      </c>
      <c r="G540" s="3">
        <v>922</v>
      </c>
      <c r="H540" s="3">
        <v>930</v>
      </c>
      <c r="I540" s="3">
        <v>694</v>
      </c>
      <c r="J540" s="3">
        <v>839</v>
      </c>
      <c r="K540" s="3">
        <v>243532</v>
      </c>
      <c r="L540" s="3" t="s">
        <v>20</v>
      </c>
      <c r="M540" s="4">
        <v>3.479214230573395E-2</v>
      </c>
      <c r="N540" s="3" t="str">
        <f>INDEX(Table5_2[Objective], MATCH(L540,Table5_2[Campaign_Name], 0))</f>
        <v>Brand Engagement</v>
      </c>
    </row>
    <row r="541" spans="1:14" x14ac:dyDescent="0.3">
      <c r="A541" s="3" t="s">
        <v>214</v>
      </c>
      <c r="B541" s="3" t="s">
        <v>13</v>
      </c>
      <c r="C541" s="2">
        <v>45940</v>
      </c>
      <c r="D541" s="3" t="s">
        <v>34</v>
      </c>
      <c r="E541" s="3" t="s">
        <v>358</v>
      </c>
      <c r="F541" s="3">
        <v>6621</v>
      </c>
      <c r="G541" s="3">
        <v>922</v>
      </c>
      <c r="H541" s="3">
        <v>930</v>
      </c>
      <c r="I541" s="3">
        <v>694</v>
      </c>
      <c r="J541" s="3">
        <v>839</v>
      </c>
      <c r="K541" s="3">
        <v>243532</v>
      </c>
      <c r="L541" s="3" t="s">
        <v>20</v>
      </c>
      <c r="M541" s="4">
        <v>3.479214230573395E-2</v>
      </c>
      <c r="N541" s="3" t="str">
        <f>INDEX(Table5_2[Objective], MATCH(L541,Table5_2[Campaign_Name], 0))</f>
        <v>Brand Engagement</v>
      </c>
    </row>
    <row r="542" spans="1:14" x14ac:dyDescent="0.3">
      <c r="A542" s="3" t="s">
        <v>217</v>
      </c>
      <c r="B542" s="3" t="s">
        <v>22</v>
      </c>
      <c r="C542" s="2">
        <v>45942</v>
      </c>
      <c r="D542" s="3" t="s">
        <v>34</v>
      </c>
      <c r="E542" s="3" t="s">
        <v>363</v>
      </c>
      <c r="F542" s="3">
        <v>7126</v>
      </c>
      <c r="G542" s="3">
        <v>484</v>
      </c>
      <c r="H542" s="3">
        <v>565</v>
      </c>
      <c r="I542" s="3">
        <v>573</v>
      </c>
      <c r="J542" s="3">
        <v>7389</v>
      </c>
      <c r="K542" s="3">
        <v>237096</v>
      </c>
      <c r="L542" s="3" t="s">
        <v>20</v>
      </c>
      <c r="M542" s="4">
        <v>3.4479704423524646E-2</v>
      </c>
      <c r="N542" s="3" t="str">
        <f>INDEX(Table5_2[Objective], MATCH(L542,Table5_2[Campaign_Name], 0))</f>
        <v>Brand Engagement</v>
      </c>
    </row>
    <row r="543" spans="1:14" x14ac:dyDescent="0.3">
      <c r="A543" s="3" t="s">
        <v>217</v>
      </c>
      <c r="B543" s="3" t="s">
        <v>22</v>
      </c>
      <c r="C543" s="2">
        <v>45942</v>
      </c>
      <c r="D543" s="3" t="s">
        <v>34</v>
      </c>
      <c r="E543" s="3" t="s">
        <v>364</v>
      </c>
      <c r="F543" s="3">
        <v>7126</v>
      </c>
      <c r="G543" s="3">
        <v>484</v>
      </c>
      <c r="H543" s="3">
        <v>565</v>
      </c>
      <c r="I543" s="3">
        <v>573</v>
      </c>
      <c r="J543" s="3">
        <v>7389</v>
      </c>
      <c r="K543" s="3">
        <v>237096</v>
      </c>
      <c r="L543" s="3" t="s">
        <v>20</v>
      </c>
      <c r="M543" s="4">
        <v>3.4479704423524646E-2</v>
      </c>
      <c r="N543" s="3" t="str">
        <f>INDEX(Table5_2[Objective], MATCH(L543,Table5_2[Campaign_Name], 0))</f>
        <v>Brand Engagement</v>
      </c>
    </row>
    <row r="544" spans="1:14" x14ac:dyDescent="0.3">
      <c r="A544" s="3" t="s">
        <v>146</v>
      </c>
      <c r="B544" s="3" t="s">
        <v>13</v>
      </c>
      <c r="C544" s="2">
        <v>45502</v>
      </c>
      <c r="D544" s="3" t="s">
        <v>27</v>
      </c>
      <c r="E544" s="3" t="s">
        <v>363</v>
      </c>
      <c r="F544" s="3">
        <v>6164</v>
      </c>
      <c r="G544" s="3">
        <v>326</v>
      </c>
      <c r="H544" s="3">
        <v>615</v>
      </c>
      <c r="I544" s="3">
        <v>2806</v>
      </c>
      <c r="J544" s="3">
        <v>38579</v>
      </c>
      <c r="K544" s="3">
        <v>206129</v>
      </c>
      <c r="L544" s="3" t="s">
        <v>45</v>
      </c>
      <c r="M544" s="4">
        <v>3.4468706489625425E-2</v>
      </c>
      <c r="N544" s="3" t="str">
        <f>INDEX(Table5_2[Objective], MATCH(L544,Table5_2[Campaign_Name], 0))</f>
        <v>Product Promotion</v>
      </c>
    </row>
    <row r="545" spans="1:14" x14ac:dyDescent="0.3">
      <c r="A545" s="3" t="s">
        <v>146</v>
      </c>
      <c r="B545" s="3" t="s">
        <v>13</v>
      </c>
      <c r="C545" s="2">
        <v>45502</v>
      </c>
      <c r="D545" s="3" t="s">
        <v>27</v>
      </c>
      <c r="E545" s="3" t="s">
        <v>364</v>
      </c>
      <c r="F545" s="3">
        <v>6164</v>
      </c>
      <c r="G545" s="3">
        <v>326</v>
      </c>
      <c r="H545" s="3">
        <v>615</v>
      </c>
      <c r="I545" s="3">
        <v>2806</v>
      </c>
      <c r="J545" s="3">
        <v>38579</v>
      </c>
      <c r="K545" s="3">
        <v>206129</v>
      </c>
      <c r="L545" s="3" t="s">
        <v>45</v>
      </c>
      <c r="M545" s="4">
        <v>3.4468706489625425E-2</v>
      </c>
      <c r="N545" s="3" t="str">
        <f>INDEX(Table5_2[Objective], MATCH(L545,Table5_2[Campaign_Name], 0))</f>
        <v>Product Promotion</v>
      </c>
    </row>
    <row r="546" spans="1:14" x14ac:dyDescent="0.3">
      <c r="A546" s="3" t="s">
        <v>328</v>
      </c>
      <c r="B546" s="3" t="s">
        <v>13</v>
      </c>
      <c r="C546" s="2">
        <v>45613</v>
      </c>
      <c r="D546" s="3" t="s">
        <v>34</v>
      </c>
      <c r="E546" s="3" t="s">
        <v>361</v>
      </c>
      <c r="F546" s="3">
        <v>4219</v>
      </c>
      <c r="G546" s="3">
        <v>240</v>
      </c>
      <c r="H546" s="3">
        <v>670</v>
      </c>
      <c r="I546" s="3">
        <v>815</v>
      </c>
      <c r="J546" s="3">
        <v>11978</v>
      </c>
      <c r="K546" s="3">
        <v>159735</v>
      </c>
      <c r="L546" s="3" t="s">
        <v>29</v>
      </c>
      <c r="M546" s="4">
        <v>3.2109431245500357E-2</v>
      </c>
      <c r="N546" s="3" t="str">
        <f>INDEX(Table5_2[Objective], MATCH(L546,Table5_2[Campaign_Name], 0))</f>
        <v>Product Launch</v>
      </c>
    </row>
    <row r="547" spans="1:14" x14ac:dyDescent="0.3">
      <c r="A547" s="3" t="s">
        <v>328</v>
      </c>
      <c r="B547" s="3" t="s">
        <v>13</v>
      </c>
      <c r="C547" s="2">
        <v>45613</v>
      </c>
      <c r="D547" s="3" t="s">
        <v>34</v>
      </c>
      <c r="E547" s="3" t="s">
        <v>362</v>
      </c>
      <c r="F547" s="3">
        <v>4219</v>
      </c>
      <c r="G547" s="3">
        <v>240</v>
      </c>
      <c r="H547" s="3">
        <v>670</v>
      </c>
      <c r="I547" s="3">
        <v>815</v>
      </c>
      <c r="J547" s="3">
        <v>11978</v>
      </c>
      <c r="K547" s="3">
        <v>159735</v>
      </c>
      <c r="L547" s="3" t="s">
        <v>29</v>
      </c>
      <c r="M547" s="4">
        <v>3.2109431245500357E-2</v>
      </c>
      <c r="N547" s="3" t="str">
        <f>INDEX(Table5_2[Objective], MATCH(L547,Table5_2[Campaign_Name], 0))</f>
        <v>Product Launch</v>
      </c>
    </row>
    <row r="548" spans="1:14" x14ac:dyDescent="0.3">
      <c r="A548" s="3" t="s">
        <v>309</v>
      </c>
      <c r="B548" s="3" t="s">
        <v>18</v>
      </c>
      <c r="C548" s="2">
        <v>45577</v>
      </c>
      <c r="D548" s="3" t="s">
        <v>14</v>
      </c>
      <c r="E548" s="3" t="s">
        <v>368</v>
      </c>
      <c r="F548" s="3">
        <v>6208</v>
      </c>
      <c r="G548" s="3">
        <v>725</v>
      </c>
      <c r="H548" s="3">
        <v>309</v>
      </c>
      <c r="I548" s="3">
        <v>848</v>
      </c>
      <c r="J548" s="3">
        <v>39319</v>
      </c>
      <c r="K548" s="3">
        <v>225763</v>
      </c>
      <c r="L548" s="3" t="s">
        <v>16</v>
      </c>
      <c r="M548" s="4">
        <v>3.207788698768177E-2</v>
      </c>
      <c r="N548" s="3" t="str">
        <f>INDEX(Table5_2[Objective], MATCH(L548,Table5_2[Campaign_Name], 0))</f>
        <v>Health &amp; Fitness Awareness</v>
      </c>
    </row>
    <row r="549" spans="1:14" x14ac:dyDescent="0.3">
      <c r="A549" s="3" t="s">
        <v>309</v>
      </c>
      <c r="B549" s="3" t="s">
        <v>18</v>
      </c>
      <c r="C549" s="2">
        <v>45577</v>
      </c>
      <c r="D549" s="3" t="s">
        <v>14</v>
      </c>
      <c r="E549" s="3" t="s">
        <v>369</v>
      </c>
      <c r="F549" s="3">
        <v>6208</v>
      </c>
      <c r="G549" s="3">
        <v>725</v>
      </c>
      <c r="H549" s="3">
        <v>309</v>
      </c>
      <c r="I549" s="3">
        <v>848</v>
      </c>
      <c r="J549" s="3">
        <v>39319</v>
      </c>
      <c r="K549" s="3">
        <v>225763</v>
      </c>
      <c r="L549" s="3" t="s">
        <v>16</v>
      </c>
      <c r="M549" s="4">
        <v>3.207788698768177E-2</v>
      </c>
      <c r="N549" s="3" t="str">
        <f>INDEX(Table5_2[Objective], MATCH(L549,Table5_2[Campaign_Name], 0))</f>
        <v>Health &amp; Fitness Awareness</v>
      </c>
    </row>
    <row r="550" spans="1:14" x14ac:dyDescent="0.3">
      <c r="A550" s="3" t="s">
        <v>283</v>
      </c>
      <c r="B550" s="3" t="s">
        <v>22</v>
      </c>
      <c r="C550" s="2">
        <v>45531</v>
      </c>
      <c r="D550" s="3" t="s">
        <v>14</v>
      </c>
      <c r="E550" s="3" t="s">
        <v>64</v>
      </c>
      <c r="F550" s="3">
        <v>6324</v>
      </c>
      <c r="G550" s="3">
        <v>908</v>
      </c>
      <c r="H550" s="3">
        <v>375</v>
      </c>
      <c r="I550" s="3">
        <v>758</v>
      </c>
      <c r="J550" s="3">
        <v>34850</v>
      </c>
      <c r="K550" s="3">
        <v>241039</v>
      </c>
      <c r="L550" s="3" t="s">
        <v>16</v>
      </c>
      <c r="M550" s="4">
        <v>3.1559208260903839E-2</v>
      </c>
      <c r="N550" s="3" t="str">
        <f>INDEX(Table5_2[Objective], MATCH(L550,Table5_2[Campaign_Name], 0))</f>
        <v>Health &amp; Fitness Awareness</v>
      </c>
    </row>
    <row r="551" spans="1:14" x14ac:dyDescent="0.3">
      <c r="A551" s="3" t="s">
        <v>209</v>
      </c>
      <c r="B551" s="3" t="s">
        <v>13</v>
      </c>
      <c r="C551" s="2">
        <v>45631</v>
      </c>
      <c r="D551" s="3" t="s">
        <v>23</v>
      </c>
      <c r="E551" s="3" t="s">
        <v>359</v>
      </c>
      <c r="F551" s="3">
        <v>4125</v>
      </c>
      <c r="G551" s="3">
        <v>1364</v>
      </c>
      <c r="H551" s="3">
        <v>319</v>
      </c>
      <c r="I551" s="3">
        <v>2848</v>
      </c>
      <c r="J551" s="3">
        <v>15379</v>
      </c>
      <c r="K551" s="3">
        <v>188159</v>
      </c>
      <c r="L551" s="3" t="s">
        <v>45</v>
      </c>
      <c r="M551" s="4">
        <v>3.0867510988047343E-2</v>
      </c>
      <c r="N551" s="3" t="str">
        <f>INDEX(Table5_2[Objective], MATCH(L551,Table5_2[Campaign_Name], 0))</f>
        <v>Product Promotion</v>
      </c>
    </row>
    <row r="552" spans="1:14" x14ac:dyDescent="0.3">
      <c r="A552" s="3" t="s">
        <v>209</v>
      </c>
      <c r="B552" s="3" t="s">
        <v>13</v>
      </c>
      <c r="C552" s="2">
        <v>45631</v>
      </c>
      <c r="D552" s="3" t="s">
        <v>23</v>
      </c>
      <c r="E552" s="3" t="s">
        <v>366</v>
      </c>
      <c r="F552" s="3">
        <v>4125</v>
      </c>
      <c r="G552" s="3">
        <v>1364</v>
      </c>
      <c r="H552" s="3">
        <v>319</v>
      </c>
      <c r="I552" s="3">
        <v>2848</v>
      </c>
      <c r="J552" s="3">
        <v>15379</v>
      </c>
      <c r="K552" s="3">
        <v>188159</v>
      </c>
      <c r="L552" s="3" t="s">
        <v>45</v>
      </c>
      <c r="M552" s="4">
        <v>3.0867510988047343E-2</v>
      </c>
      <c r="N552" s="3" t="str">
        <f>INDEX(Table5_2[Objective], MATCH(L552,Table5_2[Campaign_Name], 0))</f>
        <v>Product Promotion</v>
      </c>
    </row>
    <row r="553" spans="1:14" x14ac:dyDescent="0.3">
      <c r="A553" s="3" t="s">
        <v>229</v>
      </c>
      <c r="B553" s="3" t="s">
        <v>22</v>
      </c>
      <c r="C553" s="2">
        <v>45546</v>
      </c>
      <c r="D553" s="3" t="s">
        <v>14</v>
      </c>
      <c r="E553" s="3" t="s">
        <v>363</v>
      </c>
      <c r="F553" s="3">
        <v>3906</v>
      </c>
      <c r="G553" s="3">
        <v>1187</v>
      </c>
      <c r="H553" s="3">
        <v>589</v>
      </c>
      <c r="I553" s="3">
        <v>401</v>
      </c>
      <c r="J553" s="3">
        <v>52687</v>
      </c>
      <c r="K553" s="3">
        <v>196498</v>
      </c>
      <c r="L553" s="3" t="s">
        <v>16</v>
      </c>
      <c r="M553" s="4">
        <v>2.8916324848090057E-2</v>
      </c>
      <c r="N553" s="3" t="str">
        <f>INDEX(Table5_2[Objective], MATCH(L553,Table5_2[Campaign_Name], 0))</f>
        <v>Health &amp; Fitness Awareness</v>
      </c>
    </row>
    <row r="554" spans="1:14" x14ac:dyDescent="0.3">
      <c r="A554" s="3" t="s">
        <v>229</v>
      </c>
      <c r="B554" s="3" t="s">
        <v>22</v>
      </c>
      <c r="C554" s="2">
        <v>45546</v>
      </c>
      <c r="D554" s="3" t="s">
        <v>14</v>
      </c>
      <c r="E554" s="3" t="s">
        <v>364</v>
      </c>
      <c r="F554" s="3">
        <v>3906</v>
      </c>
      <c r="G554" s="3">
        <v>1187</v>
      </c>
      <c r="H554" s="3">
        <v>589</v>
      </c>
      <c r="I554" s="3">
        <v>401</v>
      </c>
      <c r="J554" s="3">
        <v>52687</v>
      </c>
      <c r="K554" s="3">
        <v>196498</v>
      </c>
      <c r="L554" s="3" t="s">
        <v>16</v>
      </c>
      <c r="M554" s="4">
        <v>2.8916324848090057E-2</v>
      </c>
      <c r="N554" s="3" t="str">
        <f>INDEX(Table5_2[Objective], MATCH(L554,Table5_2[Campaign_Name], 0))</f>
        <v>Health &amp; Fitness Awareness</v>
      </c>
    </row>
    <row r="555" spans="1:14" x14ac:dyDescent="0.3">
      <c r="A555" s="3" t="s">
        <v>281</v>
      </c>
      <c r="B555" s="3" t="s">
        <v>13</v>
      </c>
      <c r="C555" s="2">
        <v>45669</v>
      </c>
      <c r="D555" s="3" t="s">
        <v>14</v>
      </c>
      <c r="E555" s="3" t="s">
        <v>359</v>
      </c>
      <c r="F555" s="3">
        <v>4590</v>
      </c>
      <c r="G555" s="3">
        <v>713</v>
      </c>
      <c r="H555" s="3">
        <v>479</v>
      </c>
      <c r="I555" s="3">
        <v>2730</v>
      </c>
      <c r="J555" s="3">
        <v>41050</v>
      </c>
      <c r="K555" s="3">
        <v>204246</v>
      </c>
      <c r="L555" s="3" t="s">
        <v>25</v>
      </c>
      <c r="M555" s="4">
        <v>2.8308999931455206E-2</v>
      </c>
      <c r="N555" s="3" t="str">
        <f>INDEX(Table5_2[Objective], MATCH(L555,Table5_2[Campaign_Name], 0))</f>
        <v>Sustainability Branding</v>
      </c>
    </row>
    <row r="556" spans="1:14" x14ac:dyDescent="0.3">
      <c r="A556" s="3" t="s">
        <v>281</v>
      </c>
      <c r="B556" s="3" t="s">
        <v>13</v>
      </c>
      <c r="C556" s="2">
        <v>45669</v>
      </c>
      <c r="D556" s="3" t="s">
        <v>14</v>
      </c>
      <c r="E556" s="3" t="s">
        <v>360</v>
      </c>
      <c r="F556" s="3">
        <v>4590</v>
      </c>
      <c r="G556" s="3">
        <v>713</v>
      </c>
      <c r="H556" s="3">
        <v>479</v>
      </c>
      <c r="I556" s="3">
        <v>2730</v>
      </c>
      <c r="J556" s="3">
        <v>41050</v>
      </c>
      <c r="K556" s="3">
        <v>204246</v>
      </c>
      <c r="L556" s="3" t="s">
        <v>25</v>
      </c>
      <c r="M556" s="4">
        <v>2.8308999931455206E-2</v>
      </c>
      <c r="N556" s="3" t="str">
        <f>INDEX(Table5_2[Objective], MATCH(L556,Table5_2[Campaign_Name], 0))</f>
        <v>Sustainability Branding</v>
      </c>
    </row>
    <row r="557" spans="1:14" x14ac:dyDescent="0.3">
      <c r="A557" s="3" t="s">
        <v>272</v>
      </c>
      <c r="B557" s="3" t="s">
        <v>18</v>
      </c>
      <c r="C557" s="2">
        <v>45523</v>
      </c>
      <c r="D557" s="3" t="s">
        <v>27</v>
      </c>
      <c r="E557" s="3" t="s">
        <v>367</v>
      </c>
      <c r="F557" s="3">
        <v>3605</v>
      </c>
      <c r="G557" s="3">
        <v>206</v>
      </c>
      <c r="H557" s="3">
        <v>921</v>
      </c>
      <c r="I557" s="3">
        <v>852</v>
      </c>
      <c r="J557" s="3">
        <v>11660</v>
      </c>
      <c r="K557" s="3">
        <v>182635</v>
      </c>
      <c r="L557" s="3" t="s">
        <v>29</v>
      </c>
      <c r="M557" s="4">
        <v>2.590960111698196E-2</v>
      </c>
      <c r="N557" s="3" t="str">
        <f>INDEX(Table5_2[Objective], MATCH(L557,Table5_2[Campaign_Name], 0))</f>
        <v>Product Launch</v>
      </c>
    </row>
    <row r="558" spans="1:14" x14ac:dyDescent="0.3">
      <c r="A558" s="3" t="s">
        <v>272</v>
      </c>
      <c r="B558" s="3" t="s">
        <v>18</v>
      </c>
      <c r="C558" s="2">
        <v>45523</v>
      </c>
      <c r="D558" s="3" t="s">
        <v>27</v>
      </c>
      <c r="E558" s="3" t="s">
        <v>32</v>
      </c>
      <c r="F558" s="3">
        <v>3605</v>
      </c>
      <c r="G558" s="3">
        <v>206</v>
      </c>
      <c r="H558" s="3">
        <v>921</v>
      </c>
      <c r="I558" s="3">
        <v>852</v>
      </c>
      <c r="J558" s="3">
        <v>11660</v>
      </c>
      <c r="K558" s="3">
        <v>182635</v>
      </c>
      <c r="L558" s="3" t="s">
        <v>29</v>
      </c>
      <c r="M558" s="4">
        <v>2.590960111698196E-2</v>
      </c>
      <c r="N558" s="3" t="str">
        <f>INDEX(Table5_2[Objective], MATCH(L558,Table5_2[Campaign_Name], 0))</f>
        <v>Product Launch</v>
      </c>
    </row>
    <row r="559" spans="1:14" x14ac:dyDescent="0.3">
      <c r="A559" s="3" t="s">
        <v>76</v>
      </c>
      <c r="B559" s="3" t="s">
        <v>13</v>
      </c>
      <c r="C559" s="2">
        <v>45915</v>
      </c>
      <c r="D559" s="3" t="s">
        <v>23</v>
      </c>
      <c r="E559" s="3" t="s">
        <v>355</v>
      </c>
      <c r="F559" s="3">
        <v>5636</v>
      </c>
      <c r="G559" s="3">
        <v>303</v>
      </c>
      <c r="H559" s="3">
        <v>204</v>
      </c>
      <c r="I559" s="3">
        <v>2480</v>
      </c>
      <c r="J559" s="3">
        <v>7377</v>
      </c>
      <c r="K559" s="3">
        <v>241207</v>
      </c>
      <c r="L559" s="3" t="s">
        <v>20</v>
      </c>
      <c r="M559" s="4">
        <v>2.5467751765081443E-2</v>
      </c>
      <c r="N559" s="3" t="str">
        <f>INDEX(Table5_2[Objective], MATCH(L559,Table5_2[Campaign_Name], 0))</f>
        <v>Brand Engagement</v>
      </c>
    </row>
    <row r="560" spans="1:14" x14ac:dyDescent="0.3">
      <c r="A560" s="3" t="s">
        <v>76</v>
      </c>
      <c r="B560" s="3" t="s">
        <v>13</v>
      </c>
      <c r="C560" s="2">
        <v>45915</v>
      </c>
      <c r="D560" s="3" t="s">
        <v>23</v>
      </c>
      <c r="E560" s="3" t="s">
        <v>356</v>
      </c>
      <c r="F560" s="3">
        <v>5636</v>
      </c>
      <c r="G560" s="3">
        <v>303</v>
      </c>
      <c r="H560" s="3">
        <v>204</v>
      </c>
      <c r="I560" s="3">
        <v>2480</v>
      </c>
      <c r="J560" s="3">
        <v>7377</v>
      </c>
      <c r="K560" s="3">
        <v>241207</v>
      </c>
      <c r="L560" s="3" t="s">
        <v>20</v>
      </c>
      <c r="M560" s="4">
        <v>2.5467751765081443E-2</v>
      </c>
      <c r="N560" s="3" t="str">
        <f>INDEX(Table5_2[Objective], MATCH(L560,Table5_2[Campaign_Name], 0))</f>
        <v>Brand Engagement</v>
      </c>
    </row>
    <row r="561" spans="1:14" x14ac:dyDescent="0.3">
      <c r="A561" s="3" t="s">
        <v>113</v>
      </c>
      <c r="B561" s="3" t="s">
        <v>18</v>
      </c>
      <c r="C561" s="2">
        <v>45460</v>
      </c>
      <c r="D561" s="3" t="s">
        <v>14</v>
      </c>
      <c r="E561" s="3" t="s">
        <v>361</v>
      </c>
      <c r="F561" s="3">
        <v>3252</v>
      </c>
      <c r="G561" s="3">
        <v>1043</v>
      </c>
      <c r="H561" s="3">
        <v>647</v>
      </c>
      <c r="I561" s="3">
        <v>1545</v>
      </c>
      <c r="J561" s="3">
        <v>18859</v>
      </c>
      <c r="K561" s="3">
        <v>222958</v>
      </c>
      <c r="L561" s="3" t="s">
        <v>16</v>
      </c>
      <c r="M561" s="4">
        <v>2.2165609666394567E-2</v>
      </c>
      <c r="N561" s="3" t="str">
        <f>INDEX(Table5_2[Objective], MATCH(L561,Table5_2[Campaign_Name], 0))</f>
        <v>Health &amp; Fitness Awareness</v>
      </c>
    </row>
    <row r="562" spans="1:14" x14ac:dyDescent="0.3">
      <c r="A562" s="3" t="s">
        <v>113</v>
      </c>
      <c r="B562" s="3" t="s">
        <v>18</v>
      </c>
      <c r="C562" s="2">
        <v>45460</v>
      </c>
      <c r="D562" s="3" t="s">
        <v>14</v>
      </c>
      <c r="E562" s="3" t="s">
        <v>362</v>
      </c>
      <c r="F562" s="3">
        <v>3252</v>
      </c>
      <c r="G562" s="3">
        <v>1043</v>
      </c>
      <c r="H562" s="3">
        <v>647</v>
      </c>
      <c r="I562" s="3">
        <v>1545</v>
      </c>
      <c r="J562" s="3">
        <v>18859</v>
      </c>
      <c r="K562" s="3">
        <v>222958</v>
      </c>
      <c r="L562" s="3" t="s">
        <v>16</v>
      </c>
      <c r="M562" s="4">
        <v>2.2165609666394567E-2</v>
      </c>
      <c r="N562" s="3" t="str">
        <f>INDEX(Table5_2[Objective], MATCH(L562,Table5_2[Campaign_Name], 0))</f>
        <v>Health &amp; Fitness Awareness</v>
      </c>
    </row>
    <row r="563" spans="1:14" x14ac:dyDescent="0.3">
      <c r="A563" s="3" t="s">
        <v>224</v>
      </c>
      <c r="B563" s="3" t="s">
        <v>13</v>
      </c>
      <c r="C563" s="2">
        <v>45449</v>
      </c>
      <c r="D563" s="3" t="s">
        <v>34</v>
      </c>
      <c r="E563" s="3" t="s">
        <v>368</v>
      </c>
      <c r="F563" s="3">
        <v>3531</v>
      </c>
      <c r="G563" s="3">
        <v>789</v>
      </c>
      <c r="H563" s="3">
        <v>467</v>
      </c>
      <c r="I563" s="3">
        <v>1867</v>
      </c>
      <c r="J563" s="3">
        <v>40816</v>
      </c>
      <c r="K563" s="3">
        <v>236037</v>
      </c>
      <c r="L563" s="3" t="s">
        <v>25</v>
      </c>
      <c r="M563" s="4">
        <v>2.0280718700881641E-2</v>
      </c>
      <c r="N563" s="3" t="str">
        <f>INDEX(Table5_2[Objective], MATCH(L563,Table5_2[Campaign_Name], 0))</f>
        <v>Sustainability Branding</v>
      </c>
    </row>
    <row r="564" spans="1:14" x14ac:dyDescent="0.3">
      <c r="A564" s="3" t="s">
        <v>224</v>
      </c>
      <c r="B564" s="3" t="s">
        <v>13</v>
      </c>
      <c r="C564" s="2">
        <v>45449</v>
      </c>
      <c r="D564" s="3" t="s">
        <v>34</v>
      </c>
      <c r="E564" s="3" t="s">
        <v>369</v>
      </c>
      <c r="F564" s="3">
        <v>3531</v>
      </c>
      <c r="G564" s="3">
        <v>789</v>
      </c>
      <c r="H564" s="3">
        <v>467</v>
      </c>
      <c r="I564" s="3">
        <v>1867</v>
      </c>
      <c r="J564" s="3">
        <v>40816</v>
      </c>
      <c r="K564" s="3">
        <v>236037</v>
      </c>
      <c r="L564" s="3" t="s">
        <v>25</v>
      </c>
      <c r="M564" s="4">
        <v>2.0280718700881641E-2</v>
      </c>
      <c r="N564" s="3" t="str">
        <f>INDEX(Table5_2[Objective], MATCH(L564,Table5_2[Campaign_Name], 0))</f>
        <v>Sustainability Branding</v>
      </c>
    </row>
    <row r="565" spans="1:14" x14ac:dyDescent="0.3">
      <c r="A565" s="3" t="s">
        <v>26</v>
      </c>
      <c r="B565" s="3" t="s">
        <v>13</v>
      </c>
      <c r="C565" s="2">
        <v>45516</v>
      </c>
      <c r="D565" s="3" t="s">
        <v>27</v>
      </c>
      <c r="E565" s="3" t="s">
        <v>359</v>
      </c>
      <c r="F565" s="3">
        <v>3581</v>
      </c>
      <c r="G565" s="3">
        <v>517</v>
      </c>
      <c r="H565" s="3">
        <v>880</v>
      </c>
      <c r="I565" s="3">
        <v>1925</v>
      </c>
      <c r="J565" s="3">
        <v>18636</v>
      </c>
      <c r="K565" s="3">
        <v>248611</v>
      </c>
      <c r="L565" s="3" t="s">
        <v>29</v>
      </c>
      <c r="M565" s="4">
        <v>2.0023249172401864E-2</v>
      </c>
      <c r="N565" s="3" t="str">
        <f>INDEX(Table5_2[Objective], MATCH(L565,Table5_2[Campaign_Name], 0))</f>
        <v>Product Launch</v>
      </c>
    </row>
    <row r="566" spans="1:14" x14ac:dyDescent="0.3">
      <c r="A566" s="3" t="s">
        <v>26</v>
      </c>
      <c r="B566" s="3" t="s">
        <v>13</v>
      </c>
      <c r="C566" s="2">
        <v>45516</v>
      </c>
      <c r="D566" s="3" t="s">
        <v>27</v>
      </c>
      <c r="E566" s="3" t="s">
        <v>360</v>
      </c>
      <c r="F566" s="3">
        <v>3581</v>
      </c>
      <c r="G566" s="3">
        <v>517</v>
      </c>
      <c r="H566" s="3">
        <v>880</v>
      </c>
      <c r="I566" s="3">
        <v>1925</v>
      </c>
      <c r="J566" s="3">
        <v>18636</v>
      </c>
      <c r="K566" s="3">
        <v>248611</v>
      </c>
      <c r="L566" s="3" t="s">
        <v>29</v>
      </c>
      <c r="M566" s="4">
        <v>2.0023249172401864E-2</v>
      </c>
      <c r="N566" s="3" t="str">
        <f>INDEX(Table5_2[Objective], MATCH(L566,Table5_2[Campaign_Name], 0))</f>
        <v>Product Launch</v>
      </c>
    </row>
    <row r="567" spans="1:14" x14ac:dyDescent="0.3">
      <c r="A567" s="3" t="s">
        <v>203</v>
      </c>
      <c r="B567" s="3" t="s">
        <v>18</v>
      </c>
      <c r="C567" s="2">
        <v>45624</v>
      </c>
      <c r="D567" s="3" t="s">
        <v>34</v>
      </c>
      <c r="E567" s="3" t="s">
        <v>359</v>
      </c>
      <c r="F567" s="3">
        <v>2302</v>
      </c>
      <c r="G567" s="3">
        <v>347</v>
      </c>
      <c r="H567" s="3">
        <v>642</v>
      </c>
      <c r="I567" s="3">
        <v>2175</v>
      </c>
      <c r="J567" s="3">
        <v>56378</v>
      </c>
      <c r="K567" s="3">
        <v>198056</v>
      </c>
      <c r="L567" s="3" t="s">
        <v>45</v>
      </c>
      <c r="M567" s="4">
        <v>1.6616512501514722E-2</v>
      </c>
      <c r="N567" s="3" t="str">
        <f>INDEX(Table5_2[Objective], MATCH(L567,Table5_2[Campaign_Name], 0))</f>
        <v>Product Promotion</v>
      </c>
    </row>
    <row r="568" spans="1:14" x14ac:dyDescent="0.3">
      <c r="A568" s="3" t="s">
        <v>203</v>
      </c>
      <c r="B568" s="3" t="s">
        <v>18</v>
      </c>
      <c r="C568" s="2">
        <v>45624</v>
      </c>
      <c r="D568" s="3" t="s">
        <v>34</v>
      </c>
      <c r="E568" s="3" t="s">
        <v>366</v>
      </c>
      <c r="F568" s="3">
        <v>2302</v>
      </c>
      <c r="G568" s="3">
        <v>347</v>
      </c>
      <c r="H568" s="3">
        <v>642</v>
      </c>
      <c r="I568" s="3">
        <v>2175</v>
      </c>
      <c r="J568" s="3">
        <v>56378</v>
      </c>
      <c r="K568" s="3">
        <v>198056</v>
      </c>
      <c r="L568" s="3" t="s">
        <v>45</v>
      </c>
      <c r="M568" s="4">
        <v>1.6616512501514722E-2</v>
      </c>
      <c r="N568" s="9" t="str">
        <f>INDEX(Table5_2[Objective], MATCH(L568,Table5_2[Campaign_Name], 0))</f>
        <v>Product Promotion</v>
      </c>
    </row>
  </sheetData>
  <mergeCells count="1">
    <mergeCell ref="R40:S40"/>
  </mergeCells>
  <pageMargins left="0.7" right="0.7" top="0.75" bottom="0.75" header="0.3" footer="0.3"/>
  <drawing r:id="rId2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2E6AF-EE19-46A0-BDD9-6C311B840671}">
  <dimension ref="A1:P201"/>
  <sheetViews>
    <sheetView topLeftCell="I3" zoomScale="91" workbookViewId="0">
      <selection activeCell="O21" sqref="O21"/>
    </sheetView>
  </sheetViews>
  <sheetFormatPr defaultRowHeight="14.4" x14ac:dyDescent="0.3"/>
  <cols>
    <col min="1" max="1" width="22" bestFit="1" customWidth="1"/>
    <col min="2" max="2" width="12.5546875" bestFit="1" customWidth="1"/>
    <col min="3" max="3" width="20" bestFit="1" customWidth="1"/>
    <col min="4" max="4" width="14.109375" bestFit="1" customWidth="1"/>
    <col min="5" max="5" width="20.77734375" bestFit="1" customWidth="1"/>
    <col min="6" max="6" width="23.21875" bestFit="1" customWidth="1"/>
    <col min="7" max="7" width="13.88671875" bestFit="1" customWidth="1"/>
    <col min="8" max="8" width="32" bestFit="1" customWidth="1"/>
    <col min="9" max="9" width="16.44140625" bestFit="1" customWidth="1"/>
    <col min="10" max="10" width="20.33203125" bestFit="1" customWidth="1"/>
    <col min="12" max="12" width="12.5546875" bestFit="1" customWidth="1"/>
    <col min="13" max="13" width="26.33203125" bestFit="1" customWidth="1"/>
    <col min="14" max="14" width="19.44140625" bestFit="1" customWidth="1"/>
    <col min="16" max="16" width="78.21875" bestFit="1" customWidth="1"/>
  </cols>
  <sheetData>
    <row r="1" spans="1:16" ht="17.399999999999999" x14ac:dyDescent="0.45">
      <c r="A1" s="1" t="s">
        <v>337</v>
      </c>
      <c r="B1" s="1" t="s">
        <v>1</v>
      </c>
      <c r="C1" s="1" t="s">
        <v>338</v>
      </c>
      <c r="D1" s="1" t="s">
        <v>339</v>
      </c>
      <c r="E1" s="1" t="s">
        <v>340</v>
      </c>
      <c r="F1" s="1" t="s">
        <v>341</v>
      </c>
      <c r="G1" s="1" t="s">
        <v>342</v>
      </c>
      <c r="H1" s="1" t="s">
        <v>413</v>
      </c>
      <c r="I1" s="1" t="s">
        <v>414</v>
      </c>
    </row>
    <row r="2" spans="1:16" x14ac:dyDescent="0.3">
      <c r="A2" s="2">
        <v>45446</v>
      </c>
      <c r="B2" s="3" t="s">
        <v>22</v>
      </c>
      <c r="C2" s="3">
        <v>4138</v>
      </c>
      <c r="D2" s="3">
        <v>361</v>
      </c>
      <c r="E2" s="3">
        <v>103777</v>
      </c>
      <c r="F2" s="4">
        <v>56.637790647253247</v>
      </c>
      <c r="G2" s="3">
        <v>23944</v>
      </c>
      <c r="H2" s="49">
        <f>(Table3_211[[#This Row],[New_Followers]]-Table3_211[[#This Row],[Unfollows]])</f>
        <v>3777</v>
      </c>
      <c r="I2" s="60">
        <f>Table3_211[[#This Row],[New followers - unfollows]]/(Table3_211[[#This Row],[Total_Followers]]-Table3_211[[#This Row],[New followers - unfollows]])</f>
        <v>3.7769999999999998E-2</v>
      </c>
    </row>
    <row r="3" spans="1:16" x14ac:dyDescent="0.3">
      <c r="A3" s="2">
        <v>45446</v>
      </c>
      <c r="B3" s="3" t="s">
        <v>40</v>
      </c>
      <c r="C3" s="3">
        <v>8693</v>
      </c>
      <c r="D3" s="3">
        <v>1261</v>
      </c>
      <c r="E3" s="3">
        <v>111209</v>
      </c>
      <c r="F3" s="4">
        <v>69.475492091467416</v>
      </c>
      <c r="G3" s="3">
        <v>29873</v>
      </c>
      <c r="H3" s="3">
        <f>(Table3_211[[#This Row],[New_Followers]]-Table3_211[[#This Row],[Unfollows]])</f>
        <v>7432</v>
      </c>
      <c r="I3" s="61">
        <f>Table3_211[[#This Row],[New followers - unfollows]]/(Table3_211[[#This Row],[Total_Followers]]-Table3_211[[#This Row],[New followers - unfollows]])</f>
        <v>7.1615097757691967E-2</v>
      </c>
    </row>
    <row r="4" spans="1:16" x14ac:dyDescent="0.3">
      <c r="A4" s="2">
        <v>45446</v>
      </c>
      <c r="B4" s="3" t="s">
        <v>13</v>
      </c>
      <c r="C4" s="3">
        <v>9264</v>
      </c>
      <c r="D4" s="3">
        <v>1141</v>
      </c>
      <c r="E4" s="3">
        <v>119332</v>
      </c>
      <c r="F4" s="4">
        <v>92.312204605638044</v>
      </c>
      <c r="G4" s="3">
        <v>50372</v>
      </c>
      <c r="H4" s="3">
        <f>(Table3_211[[#This Row],[New_Followers]]-Table3_211[[#This Row],[Unfollows]])</f>
        <v>8123</v>
      </c>
      <c r="I4" s="61">
        <f>Table3_211[[#This Row],[New followers - unfollows]]/(Table3_211[[#This Row],[Total_Followers]]-Table3_211[[#This Row],[New followers - unfollows]])</f>
        <v>7.3042649425855824E-2</v>
      </c>
    </row>
    <row r="5" spans="1:16" x14ac:dyDescent="0.3">
      <c r="A5" s="2">
        <v>45446</v>
      </c>
      <c r="B5" s="3" t="s">
        <v>13</v>
      </c>
      <c r="C5" s="3">
        <v>8842</v>
      </c>
      <c r="D5" s="3">
        <v>971</v>
      </c>
      <c r="E5" s="3">
        <v>127203</v>
      </c>
      <c r="F5" s="4">
        <v>16.351815601833291</v>
      </c>
      <c r="G5" s="3">
        <v>33928</v>
      </c>
      <c r="H5" s="3">
        <f>(Table3_211[[#This Row],[New_Followers]]-Table3_211[[#This Row],[Unfollows]])</f>
        <v>7871</v>
      </c>
      <c r="I5" s="61">
        <f>Table3_211[[#This Row],[New followers - unfollows]]/(Table3_211[[#This Row],[Total_Followers]]-Table3_211[[#This Row],[New followers - unfollows]])</f>
        <v>6.5958837528910935E-2</v>
      </c>
      <c r="K5" s="64" t="s">
        <v>417</v>
      </c>
      <c r="P5" s="74" t="s">
        <v>458</v>
      </c>
    </row>
    <row r="6" spans="1:16" x14ac:dyDescent="0.3">
      <c r="A6" s="2">
        <v>45453</v>
      </c>
      <c r="B6" s="3" t="s">
        <v>22</v>
      </c>
      <c r="C6" s="3">
        <v>7721</v>
      </c>
      <c r="D6" s="3">
        <v>506</v>
      </c>
      <c r="E6" s="3">
        <v>134418</v>
      </c>
      <c r="F6" s="4">
        <v>35.577824398518047</v>
      </c>
      <c r="G6" s="3">
        <v>25379</v>
      </c>
      <c r="H6" s="3">
        <f>(Table3_211[[#This Row],[New_Followers]]-Table3_211[[#This Row],[Unfollows]])</f>
        <v>7215</v>
      </c>
      <c r="I6" s="61">
        <f>Table3_211[[#This Row],[New followers - unfollows]]/(Table3_211[[#This Row],[Total_Followers]]-Table3_211[[#This Row],[New followers - unfollows]])</f>
        <v>5.6720360368859225E-2</v>
      </c>
    </row>
    <row r="7" spans="1:16" x14ac:dyDescent="0.3">
      <c r="A7" s="2">
        <v>45453</v>
      </c>
      <c r="B7" s="3" t="s">
        <v>13</v>
      </c>
      <c r="C7" s="3">
        <v>8002</v>
      </c>
      <c r="D7" s="3">
        <v>524</v>
      </c>
      <c r="E7" s="3">
        <v>141896</v>
      </c>
      <c r="F7" s="4">
        <v>52.064892597395271</v>
      </c>
      <c r="G7" s="3">
        <v>46751</v>
      </c>
      <c r="H7" s="3">
        <f>(Table3_211[[#This Row],[New_Followers]]-Table3_211[[#This Row],[Unfollows]])</f>
        <v>7478</v>
      </c>
      <c r="I7" s="61">
        <f>Table3_211[[#This Row],[New followers - unfollows]]/(Table3_211[[#This Row],[Total_Followers]]-Table3_211[[#This Row],[New followers - unfollows]])</f>
        <v>5.5632430180481779E-2</v>
      </c>
      <c r="M7" t="s">
        <v>415</v>
      </c>
      <c r="O7">
        <v>1</v>
      </c>
      <c r="P7" t="s">
        <v>459</v>
      </c>
    </row>
    <row r="8" spans="1:16" x14ac:dyDescent="0.3">
      <c r="A8" s="2">
        <v>45453</v>
      </c>
      <c r="B8" s="3" t="s">
        <v>40</v>
      </c>
      <c r="C8" s="3">
        <v>5225</v>
      </c>
      <c r="D8" s="3">
        <v>291</v>
      </c>
      <c r="E8" s="3">
        <v>146830</v>
      </c>
      <c r="F8" s="4">
        <v>19.551862698358651</v>
      </c>
      <c r="G8" s="3">
        <v>44546</v>
      </c>
      <c r="H8" s="3">
        <f>(Table3_211[[#This Row],[New_Followers]]-Table3_211[[#This Row],[Unfollows]])</f>
        <v>4934</v>
      </c>
      <c r="I8" s="61">
        <f>Table3_211[[#This Row],[New followers - unfollows]]/(Table3_211[[#This Row],[Total_Followers]]-Table3_211[[#This Row],[New followers - unfollows]])</f>
        <v>3.4771945650335458E-2</v>
      </c>
      <c r="L8" s="27" t="s">
        <v>13</v>
      </c>
      <c r="M8" s="63">
        <v>1.4650629705427689E-2</v>
      </c>
      <c r="O8">
        <v>2</v>
      </c>
      <c r="P8" t="s">
        <v>460</v>
      </c>
    </row>
    <row r="9" spans="1:16" x14ac:dyDescent="0.3">
      <c r="A9" s="2">
        <v>45453</v>
      </c>
      <c r="B9" s="3" t="s">
        <v>40</v>
      </c>
      <c r="C9" s="3">
        <v>3978</v>
      </c>
      <c r="D9" s="3">
        <v>543</v>
      </c>
      <c r="E9" s="3">
        <v>150265</v>
      </c>
      <c r="F9" s="4">
        <v>49.159817655475329</v>
      </c>
      <c r="G9" s="3">
        <v>34286</v>
      </c>
      <c r="H9" s="3">
        <f>(Table3_211[[#This Row],[New_Followers]]-Table3_211[[#This Row],[Unfollows]])</f>
        <v>3435</v>
      </c>
      <c r="I9" s="61">
        <f>Table3_211[[#This Row],[New followers - unfollows]]/(Table3_211[[#This Row],[Total_Followers]]-Table3_211[[#This Row],[New followers - unfollows]])</f>
        <v>2.3394401689028128E-2</v>
      </c>
      <c r="L9" s="27" t="s">
        <v>40</v>
      </c>
      <c r="M9" s="63">
        <v>1.4133219201374858E-2</v>
      </c>
      <c r="O9">
        <v>3</v>
      </c>
      <c r="P9" t="s">
        <v>461</v>
      </c>
    </row>
    <row r="10" spans="1:16" x14ac:dyDescent="0.3">
      <c r="A10" s="2">
        <v>45460</v>
      </c>
      <c r="B10" s="3" t="s">
        <v>22</v>
      </c>
      <c r="C10" s="3">
        <v>8373</v>
      </c>
      <c r="D10" s="3">
        <v>921</v>
      </c>
      <c r="E10" s="3">
        <v>157717</v>
      </c>
      <c r="F10" s="4">
        <v>12.2263294381709</v>
      </c>
      <c r="G10" s="3">
        <v>15110</v>
      </c>
      <c r="H10" s="3">
        <f>(Table3_211[[#This Row],[New_Followers]]-Table3_211[[#This Row],[Unfollows]])</f>
        <v>7452</v>
      </c>
      <c r="I10" s="61">
        <f>Table3_211[[#This Row],[New followers - unfollows]]/(Table3_211[[#This Row],[Total_Followers]]-Table3_211[[#This Row],[New followers - unfollows]])</f>
        <v>4.9592386783349415E-2</v>
      </c>
      <c r="L10" s="27" t="s">
        <v>22</v>
      </c>
      <c r="M10" s="63">
        <v>1.2302423684450958E-2</v>
      </c>
    </row>
    <row r="11" spans="1:16" x14ac:dyDescent="0.3">
      <c r="A11" s="2">
        <v>45460</v>
      </c>
      <c r="B11" s="3" t="s">
        <v>40</v>
      </c>
      <c r="C11" s="3">
        <v>6907</v>
      </c>
      <c r="D11" s="3">
        <v>834</v>
      </c>
      <c r="E11" s="3">
        <v>163790</v>
      </c>
      <c r="F11" s="4">
        <v>54.158984064961238</v>
      </c>
      <c r="G11" s="3">
        <v>22087</v>
      </c>
      <c r="H11" s="3">
        <f>(Table3_211[[#This Row],[New_Followers]]-Table3_211[[#This Row],[Unfollows]])</f>
        <v>6073</v>
      </c>
      <c r="I11" s="61">
        <f>Table3_211[[#This Row],[New followers - unfollows]]/(Table3_211[[#This Row],[Total_Followers]]-Table3_211[[#This Row],[New followers - unfollows]])</f>
        <v>3.8505677891413098E-2</v>
      </c>
      <c r="L11" s="27" t="s">
        <v>18</v>
      </c>
      <c r="M11" s="63">
        <v>9.5825377212285581E-3</v>
      </c>
    </row>
    <row r="12" spans="1:16" x14ac:dyDescent="0.3">
      <c r="A12" s="2">
        <v>45460</v>
      </c>
      <c r="B12" s="3" t="s">
        <v>18</v>
      </c>
      <c r="C12" s="3">
        <v>7097</v>
      </c>
      <c r="D12" s="3">
        <v>369</v>
      </c>
      <c r="E12" s="3">
        <v>170518</v>
      </c>
      <c r="F12" s="4">
        <v>9.2506362964613711</v>
      </c>
      <c r="G12" s="3">
        <v>33762</v>
      </c>
      <c r="H12" s="3">
        <f>(Table3_211[[#This Row],[New_Followers]]-Table3_211[[#This Row],[Unfollows]])</f>
        <v>6728</v>
      </c>
      <c r="I12" s="61">
        <f>Table3_211[[#This Row],[New followers - unfollows]]/(Table3_211[[#This Row],[Total_Followers]]-Table3_211[[#This Row],[New followers - unfollows]])</f>
        <v>4.1076988827156727E-2</v>
      </c>
      <c r="L12" s="27" t="s">
        <v>384</v>
      </c>
      <c r="M12" s="63">
        <v>1.2520998090849856E-2</v>
      </c>
    </row>
    <row r="13" spans="1:16" x14ac:dyDescent="0.3">
      <c r="A13" s="2">
        <v>45460</v>
      </c>
      <c r="B13" s="3" t="s">
        <v>22</v>
      </c>
      <c r="C13" s="3">
        <v>6656</v>
      </c>
      <c r="D13" s="3">
        <v>978</v>
      </c>
      <c r="E13" s="3">
        <v>176196</v>
      </c>
      <c r="F13" s="4">
        <v>60.425889350496043</v>
      </c>
      <c r="G13" s="3">
        <v>27081</v>
      </c>
      <c r="H13" s="3">
        <f>(Table3_211[[#This Row],[New_Followers]]-Table3_211[[#This Row],[Unfollows]])</f>
        <v>5678</v>
      </c>
      <c r="I13" s="61">
        <f>Table3_211[[#This Row],[New followers - unfollows]]/(Table3_211[[#This Row],[Total_Followers]]-Table3_211[[#This Row],[New followers - unfollows]])</f>
        <v>3.3298537397811377E-2</v>
      </c>
    </row>
    <row r="14" spans="1:16" x14ac:dyDescent="0.3">
      <c r="A14" s="2">
        <v>45467</v>
      </c>
      <c r="B14" s="3" t="s">
        <v>40</v>
      </c>
      <c r="C14" s="3">
        <v>9984</v>
      </c>
      <c r="D14" s="3">
        <v>1330</v>
      </c>
      <c r="E14" s="3">
        <v>184850</v>
      </c>
      <c r="F14" s="4">
        <v>57.524479307546663</v>
      </c>
      <c r="G14" s="3">
        <v>44947</v>
      </c>
      <c r="H14" s="3">
        <f>(Table3_211[[#This Row],[New_Followers]]-Table3_211[[#This Row],[Unfollows]])</f>
        <v>8654</v>
      </c>
      <c r="I14" s="61">
        <f>Table3_211[[#This Row],[New followers - unfollows]]/(Table3_211[[#This Row],[Total_Followers]]-Table3_211[[#This Row],[New followers - unfollows]])</f>
        <v>4.9115757451928532E-2</v>
      </c>
    </row>
    <row r="15" spans="1:16" x14ac:dyDescent="0.3">
      <c r="A15" s="2">
        <v>45467</v>
      </c>
      <c r="B15" s="3" t="s">
        <v>22</v>
      </c>
      <c r="C15" s="3">
        <v>5259</v>
      </c>
      <c r="D15" s="3">
        <v>374</v>
      </c>
      <c r="E15" s="3">
        <v>189735</v>
      </c>
      <c r="F15" s="4">
        <v>14.827522597306769</v>
      </c>
      <c r="G15" s="3">
        <v>19596</v>
      </c>
      <c r="H15" s="3">
        <f>(Table3_211[[#This Row],[New_Followers]]-Table3_211[[#This Row],[Unfollows]])</f>
        <v>4885</v>
      </c>
      <c r="I15" s="61">
        <f>Table3_211[[#This Row],[New followers - unfollows]]/(Table3_211[[#This Row],[Total_Followers]]-Table3_211[[#This Row],[New followers - unfollows]])</f>
        <v>2.6426832566946171E-2</v>
      </c>
    </row>
    <row r="16" spans="1:16" x14ac:dyDescent="0.3">
      <c r="A16" s="2">
        <v>45467</v>
      </c>
      <c r="B16" s="3" t="s">
        <v>13</v>
      </c>
      <c r="C16" s="3">
        <v>9286</v>
      </c>
      <c r="D16" s="3">
        <v>633</v>
      </c>
      <c r="E16" s="3">
        <v>198388</v>
      </c>
      <c r="F16" s="4">
        <v>5.4343004617214756</v>
      </c>
      <c r="G16" s="3">
        <v>48019</v>
      </c>
      <c r="H16" s="3">
        <f>(Table3_211[[#This Row],[New_Followers]]-Table3_211[[#This Row],[Unfollows]])</f>
        <v>8653</v>
      </c>
      <c r="I16" s="61">
        <f>Table3_211[[#This Row],[New followers - unfollows]]/(Table3_211[[#This Row],[Total_Followers]]-Table3_211[[#This Row],[New followers - unfollows]])</f>
        <v>4.5605713231612513E-2</v>
      </c>
      <c r="K16" s="64" t="s">
        <v>418</v>
      </c>
      <c r="P16" s="74" t="s">
        <v>462</v>
      </c>
    </row>
    <row r="17" spans="1:16" x14ac:dyDescent="0.3">
      <c r="A17" s="2">
        <v>45467</v>
      </c>
      <c r="B17" s="3" t="s">
        <v>40</v>
      </c>
      <c r="C17" s="3">
        <v>6901</v>
      </c>
      <c r="D17" s="3">
        <v>471</v>
      </c>
      <c r="E17" s="3">
        <v>204818</v>
      </c>
      <c r="F17" s="4">
        <v>60.827661631301943</v>
      </c>
      <c r="G17" s="3">
        <v>52003</v>
      </c>
      <c r="H17" s="3">
        <f>(Table3_211[[#This Row],[New_Followers]]-Table3_211[[#This Row],[Unfollows]])</f>
        <v>6430</v>
      </c>
      <c r="I17" s="61">
        <f>Table3_211[[#This Row],[New followers - unfollows]]/(Table3_211[[#This Row],[Total_Followers]]-Table3_211[[#This Row],[New followers - unfollows]])</f>
        <v>3.2411234550476842E-2</v>
      </c>
      <c r="L17" s="26" t="s">
        <v>383</v>
      </c>
      <c r="M17" t="s">
        <v>416</v>
      </c>
    </row>
    <row r="18" spans="1:16" x14ac:dyDescent="0.3">
      <c r="A18" s="2">
        <v>45474</v>
      </c>
      <c r="B18" s="3" t="s">
        <v>18</v>
      </c>
      <c r="C18" s="3">
        <v>5917</v>
      </c>
      <c r="D18" s="3">
        <v>475</v>
      </c>
      <c r="E18" s="3">
        <v>210260</v>
      </c>
      <c r="F18" s="4">
        <v>17.894035955483691</v>
      </c>
      <c r="G18" s="3">
        <v>28313</v>
      </c>
      <c r="H18" s="3">
        <f>(Table3_211[[#This Row],[New_Followers]]-Table3_211[[#This Row],[Unfollows]])</f>
        <v>5442</v>
      </c>
      <c r="I18" s="61">
        <f>Table3_211[[#This Row],[New followers - unfollows]]/(Table3_211[[#This Row],[Total_Followers]]-Table3_211[[#This Row],[New followers - unfollows]])</f>
        <v>2.656993037721294E-2</v>
      </c>
      <c r="L18" s="27" t="s">
        <v>13</v>
      </c>
      <c r="M18" s="20">
        <v>17.599262914182141</v>
      </c>
      <c r="O18">
        <v>1</v>
      </c>
      <c r="P18" t="s">
        <v>463</v>
      </c>
    </row>
    <row r="19" spans="1:16" x14ac:dyDescent="0.3">
      <c r="A19" s="2">
        <v>45474</v>
      </c>
      <c r="B19" s="3" t="s">
        <v>40</v>
      </c>
      <c r="C19" s="3">
        <v>9429</v>
      </c>
      <c r="D19" s="3">
        <v>966</v>
      </c>
      <c r="E19" s="3">
        <v>218723</v>
      </c>
      <c r="F19" s="4">
        <v>7.6914636320825887</v>
      </c>
      <c r="G19" s="3">
        <v>57639</v>
      </c>
      <c r="H19" s="3">
        <f>(Table3_211[[#This Row],[New_Followers]]-Table3_211[[#This Row],[Unfollows]])</f>
        <v>8463</v>
      </c>
      <c r="I19" s="61">
        <f>Table3_211[[#This Row],[New followers - unfollows]]/(Table3_211[[#This Row],[Total_Followers]]-Table3_211[[#This Row],[New followers - unfollows]])</f>
        <v>4.0250166460572626E-2</v>
      </c>
      <c r="L19" s="27" t="s">
        <v>40</v>
      </c>
      <c r="M19" s="20">
        <v>17.480513118999934</v>
      </c>
      <c r="O19">
        <v>2</v>
      </c>
      <c r="P19" t="s">
        <v>464</v>
      </c>
    </row>
    <row r="20" spans="1:16" x14ac:dyDescent="0.3">
      <c r="A20" s="2">
        <v>45474</v>
      </c>
      <c r="B20" s="3" t="s">
        <v>22</v>
      </c>
      <c r="C20" s="3">
        <v>3530</v>
      </c>
      <c r="D20" s="3">
        <v>328</v>
      </c>
      <c r="E20" s="3">
        <v>221925</v>
      </c>
      <c r="F20" s="4">
        <v>12.8372197814577</v>
      </c>
      <c r="G20" s="3">
        <v>11013</v>
      </c>
      <c r="H20" s="3">
        <f>(Table3_211[[#This Row],[New_Followers]]-Table3_211[[#This Row],[Unfollows]])</f>
        <v>3202</v>
      </c>
      <c r="I20" s="61">
        <f>Table3_211[[#This Row],[New followers - unfollows]]/(Table3_211[[#This Row],[Total_Followers]]-Table3_211[[#This Row],[New followers - unfollows]])</f>
        <v>1.4639521220904981E-2</v>
      </c>
      <c r="L20" s="27" t="s">
        <v>22</v>
      </c>
      <c r="M20" s="20">
        <v>15.559291798886182</v>
      </c>
      <c r="O20">
        <v>3</v>
      </c>
      <c r="P20" t="s">
        <v>465</v>
      </c>
    </row>
    <row r="21" spans="1:16" x14ac:dyDescent="0.3">
      <c r="A21" s="2">
        <v>45474</v>
      </c>
      <c r="B21" s="3" t="s">
        <v>22</v>
      </c>
      <c r="C21" s="3">
        <v>2960</v>
      </c>
      <c r="D21" s="3">
        <v>234</v>
      </c>
      <c r="E21" s="3">
        <v>224651</v>
      </c>
      <c r="F21" s="4">
        <v>17.41278694508371</v>
      </c>
      <c r="G21" s="3">
        <v>59378</v>
      </c>
      <c r="H21" s="3">
        <f>(Table3_211[[#This Row],[New_Followers]]-Table3_211[[#This Row],[Unfollows]])</f>
        <v>2726</v>
      </c>
      <c r="I21" s="61">
        <f>Table3_211[[#This Row],[New followers - unfollows]]/(Table3_211[[#This Row],[Total_Followers]]-Table3_211[[#This Row],[New followers - unfollows]])</f>
        <v>1.2283429086403064E-2</v>
      </c>
      <c r="L21" s="27" t="s">
        <v>18</v>
      </c>
      <c r="M21" s="20">
        <v>14.067998324800023</v>
      </c>
    </row>
    <row r="22" spans="1:16" x14ac:dyDescent="0.3">
      <c r="A22" s="2">
        <v>45481</v>
      </c>
      <c r="B22" s="3" t="s">
        <v>40</v>
      </c>
      <c r="C22" s="3">
        <v>8045</v>
      </c>
      <c r="D22" s="3">
        <v>894</v>
      </c>
      <c r="E22" s="3">
        <v>231802</v>
      </c>
      <c r="F22" s="4">
        <v>47.634187798207087</v>
      </c>
      <c r="G22" s="3">
        <v>33705</v>
      </c>
      <c r="H22" s="3">
        <f>(Table3_211[[#This Row],[New_Followers]]-Table3_211[[#This Row],[Unfollows]])</f>
        <v>7151</v>
      </c>
      <c r="I22" s="61">
        <f>Table3_211[[#This Row],[New followers - unfollows]]/(Table3_211[[#This Row],[Total_Followers]]-Table3_211[[#This Row],[New followers - unfollows]])</f>
        <v>3.1831596565339126E-2</v>
      </c>
      <c r="L22" s="27" t="s">
        <v>384</v>
      </c>
      <c r="M22" s="20">
        <v>16.076503821978303</v>
      </c>
    </row>
    <row r="23" spans="1:16" x14ac:dyDescent="0.3">
      <c r="A23" s="2">
        <v>45481</v>
      </c>
      <c r="B23" s="3" t="s">
        <v>18</v>
      </c>
      <c r="C23" s="3">
        <v>2048</v>
      </c>
      <c r="D23" s="3">
        <v>130</v>
      </c>
      <c r="E23" s="3">
        <v>233720</v>
      </c>
      <c r="F23" s="4">
        <v>39.284614068115687</v>
      </c>
      <c r="G23" s="3">
        <v>11828</v>
      </c>
      <c r="H23" s="3">
        <f>(Table3_211[[#This Row],[New_Followers]]-Table3_211[[#This Row],[Unfollows]])</f>
        <v>1918</v>
      </c>
      <c r="I23" s="61">
        <f>Table3_211[[#This Row],[New followers - unfollows]]/(Table3_211[[#This Row],[Total_Followers]]-Table3_211[[#This Row],[New followers - unfollows]])</f>
        <v>8.2743030689985415E-3</v>
      </c>
    </row>
    <row r="24" spans="1:16" x14ac:dyDescent="0.3">
      <c r="A24" s="2">
        <v>45481</v>
      </c>
      <c r="B24" s="3" t="s">
        <v>18</v>
      </c>
      <c r="C24" s="3">
        <v>6772</v>
      </c>
      <c r="D24" s="3">
        <v>536</v>
      </c>
      <c r="E24" s="3">
        <v>239956</v>
      </c>
      <c r="F24" s="4">
        <v>9.8205504342462788</v>
      </c>
      <c r="G24" s="3">
        <v>17909</v>
      </c>
      <c r="H24" s="3">
        <f>(Table3_211[[#This Row],[New_Followers]]-Table3_211[[#This Row],[Unfollows]])</f>
        <v>6236</v>
      </c>
      <c r="I24" s="61">
        <f>Table3_211[[#This Row],[New followers - unfollows]]/(Table3_211[[#This Row],[Total_Followers]]-Table3_211[[#This Row],[New followers - unfollows]])</f>
        <v>2.668149922984768E-2</v>
      </c>
    </row>
    <row r="25" spans="1:16" x14ac:dyDescent="0.3">
      <c r="A25" s="2">
        <v>45481</v>
      </c>
      <c r="B25" s="3" t="s">
        <v>18</v>
      </c>
      <c r="C25" s="3">
        <v>3529</v>
      </c>
      <c r="D25" s="3">
        <v>305</v>
      </c>
      <c r="E25" s="3">
        <v>243180</v>
      </c>
      <c r="F25" s="4">
        <v>41.606628834608109</v>
      </c>
      <c r="G25" s="3">
        <v>48356</v>
      </c>
      <c r="H25" s="3">
        <f>(Table3_211[[#This Row],[New_Followers]]-Table3_211[[#This Row],[Unfollows]])</f>
        <v>3224</v>
      </c>
      <c r="I25" s="61">
        <f>Table3_211[[#This Row],[New followers - unfollows]]/(Table3_211[[#This Row],[Total_Followers]]-Table3_211[[#This Row],[New followers - unfollows]])</f>
        <v>1.3435796562703162E-2</v>
      </c>
    </row>
    <row r="26" spans="1:16" x14ac:dyDescent="0.3">
      <c r="A26" s="2">
        <v>45488</v>
      </c>
      <c r="B26" s="3" t="s">
        <v>22</v>
      </c>
      <c r="C26" s="3">
        <v>3964</v>
      </c>
      <c r="D26" s="3">
        <v>378</v>
      </c>
      <c r="E26" s="3">
        <v>246766</v>
      </c>
      <c r="F26" s="4">
        <v>13.6355899921383</v>
      </c>
      <c r="G26" s="3">
        <v>23109</v>
      </c>
      <c r="H26" s="3">
        <f>(Table3_211[[#This Row],[New_Followers]]-Table3_211[[#This Row],[Unfollows]])</f>
        <v>3586</v>
      </c>
      <c r="I26" s="61">
        <f>Table3_211[[#This Row],[New followers - unfollows]]/(Table3_211[[#This Row],[Total_Followers]]-Table3_211[[#This Row],[New followers - unfollows]])</f>
        <v>1.4746278476848425E-2</v>
      </c>
      <c r="K26" s="73" t="s">
        <v>418</v>
      </c>
    </row>
    <row r="27" spans="1:16" x14ac:dyDescent="0.3">
      <c r="A27" s="2">
        <v>45488</v>
      </c>
      <c r="B27" s="3" t="s">
        <v>40</v>
      </c>
      <c r="C27" s="3">
        <v>8137</v>
      </c>
      <c r="D27" s="3">
        <v>1045</v>
      </c>
      <c r="E27" s="3">
        <v>253858</v>
      </c>
      <c r="F27" s="4">
        <v>20.47246886054408</v>
      </c>
      <c r="G27" s="3">
        <v>12023</v>
      </c>
      <c r="H27" s="3">
        <f>(Table3_211[[#This Row],[New_Followers]]-Table3_211[[#This Row],[Unfollows]])</f>
        <v>7092</v>
      </c>
      <c r="I27" s="61">
        <f>Table3_211[[#This Row],[New followers - unfollows]]/(Table3_211[[#This Row],[Total_Followers]]-Table3_211[[#This Row],[New followers - unfollows]])</f>
        <v>2.8739777765170241E-2</v>
      </c>
    </row>
    <row r="28" spans="1:16" x14ac:dyDescent="0.3">
      <c r="A28" s="2">
        <v>45488</v>
      </c>
      <c r="B28" s="3" t="s">
        <v>13</v>
      </c>
      <c r="C28" s="3">
        <v>1963</v>
      </c>
      <c r="D28" s="3">
        <v>137</v>
      </c>
      <c r="E28" s="3">
        <v>255684</v>
      </c>
      <c r="F28" s="4">
        <v>11.2083665774941</v>
      </c>
      <c r="G28" s="3">
        <v>24537</v>
      </c>
      <c r="H28" s="3">
        <f>(Table3_211[[#This Row],[New_Followers]]-Table3_211[[#This Row],[Unfollows]])</f>
        <v>1826</v>
      </c>
      <c r="I28" s="61">
        <f>Table3_211[[#This Row],[New followers - unfollows]]/(Table3_211[[#This Row],[Total_Followers]]-Table3_211[[#This Row],[New followers - unfollows]])</f>
        <v>7.1929976601091952E-3</v>
      </c>
      <c r="K28" t="s">
        <v>419</v>
      </c>
    </row>
    <row r="29" spans="1:16" x14ac:dyDescent="0.3">
      <c r="A29" s="2">
        <v>45488</v>
      </c>
      <c r="B29" s="3" t="s">
        <v>22</v>
      </c>
      <c r="C29" s="3">
        <v>1536</v>
      </c>
      <c r="D29" s="3">
        <v>155</v>
      </c>
      <c r="E29" s="3">
        <v>257065</v>
      </c>
      <c r="F29" s="4">
        <v>12.15762550327738</v>
      </c>
      <c r="G29" s="3">
        <v>36661</v>
      </c>
      <c r="H29" s="3">
        <f>(Table3_211[[#This Row],[New_Followers]]-Table3_211[[#This Row],[Unfollows]])</f>
        <v>1381</v>
      </c>
      <c r="I29" s="61">
        <f>Table3_211[[#This Row],[New followers - unfollows]]/(Table3_211[[#This Row],[Total_Followers]]-Table3_211[[#This Row],[New followers - unfollows]])</f>
        <v>5.4011983542184882E-3</v>
      </c>
      <c r="K29" t="s">
        <v>420</v>
      </c>
    </row>
    <row r="30" spans="1:16" x14ac:dyDescent="0.3">
      <c r="A30" s="2">
        <v>45495</v>
      </c>
      <c r="B30" s="3" t="s">
        <v>18</v>
      </c>
      <c r="C30" s="3">
        <v>8340</v>
      </c>
      <c r="D30" s="3">
        <v>911</v>
      </c>
      <c r="E30" s="3">
        <v>264494</v>
      </c>
      <c r="F30" s="4">
        <v>37.302925586213682</v>
      </c>
      <c r="G30" s="3">
        <v>48659</v>
      </c>
      <c r="H30" s="3">
        <f>(Table3_211[[#This Row],[New_Followers]]-Table3_211[[#This Row],[Unfollows]])</f>
        <v>7429</v>
      </c>
      <c r="I30" s="61">
        <f>Table3_211[[#This Row],[New followers - unfollows]]/(Table3_211[[#This Row],[Total_Followers]]-Table3_211[[#This Row],[New followers - unfollows]])</f>
        <v>2.8899305623091436E-2</v>
      </c>
      <c r="K30" t="s">
        <v>421</v>
      </c>
    </row>
    <row r="31" spans="1:16" x14ac:dyDescent="0.3">
      <c r="A31" s="2">
        <v>45495</v>
      </c>
      <c r="B31" s="3" t="s">
        <v>40</v>
      </c>
      <c r="C31" s="3">
        <v>8179</v>
      </c>
      <c r="D31" s="3">
        <v>446</v>
      </c>
      <c r="E31" s="3">
        <v>272227</v>
      </c>
      <c r="F31" s="4">
        <v>41.82171496581897</v>
      </c>
      <c r="G31" s="3">
        <v>43848</v>
      </c>
      <c r="H31" s="3">
        <f>(Table3_211[[#This Row],[New_Followers]]-Table3_211[[#This Row],[Unfollows]])</f>
        <v>7733</v>
      </c>
      <c r="I31" s="61">
        <f>Table3_211[[#This Row],[New followers - unfollows]]/(Table3_211[[#This Row],[Total_Followers]]-Table3_211[[#This Row],[New followers - unfollows]])</f>
        <v>2.9236958116252165E-2</v>
      </c>
    </row>
    <row r="32" spans="1:16" x14ac:dyDescent="0.3">
      <c r="A32" s="2">
        <v>45495</v>
      </c>
      <c r="B32" s="3" t="s">
        <v>18</v>
      </c>
      <c r="C32" s="3">
        <v>8967</v>
      </c>
      <c r="D32" s="3">
        <v>993</v>
      </c>
      <c r="E32" s="3">
        <v>280201</v>
      </c>
      <c r="F32" s="4">
        <v>52.792102811910027</v>
      </c>
      <c r="G32" s="3">
        <v>47804</v>
      </c>
      <c r="H32" s="3">
        <f>(Table3_211[[#This Row],[New_Followers]]-Table3_211[[#This Row],[Unfollows]])</f>
        <v>7974</v>
      </c>
      <c r="I32" s="61">
        <f>Table3_211[[#This Row],[New followers - unfollows]]/(Table3_211[[#This Row],[Total_Followers]]-Table3_211[[#This Row],[New followers - unfollows]])</f>
        <v>2.9291730798194155E-2</v>
      </c>
    </row>
    <row r="33" spans="1:9" x14ac:dyDescent="0.3">
      <c r="A33" s="2">
        <v>45495</v>
      </c>
      <c r="B33" s="3" t="s">
        <v>13</v>
      </c>
      <c r="C33" s="3">
        <v>9734</v>
      </c>
      <c r="D33" s="3">
        <v>652</v>
      </c>
      <c r="E33" s="3">
        <v>289283</v>
      </c>
      <c r="F33" s="4">
        <v>49.647922622483861</v>
      </c>
      <c r="G33" s="3">
        <v>25379</v>
      </c>
      <c r="H33" s="3">
        <f>(Table3_211[[#This Row],[New_Followers]]-Table3_211[[#This Row],[Unfollows]])</f>
        <v>9082</v>
      </c>
      <c r="I33" s="61">
        <f>Table3_211[[#This Row],[New followers - unfollows]]/(Table3_211[[#This Row],[Total_Followers]]-Table3_211[[#This Row],[New followers - unfollows]])</f>
        <v>3.2412446779276308E-2</v>
      </c>
    </row>
    <row r="34" spans="1:9" x14ac:dyDescent="0.3">
      <c r="A34" s="2">
        <v>45502</v>
      </c>
      <c r="B34" s="3" t="s">
        <v>18</v>
      </c>
      <c r="C34" s="3">
        <v>1845</v>
      </c>
      <c r="D34" s="3">
        <v>104</v>
      </c>
      <c r="E34" s="3">
        <v>291024</v>
      </c>
      <c r="F34" s="4">
        <v>28.158158777282971</v>
      </c>
      <c r="G34" s="3">
        <v>37766</v>
      </c>
      <c r="H34" s="3">
        <f>(Table3_211[[#This Row],[New_Followers]]-Table3_211[[#This Row],[Unfollows]])</f>
        <v>1741</v>
      </c>
      <c r="I34" s="61">
        <f>Table3_211[[#This Row],[New followers - unfollows]]/(Table3_211[[#This Row],[Total_Followers]]-Table3_211[[#This Row],[New followers - unfollows]])</f>
        <v>6.0183280732016746E-3</v>
      </c>
    </row>
    <row r="35" spans="1:9" x14ac:dyDescent="0.3">
      <c r="A35" s="2">
        <v>45502</v>
      </c>
      <c r="B35" s="3" t="s">
        <v>18</v>
      </c>
      <c r="C35" s="3">
        <v>6777</v>
      </c>
      <c r="D35" s="3">
        <v>981</v>
      </c>
      <c r="E35" s="3">
        <v>296820</v>
      </c>
      <c r="F35" s="4">
        <v>23.920557913887201</v>
      </c>
      <c r="G35" s="3">
        <v>53590</v>
      </c>
      <c r="H35" s="3">
        <f>(Table3_211[[#This Row],[New_Followers]]-Table3_211[[#This Row],[Unfollows]])</f>
        <v>5796</v>
      </c>
      <c r="I35" s="61">
        <f>Table3_211[[#This Row],[New followers - unfollows]]/(Table3_211[[#This Row],[Total_Followers]]-Table3_211[[#This Row],[New followers - unfollows]])</f>
        <v>1.9915883226125679E-2</v>
      </c>
    </row>
    <row r="36" spans="1:9" x14ac:dyDescent="0.3">
      <c r="A36" s="2">
        <v>45502</v>
      </c>
      <c r="B36" s="3" t="s">
        <v>13</v>
      </c>
      <c r="C36" s="3">
        <v>4036</v>
      </c>
      <c r="D36" s="3">
        <v>591</v>
      </c>
      <c r="E36" s="3">
        <v>300265</v>
      </c>
      <c r="F36" s="4">
        <v>44.219272975538267</v>
      </c>
      <c r="G36" s="3">
        <v>12563</v>
      </c>
      <c r="H36" s="3">
        <f>(Table3_211[[#This Row],[New_Followers]]-Table3_211[[#This Row],[Unfollows]])</f>
        <v>3445</v>
      </c>
      <c r="I36" s="61">
        <f>Table3_211[[#This Row],[New followers - unfollows]]/(Table3_211[[#This Row],[Total_Followers]]-Table3_211[[#This Row],[New followers - unfollows]])</f>
        <v>1.1606360757361364E-2</v>
      </c>
    </row>
    <row r="37" spans="1:9" x14ac:dyDescent="0.3">
      <c r="A37" s="2">
        <v>45502</v>
      </c>
      <c r="B37" s="3" t="s">
        <v>40</v>
      </c>
      <c r="C37" s="3">
        <v>6947</v>
      </c>
      <c r="D37" s="3">
        <v>908</v>
      </c>
      <c r="E37" s="3">
        <v>306304</v>
      </c>
      <c r="F37" s="4">
        <v>14.117673944839121</v>
      </c>
      <c r="G37" s="3">
        <v>46060</v>
      </c>
      <c r="H37" s="3">
        <f>(Table3_211[[#This Row],[New_Followers]]-Table3_211[[#This Row],[Unfollows]])</f>
        <v>6039</v>
      </c>
      <c r="I37" s="61">
        <f>Table3_211[[#This Row],[New followers - unfollows]]/(Table3_211[[#This Row],[Total_Followers]]-Table3_211[[#This Row],[New followers - unfollows]])</f>
        <v>2.0112234193129401E-2</v>
      </c>
    </row>
    <row r="38" spans="1:9" x14ac:dyDescent="0.3">
      <c r="A38" s="2">
        <v>45509</v>
      </c>
      <c r="B38" s="3" t="s">
        <v>22</v>
      </c>
      <c r="C38" s="3">
        <v>3494</v>
      </c>
      <c r="D38" s="3">
        <v>281</v>
      </c>
      <c r="E38" s="3">
        <v>309517</v>
      </c>
      <c r="F38" s="4">
        <v>27.765518533715429</v>
      </c>
      <c r="G38" s="3">
        <v>39197</v>
      </c>
      <c r="H38" s="3">
        <f>(Table3_211[[#This Row],[New_Followers]]-Table3_211[[#This Row],[Unfollows]])</f>
        <v>3213</v>
      </c>
      <c r="I38" s="61">
        <f>Table3_211[[#This Row],[New followers - unfollows]]/(Table3_211[[#This Row],[Total_Followers]]-Table3_211[[#This Row],[New followers - unfollows]])</f>
        <v>1.0489578980359382E-2</v>
      </c>
    </row>
    <row r="39" spans="1:9" x14ac:dyDescent="0.3">
      <c r="A39" s="2">
        <v>45509</v>
      </c>
      <c r="B39" s="3" t="s">
        <v>40</v>
      </c>
      <c r="C39" s="3">
        <v>3719</v>
      </c>
      <c r="D39" s="3">
        <v>222</v>
      </c>
      <c r="E39" s="3">
        <v>313014</v>
      </c>
      <c r="F39" s="4">
        <v>21.669318305251519</v>
      </c>
      <c r="G39" s="3">
        <v>13586</v>
      </c>
      <c r="H39" s="3">
        <f>(Table3_211[[#This Row],[New_Followers]]-Table3_211[[#This Row],[Unfollows]])</f>
        <v>3497</v>
      </c>
      <c r="I39" s="61">
        <f>Table3_211[[#This Row],[New followers - unfollows]]/(Table3_211[[#This Row],[Total_Followers]]-Table3_211[[#This Row],[New followers - unfollows]])</f>
        <v>1.1298248561468353E-2</v>
      </c>
    </row>
    <row r="40" spans="1:9" x14ac:dyDescent="0.3">
      <c r="A40" s="2">
        <v>45509</v>
      </c>
      <c r="B40" s="3" t="s">
        <v>13</v>
      </c>
      <c r="C40" s="3">
        <v>2884</v>
      </c>
      <c r="D40" s="3">
        <v>341</v>
      </c>
      <c r="E40" s="3">
        <v>315557</v>
      </c>
      <c r="F40" s="4">
        <v>46.999749649033298</v>
      </c>
      <c r="G40" s="3">
        <v>26087</v>
      </c>
      <c r="H40" s="3">
        <f>(Table3_211[[#This Row],[New_Followers]]-Table3_211[[#This Row],[Unfollows]])</f>
        <v>2543</v>
      </c>
      <c r="I40" s="61">
        <f>Table3_211[[#This Row],[New followers - unfollows]]/(Table3_211[[#This Row],[Total_Followers]]-Table3_211[[#This Row],[New followers - unfollows]])</f>
        <v>8.1242372545636942E-3</v>
      </c>
    </row>
    <row r="41" spans="1:9" x14ac:dyDescent="0.3">
      <c r="A41" s="2">
        <v>45509</v>
      </c>
      <c r="B41" s="3" t="s">
        <v>18</v>
      </c>
      <c r="C41" s="3">
        <v>5349</v>
      </c>
      <c r="D41" s="3">
        <v>502</v>
      </c>
      <c r="E41" s="3">
        <v>320404</v>
      </c>
      <c r="F41" s="4">
        <v>5.2152906954969351</v>
      </c>
      <c r="G41" s="3">
        <v>58868</v>
      </c>
      <c r="H41" s="3">
        <f>(Table3_211[[#This Row],[New_Followers]]-Table3_211[[#This Row],[Unfollows]])</f>
        <v>4847</v>
      </c>
      <c r="I41" s="61">
        <f>Table3_211[[#This Row],[New followers - unfollows]]/(Table3_211[[#This Row],[Total_Followers]]-Table3_211[[#This Row],[New followers - unfollows]])</f>
        <v>1.5360140957101252E-2</v>
      </c>
    </row>
    <row r="42" spans="1:9" x14ac:dyDescent="0.3">
      <c r="A42" s="2">
        <v>45516</v>
      </c>
      <c r="B42" s="3" t="s">
        <v>40</v>
      </c>
      <c r="C42" s="3">
        <v>6179</v>
      </c>
      <c r="D42" s="3">
        <v>384</v>
      </c>
      <c r="E42" s="3">
        <v>326199</v>
      </c>
      <c r="F42" s="4">
        <v>14.71218489327067</v>
      </c>
      <c r="G42" s="3">
        <v>33225</v>
      </c>
      <c r="H42" s="3">
        <f>(Table3_211[[#This Row],[New_Followers]]-Table3_211[[#This Row],[Unfollows]])</f>
        <v>5795</v>
      </c>
      <c r="I42" s="61">
        <f>Table3_211[[#This Row],[New followers - unfollows]]/(Table3_211[[#This Row],[Total_Followers]]-Table3_211[[#This Row],[New followers - unfollows]])</f>
        <v>1.8086540742312831E-2</v>
      </c>
    </row>
    <row r="43" spans="1:9" x14ac:dyDescent="0.3">
      <c r="A43" s="2">
        <v>45516</v>
      </c>
      <c r="B43" s="3" t="s">
        <v>22</v>
      </c>
      <c r="C43" s="3">
        <v>7610</v>
      </c>
      <c r="D43" s="3">
        <v>757</v>
      </c>
      <c r="E43" s="3">
        <v>333052</v>
      </c>
      <c r="F43" s="4">
        <v>44.450416151231643</v>
      </c>
      <c r="G43" s="3">
        <v>39750</v>
      </c>
      <c r="H43" s="3">
        <f>(Table3_211[[#This Row],[New_Followers]]-Table3_211[[#This Row],[Unfollows]])</f>
        <v>6853</v>
      </c>
      <c r="I43" s="61">
        <f>Table3_211[[#This Row],[New followers - unfollows]]/(Table3_211[[#This Row],[Total_Followers]]-Table3_211[[#This Row],[New followers - unfollows]])</f>
        <v>2.1008648095181163E-2</v>
      </c>
    </row>
    <row r="44" spans="1:9" x14ac:dyDescent="0.3">
      <c r="A44" s="2">
        <v>45516</v>
      </c>
      <c r="B44" s="3" t="s">
        <v>13</v>
      </c>
      <c r="C44" s="3">
        <v>7430</v>
      </c>
      <c r="D44" s="3">
        <v>397</v>
      </c>
      <c r="E44" s="3">
        <v>340085</v>
      </c>
      <c r="F44" s="4">
        <v>28.065042562888689</v>
      </c>
      <c r="G44" s="3">
        <v>16643</v>
      </c>
      <c r="H44" s="3">
        <f>(Table3_211[[#This Row],[New_Followers]]-Table3_211[[#This Row],[Unfollows]])</f>
        <v>7033</v>
      </c>
      <c r="I44" s="61">
        <f>Table3_211[[#This Row],[New followers - unfollows]]/(Table3_211[[#This Row],[Total_Followers]]-Table3_211[[#This Row],[New followers - unfollows]])</f>
        <v>2.1116822598272942E-2</v>
      </c>
    </row>
    <row r="45" spans="1:9" x14ac:dyDescent="0.3">
      <c r="A45" s="2">
        <v>45516</v>
      </c>
      <c r="B45" s="3" t="s">
        <v>40</v>
      </c>
      <c r="C45" s="3">
        <v>8154</v>
      </c>
      <c r="D45" s="3">
        <v>1149</v>
      </c>
      <c r="E45" s="3">
        <v>347090</v>
      </c>
      <c r="F45" s="4">
        <v>26.003918292085629</v>
      </c>
      <c r="G45" s="3">
        <v>37523</v>
      </c>
      <c r="H45" s="3">
        <f>(Table3_211[[#This Row],[New_Followers]]-Table3_211[[#This Row],[Unfollows]])</f>
        <v>7005</v>
      </c>
      <c r="I45" s="61">
        <f>Table3_211[[#This Row],[New followers - unfollows]]/(Table3_211[[#This Row],[Total_Followers]]-Table3_211[[#This Row],[New followers - unfollows]])</f>
        <v>2.0597791728538452E-2</v>
      </c>
    </row>
    <row r="46" spans="1:9" x14ac:dyDescent="0.3">
      <c r="A46" s="2">
        <v>45523</v>
      </c>
      <c r="B46" s="3" t="s">
        <v>22</v>
      </c>
      <c r="C46" s="3">
        <v>7488</v>
      </c>
      <c r="D46" s="3">
        <v>568</v>
      </c>
      <c r="E46" s="3">
        <v>354010</v>
      </c>
      <c r="F46" s="4">
        <v>13.47730290104799</v>
      </c>
      <c r="G46" s="3">
        <v>46727</v>
      </c>
      <c r="H46" s="3">
        <f>(Table3_211[[#This Row],[New_Followers]]-Table3_211[[#This Row],[Unfollows]])</f>
        <v>6920</v>
      </c>
      <c r="I46" s="61">
        <f>Table3_211[[#This Row],[New followers - unfollows]]/(Table3_211[[#This Row],[Total_Followers]]-Table3_211[[#This Row],[New followers - unfollows]])</f>
        <v>1.9937192082745109E-2</v>
      </c>
    </row>
    <row r="47" spans="1:9" x14ac:dyDescent="0.3">
      <c r="A47" s="2">
        <v>45523</v>
      </c>
      <c r="B47" s="3" t="s">
        <v>13</v>
      </c>
      <c r="C47" s="3">
        <v>5737</v>
      </c>
      <c r="D47" s="3">
        <v>666</v>
      </c>
      <c r="E47" s="3">
        <v>359081</v>
      </c>
      <c r="F47" s="4">
        <v>4.6034181702735593</v>
      </c>
      <c r="G47" s="3">
        <v>21005</v>
      </c>
      <c r="H47" s="3">
        <f>(Table3_211[[#This Row],[New_Followers]]-Table3_211[[#This Row],[Unfollows]])</f>
        <v>5071</v>
      </c>
      <c r="I47" s="61">
        <f>Table3_211[[#This Row],[New followers - unfollows]]/(Table3_211[[#This Row],[Total_Followers]]-Table3_211[[#This Row],[New followers - unfollows]])</f>
        <v>1.4324454111465778E-2</v>
      </c>
    </row>
    <row r="48" spans="1:9" x14ac:dyDescent="0.3">
      <c r="A48" s="2">
        <v>45523</v>
      </c>
      <c r="B48" s="3" t="s">
        <v>22</v>
      </c>
      <c r="C48" s="3">
        <v>7525</v>
      </c>
      <c r="D48" s="3">
        <v>610</v>
      </c>
      <c r="E48" s="3">
        <v>365996</v>
      </c>
      <c r="F48" s="4">
        <v>5.7694619613329108</v>
      </c>
      <c r="G48" s="3">
        <v>53543</v>
      </c>
      <c r="H48" s="3">
        <f>(Table3_211[[#This Row],[New_Followers]]-Table3_211[[#This Row],[Unfollows]])</f>
        <v>6915</v>
      </c>
      <c r="I48" s="61">
        <f>Table3_211[[#This Row],[New followers - unfollows]]/(Table3_211[[#This Row],[Total_Followers]]-Table3_211[[#This Row],[New followers - unfollows]])</f>
        <v>1.9257493434628955E-2</v>
      </c>
    </row>
    <row r="49" spans="1:9" x14ac:dyDescent="0.3">
      <c r="A49" s="2">
        <v>45523</v>
      </c>
      <c r="B49" s="3" t="s">
        <v>13</v>
      </c>
      <c r="C49" s="3">
        <v>4850</v>
      </c>
      <c r="D49" s="3">
        <v>494</v>
      </c>
      <c r="E49" s="3">
        <v>370352</v>
      </c>
      <c r="F49" s="4">
        <v>20.46539508359615</v>
      </c>
      <c r="G49" s="3">
        <v>10161</v>
      </c>
      <c r="H49" s="3">
        <f>(Table3_211[[#This Row],[New_Followers]]-Table3_211[[#This Row],[Unfollows]])</f>
        <v>4356</v>
      </c>
      <c r="I49" s="61">
        <f>Table3_211[[#This Row],[New followers - unfollows]]/(Table3_211[[#This Row],[Total_Followers]]-Table3_211[[#This Row],[New followers - unfollows]])</f>
        <v>1.1901769418245008E-2</v>
      </c>
    </row>
    <row r="50" spans="1:9" x14ac:dyDescent="0.3">
      <c r="A50" s="2">
        <v>45530</v>
      </c>
      <c r="B50" s="3" t="s">
        <v>18</v>
      </c>
      <c r="C50" s="3">
        <v>1689</v>
      </c>
      <c r="D50" s="3">
        <v>176</v>
      </c>
      <c r="E50" s="3">
        <v>371865</v>
      </c>
      <c r="F50" s="4">
        <v>38.012181840183942</v>
      </c>
      <c r="G50" s="3">
        <v>26029</v>
      </c>
      <c r="H50" s="3">
        <f>(Table3_211[[#This Row],[New_Followers]]-Table3_211[[#This Row],[Unfollows]])</f>
        <v>1513</v>
      </c>
      <c r="I50" s="61">
        <f>Table3_211[[#This Row],[New followers - unfollows]]/(Table3_211[[#This Row],[Total_Followers]]-Table3_211[[#This Row],[New followers - unfollows]])</f>
        <v>4.0853026310104981E-3</v>
      </c>
    </row>
    <row r="51" spans="1:9" x14ac:dyDescent="0.3">
      <c r="A51" s="2">
        <v>45530</v>
      </c>
      <c r="B51" s="3" t="s">
        <v>40</v>
      </c>
      <c r="C51" s="3">
        <v>6175</v>
      </c>
      <c r="D51" s="3">
        <v>422</v>
      </c>
      <c r="E51" s="3">
        <v>377618</v>
      </c>
      <c r="F51" s="4">
        <v>37.86101298137271</v>
      </c>
      <c r="G51" s="3">
        <v>59745</v>
      </c>
      <c r="H51" s="3">
        <f>(Table3_211[[#This Row],[New_Followers]]-Table3_211[[#This Row],[Unfollows]])</f>
        <v>5753</v>
      </c>
      <c r="I51" s="61">
        <f>Table3_211[[#This Row],[New followers - unfollows]]/(Table3_211[[#This Row],[Total_Followers]]-Table3_211[[#This Row],[New followers - unfollows]])</f>
        <v>1.5470668118806557E-2</v>
      </c>
    </row>
    <row r="52" spans="1:9" x14ac:dyDescent="0.3">
      <c r="A52" s="2">
        <v>45530</v>
      </c>
      <c r="B52" s="3" t="s">
        <v>22</v>
      </c>
      <c r="C52" s="3">
        <v>9648</v>
      </c>
      <c r="D52" s="3">
        <v>1417</v>
      </c>
      <c r="E52" s="3">
        <v>385849</v>
      </c>
      <c r="F52" s="4">
        <v>3.6633501706626168</v>
      </c>
      <c r="G52" s="3">
        <v>24226</v>
      </c>
      <c r="H52" s="3">
        <f>(Table3_211[[#This Row],[New_Followers]]-Table3_211[[#This Row],[Unfollows]])</f>
        <v>8231</v>
      </c>
      <c r="I52" s="61">
        <f>Table3_211[[#This Row],[New followers - unfollows]]/(Table3_211[[#This Row],[Total_Followers]]-Table3_211[[#This Row],[New followers - unfollows]])</f>
        <v>2.1797160093004041E-2</v>
      </c>
    </row>
    <row r="53" spans="1:9" x14ac:dyDescent="0.3">
      <c r="A53" s="2">
        <v>45530</v>
      </c>
      <c r="B53" s="3" t="s">
        <v>13</v>
      </c>
      <c r="C53" s="3">
        <v>6078</v>
      </c>
      <c r="D53" s="3">
        <v>775</v>
      </c>
      <c r="E53" s="3">
        <v>391152</v>
      </c>
      <c r="F53" s="4">
        <v>37.760512537325639</v>
      </c>
      <c r="G53" s="3">
        <v>38731</v>
      </c>
      <c r="H53" s="3">
        <f>(Table3_211[[#This Row],[New_Followers]]-Table3_211[[#This Row],[Unfollows]])</f>
        <v>5303</v>
      </c>
      <c r="I53" s="61">
        <f>Table3_211[[#This Row],[New followers - unfollows]]/(Table3_211[[#This Row],[Total_Followers]]-Table3_211[[#This Row],[New followers - unfollows]])</f>
        <v>1.3743718397611501E-2</v>
      </c>
    </row>
    <row r="54" spans="1:9" x14ac:dyDescent="0.3">
      <c r="A54" s="2">
        <v>45537</v>
      </c>
      <c r="B54" s="3" t="s">
        <v>22</v>
      </c>
      <c r="C54" s="3">
        <v>6448</v>
      </c>
      <c r="D54" s="3">
        <v>928</v>
      </c>
      <c r="E54" s="3">
        <v>396672</v>
      </c>
      <c r="F54" s="4">
        <v>30.118586640851881</v>
      </c>
      <c r="G54" s="3">
        <v>53922</v>
      </c>
      <c r="H54" s="3">
        <f>(Table3_211[[#This Row],[New_Followers]]-Table3_211[[#This Row],[Unfollows]])</f>
        <v>5520</v>
      </c>
      <c r="I54" s="61">
        <f>Table3_211[[#This Row],[New followers - unfollows]]/(Table3_211[[#This Row],[Total_Followers]]-Table3_211[[#This Row],[New followers - unfollows]])</f>
        <v>1.4112161001349859E-2</v>
      </c>
    </row>
    <row r="55" spans="1:9" x14ac:dyDescent="0.3">
      <c r="A55" s="2">
        <v>45537</v>
      </c>
      <c r="B55" s="3" t="s">
        <v>22</v>
      </c>
      <c r="C55" s="3">
        <v>2179</v>
      </c>
      <c r="D55" s="3">
        <v>303</v>
      </c>
      <c r="E55" s="3">
        <v>398548</v>
      </c>
      <c r="F55" s="4">
        <v>33.909842729106657</v>
      </c>
      <c r="G55" s="3">
        <v>54848</v>
      </c>
      <c r="H55" s="3">
        <f>(Table3_211[[#This Row],[New_Followers]]-Table3_211[[#This Row],[Unfollows]])</f>
        <v>1876</v>
      </c>
      <c r="I55" s="61">
        <f>Table3_211[[#This Row],[New followers - unfollows]]/(Table3_211[[#This Row],[Total_Followers]]-Table3_211[[#This Row],[New followers - unfollows]])</f>
        <v>4.7293481768312358E-3</v>
      </c>
    </row>
    <row r="56" spans="1:9" x14ac:dyDescent="0.3">
      <c r="A56" s="2">
        <v>45537</v>
      </c>
      <c r="B56" s="3" t="s">
        <v>40</v>
      </c>
      <c r="C56" s="3">
        <v>7406</v>
      </c>
      <c r="D56" s="3">
        <v>813</v>
      </c>
      <c r="E56" s="3">
        <v>405141</v>
      </c>
      <c r="F56" s="4">
        <v>24.457411123534769</v>
      </c>
      <c r="G56" s="3">
        <v>13390</v>
      </c>
      <c r="H56" s="3">
        <f>(Table3_211[[#This Row],[New_Followers]]-Table3_211[[#This Row],[Unfollows]])</f>
        <v>6593</v>
      </c>
      <c r="I56" s="61">
        <f>Table3_211[[#This Row],[New followers - unfollows]]/(Table3_211[[#This Row],[Total_Followers]]-Table3_211[[#This Row],[New followers - unfollows]])</f>
        <v>1.6542549454519908E-2</v>
      </c>
    </row>
    <row r="57" spans="1:9" x14ac:dyDescent="0.3">
      <c r="A57" s="2">
        <v>45537</v>
      </c>
      <c r="B57" s="3" t="s">
        <v>18</v>
      </c>
      <c r="C57" s="3">
        <v>9591</v>
      </c>
      <c r="D57" s="3">
        <v>1363</v>
      </c>
      <c r="E57" s="3">
        <v>413369</v>
      </c>
      <c r="F57" s="4">
        <v>10.494255737609739</v>
      </c>
      <c r="G57" s="3">
        <v>15997</v>
      </c>
      <c r="H57" s="3">
        <f>(Table3_211[[#This Row],[New_Followers]]-Table3_211[[#This Row],[Unfollows]])</f>
        <v>8228</v>
      </c>
      <c r="I57" s="61">
        <f>Table3_211[[#This Row],[New followers - unfollows]]/(Table3_211[[#This Row],[Total_Followers]]-Table3_211[[#This Row],[New followers - unfollows]])</f>
        <v>2.0308978849338872E-2</v>
      </c>
    </row>
    <row r="58" spans="1:9" x14ac:dyDescent="0.3">
      <c r="A58" s="2">
        <v>45544</v>
      </c>
      <c r="B58" s="3" t="s">
        <v>22</v>
      </c>
      <c r="C58" s="3">
        <v>7907</v>
      </c>
      <c r="D58" s="3">
        <v>465</v>
      </c>
      <c r="E58" s="3">
        <v>420811</v>
      </c>
      <c r="F58" s="4">
        <v>33.257448118038738</v>
      </c>
      <c r="G58" s="3">
        <v>22693</v>
      </c>
      <c r="H58" s="3">
        <f>(Table3_211[[#This Row],[New_Followers]]-Table3_211[[#This Row],[Unfollows]])</f>
        <v>7442</v>
      </c>
      <c r="I58" s="61">
        <f>Table3_211[[#This Row],[New followers - unfollows]]/(Table3_211[[#This Row],[Total_Followers]]-Table3_211[[#This Row],[New followers - unfollows]])</f>
        <v>1.8003285200389966E-2</v>
      </c>
    </row>
    <row r="59" spans="1:9" x14ac:dyDescent="0.3">
      <c r="A59" s="2">
        <v>45544</v>
      </c>
      <c r="B59" s="3" t="s">
        <v>13</v>
      </c>
      <c r="C59" s="3">
        <v>9800</v>
      </c>
      <c r="D59" s="3">
        <v>682</v>
      </c>
      <c r="E59" s="3">
        <v>429929</v>
      </c>
      <c r="F59" s="4">
        <v>6.2966210699906267</v>
      </c>
      <c r="G59" s="3">
        <v>59815</v>
      </c>
      <c r="H59" s="3">
        <f>(Table3_211[[#This Row],[New_Followers]]-Table3_211[[#This Row],[Unfollows]])</f>
        <v>9118</v>
      </c>
      <c r="I59" s="61">
        <f>Table3_211[[#This Row],[New followers - unfollows]]/(Table3_211[[#This Row],[Total_Followers]]-Table3_211[[#This Row],[New followers - unfollows]])</f>
        <v>2.1667684542466807E-2</v>
      </c>
    </row>
    <row r="60" spans="1:9" x14ac:dyDescent="0.3">
      <c r="A60" s="2">
        <v>45544</v>
      </c>
      <c r="B60" s="3" t="s">
        <v>13</v>
      </c>
      <c r="C60" s="3">
        <v>2638</v>
      </c>
      <c r="D60" s="3">
        <v>143</v>
      </c>
      <c r="E60" s="3">
        <v>432424</v>
      </c>
      <c r="F60" s="4">
        <v>6.9547481175882924</v>
      </c>
      <c r="G60" s="3">
        <v>52092</v>
      </c>
      <c r="H60" s="3">
        <f>(Table3_211[[#This Row],[New_Followers]]-Table3_211[[#This Row],[Unfollows]])</f>
        <v>2495</v>
      </c>
      <c r="I60" s="61">
        <f>Table3_211[[#This Row],[New followers - unfollows]]/(Table3_211[[#This Row],[Total_Followers]]-Table3_211[[#This Row],[New followers - unfollows]])</f>
        <v>5.8032837980224643E-3</v>
      </c>
    </row>
    <row r="61" spans="1:9" x14ac:dyDescent="0.3">
      <c r="A61" s="2">
        <v>45544</v>
      </c>
      <c r="B61" s="3" t="s">
        <v>18</v>
      </c>
      <c r="C61" s="3">
        <v>6671</v>
      </c>
      <c r="D61" s="3">
        <v>550</v>
      </c>
      <c r="E61" s="3">
        <v>438545</v>
      </c>
      <c r="F61" s="4">
        <v>17.750287883797562</v>
      </c>
      <c r="G61" s="3">
        <v>10541</v>
      </c>
      <c r="H61" s="3">
        <f>(Table3_211[[#This Row],[New_Followers]]-Table3_211[[#This Row],[Unfollows]])</f>
        <v>6121</v>
      </c>
      <c r="I61" s="61">
        <f>Table3_211[[#This Row],[New followers - unfollows]]/(Table3_211[[#This Row],[Total_Followers]]-Table3_211[[#This Row],[New followers - unfollows]])</f>
        <v>1.4155088524226223E-2</v>
      </c>
    </row>
    <row r="62" spans="1:9" x14ac:dyDescent="0.3">
      <c r="A62" s="2">
        <v>45551</v>
      </c>
      <c r="B62" s="3" t="s">
        <v>13</v>
      </c>
      <c r="C62" s="3">
        <v>7928</v>
      </c>
      <c r="D62" s="3">
        <v>704</v>
      </c>
      <c r="E62" s="3">
        <v>445769</v>
      </c>
      <c r="F62" s="4">
        <v>11.194362999670229</v>
      </c>
      <c r="G62" s="3">
        <v>31817</v>
      </c>
      <c r="H62" s="3">
        <f>(Table3_211[[#This Row],[New_Followers]]-Table3_211[[#This Row],[Unfollows]])</f>
        <v>7224</v>
      </c>
      <c r="I62" s="61">
        <f>Table3_211[[#This Row],[New followers - unfollows]]/(Table3_211[[#This Row],[Total_Followers]]-Table3_211[[#This Row],[New followers - unfollows]])</f>
        <v>1.6472653889566636E-2</v>
      </c>
    </row>
    <row r="63" spans="1:9" x14ac:dyDescent="0.3">
      <c r="A63" s="2">
        <v>45551</v>
      </c>
      <c r="B63" s="3" t="s">
        <v>18</v>
      </c>
      <c r="C63" s="3">
        <v>2382</v>
      </c>
      <c r="D63" s="3">
        <v>183</v>
      </c>
      <c r="E63" s="3">
        <v>447968</v>
      </c>
      <c r="F63" s="4">
        <v>4.7335970426459033</v>
      </c>
      <c r="G63" s="3">
        <v>47861</v>
      </c>
      <c r="H63" s="3">
        <f>(Table3_211[[#This Row],[New_Followers]]-Table3_211[[#This Row],[Unfollows]])</f>
        <v>2199</v>
      </c>
      <c r="I63" s="61">
        <f>Table3_211[[#This Row],[New followers - unfollows]]/(Table3_211[[#This Row],[Total_Followers]]-Table3_211[[#This Row],[New followers - unfollows]])</f>
        <v>4.9330482828550213E-3</v>
      </c>
    </row>
    <row r="64" spans="1:9" x14ac:dyDescent="0.3">
      <c r="A64" s="2">
        <v>45551</v>
      </c>
      <c r="B64" s="3" t="s">
        <v>13</v>
      </c>
      <c r="C64" s="3">
        <v>2403</v>
      </c>
      <c r="D64" s="3">
        <v>319</v>
      </c>
      <c r="E64" s="3">
        <v>450052</v>
      </c>
      <c r="F64" s="4">
        <v>29.92120910472568</v>
      </c>
      <c r="G64" s="3">
        <v>23428</v>
      </c>
      <c r="H64" s="3">
        <f>(Table3_211[[#This Row],[New_Followers]]-Table3_211[[#This Row],[Unfollows]])</f>
        <v>2084</v>
      </c>
      <c r="I64" s="61">
        <f>Table3_211[[#This Row],[New followers - unfollows]]/(Table3_211[[#This Row],[Total_Followers]]-Table3_211[[#This Row],[New followers - unfollows]])</f>
        <v>4.6521180084291734E-3</v>
      </c>
    </row>
    <row r="65" spans="1:9" x14ac:dyDescent="0.3">
      <c r="A65" s="2">
        <v>45551</v>
      </c>
      <c r="B65" s="3" t="s">
        <v>40</v>
      </c>
      <c r="C65" s="3">
        <v>4292</v>
      </c>
      <c r="D65" s="3">
        <v>367</v>
      </c>
      <c r="E65" s="3">
        <v>453977</v>
      </c>
      <c r="F65" s="4">
        <v>3.5037017293827661</v>
      </c>
      <c r="G65" s="3">
        <v>53934</v>
      </c>
      <c r="H65" s="3">
        <f>(Table3_211[[#This Row],[New_Followers]]-Table3_211[[#This Row],[Unfollows]])</f>
        <v>3925</v>
      </c>
      <c r="I65" s="61">
        <f>Table3_211[[#This Row],[New followers - unfollows]]/(Table3_211[[#This Row],[Total_Followers]]-Table3_211[[#This Row],[New followers - unfollows]])</f>
        <v>8.7212144374427848E-3</v>
      </c>
    </row>
    <row r="66" spans="1:9" x14ac:dyDescent="0.3">
      <c r="A66" s="2">
        <v>45558</v>
      </c>
      <c r="B66" s="3" t="s">
        <v>22</v>
      </c>
      <c r="C66" s="3">
        <v>1419</v>
      </c>
      <c r="D66" s="3">
        <v>110</v>
      </c>
      <c r="E66" s="3">
        <v>455286</v>
      </c>
      <c r="F66" s="4">
        <v>31.554451487636339</v>
      </c>
      <c r="G66" s="3">
        <v>58831</v>
      </c>
      <c r="H66" s="3">
        <f>(Table3_211[[#This Row],[New_Followers]]-Table3_211[[#This Row],[Unfollows]])</f>
        <v>1309</v>
      </c>
      <c r="I66" s="61">
        <f>Table3_211[[#This Row],[New followers - unfollows]]/(Table3_211[[#This Row],[Total_Followers]]-Table3_211[[#This Row],[New followers - unfollows]])</f>
        <v>2.8834059875280024E-3</v>
      </c>
    </row>
    <row r="67" spans="1:9" x14ac:dyDescent="0.3">
      <c r="A67" s="2">
        <v>45558</v>
      </c>
      <c r="B67" s="3" t="s">
        <v>40</v>
      </c>
      <c r="C67" s="3">
        <v>5517</v>
      </c>
      <c r="D67" s="3">
        <v>575</v>
      </c>
      <c r="E67" s="3">
        <v>460228</v>
      </c>
      <c r="F67" s="4">
        <v>29.45844233727631</v>
      </c>
      <c r="G67" s="3">
        <v>20258</v>
      </c>
      <c r="H67" s="3">
        <f>(Table3_211[[#This Row],[New_Followers]]-Table3_211[[#This Row],[Unfollows]])</f>
        <v>4942</v>
      </c>
      <c r="I67" s="61">
        <f>Table3_211[[#This Row],[New followers - unfollows]]/(Table3_211[[#This Row],[Total_Followers]]-Table3_211[[#This Row],[New followers - unfollows]])</f>
        <v>1.0854715497511455E-2</v>
      </c>
    </row>
    <row r="68" spans="1:9" x14ac:dyDescent="0.3">
      <c r="A68" s="2">
        <v>45558</v>
      </c>
      <c r="B68" s="3" t="s">
        <v>22</v>
      </c>
      <c r="C68" s="3">
        <v>4302</v>
      </c>
      <c r="D68" s="3">
        <v>275</v>
      </c>
      <c r="E68" s="3">
        <v>464255</v>
      </c>
      <c r="F68" s="4">
        <v>15.72131694865968</v>
      </c>
      <c r="G68" s="3">
        <v>26044</v>
      </c>
      <c r="H68" s="3">
        <f>(Table3_211[[#This Row],[New_Followers]]-Table3_211[[#This Row],[Unfollows]])</f>
        <v>4027</v>
      </c>
      <c r="I68" s="61">
        <f>Table3_211[[#This Row],[New followers - unfollows]]/(Table3_211[[#This Row],[Total_Followers]]-Table3_211[[#This Row],[New followers - unfollows]])</f>
        <v>8.7500108641803635E-3</v>
      </c>
    </row>
    <row r="69" spans="1:9" x14ac:dyDescent="0.3">
      <c r="A69" s="2">
        <v>45558</v>
      </c>
      <c r="B69" s="3" t="s">
        <v>22</v>
      </c>
      <c r="C69" s="3">
        <v>8857</v>
      </c>
      <c r="D69" s="3">
        <v>1153</v>
      </c>
      <c r="E69" s="3">
        <v>471959</v>
      </c>
      <c r="F69" s="4">
        <v>19.214592793018038</v>
      </c>
      <c r="G69" s="3">
        <v>39411</v>
      </c>
      <c r="H69" s="3">
        <f>(Table3_211[[#This Row],[New_Followers]]-Table3_211[[#This Row],[Unfollows]])</f>
        <v>7704</v>
      </c>
      <c r="I69" s="61">
        <f>Table3_211[[#This Row],[New followers - unfollows]]/(Table3_211[[#This Row],[Total_Followers]]-Table3_211[[#This Row],[New followers - unfollows]])</f>
        <v>1.6594328547888552E-2</v>
      </c>
    </row>
    <row r="70" spans="1:9" x14ac:dyDescent="0.3">
      <c r="A70" s="2">
        <v>45565</v>
      </c>
      <c r="B70" s="3" t="s">
        <v>22</v>
      </c>
      <c r="C70" s="3">
        <v>8870</v>
      </c>
      <c r="D70" s="3">
        <v>509</v>
      </c>
      <c r="E70" s="3">
        <v>480320</v>
      </c>
      <c r="F70" s="4">
        <v>25.077864756828781</v>
      </c>
      <c r="G70" s="3">
        <v>15469</v>
      </c>
      <c r="H70" s="3">
        <f>(Table3_211[[#This Row],[New_Followers]]-Table3_211[[#This Row],[Unfollows]])</f>
        <v>8361</v>
      </c>
      <c r="I70" s="61">
        <f>Table3_211[[#This Row],[New followers - unfollows]]/(Table3_211[[#This Row],[Total_Followers]]-Table3_211[[#This Row],[New followers - unfollows]])</f>
        <v>1.7715521899148018E-2</v>
      </c>
    </row>
    <row r="71" spans="1:9" x14ac:dyDescent="0.3">
      <c r="A71" s="2">
        <v>45565</v>
      </c>
      <c r="B71" s="3" t="s">
        <v>40</v>
      </c>
      <c r="C71" s="3">
        <v>6693</v>
      </c>
      <c r="D71" s="3">
        <v>995</v>
      </c>
      <c r="E71" s="3">
        <v>486018</v>
      </c>
      <c r="F71" s="4">
        <v>23.761877132122681</v>
      </c>
      <c r="G71" s="3">
        <v>38854</v>
      </c>
      <c r="H71" s="3">
        <f>(Table3_211[[#This Row],[New_Followers]]-Table3_211[[#This Row],[Unfollows]])</f>
        <v>5698</v>
      </c>
      <c r="I71" s="61">
        <f>Table3_211[[#This Row],[New followers - unfollows]]/(Table3_211[[#This Row],[Total_Followers]]-Table3_211[[#This Row],[New followers - unfollows]])</f>
        <v>1.186292471685543E-2</v>
      </c>
    </row>
    <row r="72" spans="1:9" x14ac:dyDescent="0.3">
      <c r="A72" s="2">
        <v>45565</v>
      </c>
      <c r="B72" s="3" t="s">
        <v>22</v>
      </c>
      <c r="C72" s="3">
        <v>1767</v>
      </c>
      <c r="D72" s="3">
        <v>224</v>
      </c>
      <c r="E72" s="3">
        <v>487561</v>
      </c>
      <c r="F72" s="4">
        <v>13.208603641390511</v>
      </c>
      <c r="G72" s="3">
        <v>16256</v>
      </c>
      <c r="H72" s="3">
        <f>(Table3_211[[#This Row],[New_Followers]]-Table3_211[[#This Row],[Unfollows]])</f>
        <v>1543</v>
      </c>
      <c r="I72" s="61">
        <f>Table3_211[[#This Row],[New followers - unfollows]]/(Table3_211[[#This Row],[Total_Followers]]-Table3_211[[#This Row],[New followers - unfollows]])</f>
        <v>3.1747795349143446E-3</v>
      </c>
    </row>
    <row r="73" spans="1:9" x14ac:dyDescent="0.3">
      <c r="A73" s="2">
        <v>45565</v>
      </c>
      <c r="B73" s="3" t="s">
        <v>40</v>
      </c>
      <c r="C73" s="3">
        <v>3044</v>
      </c>
      <c r="D73" s="3">
        <v>212</v>
      </c>
      <c r="E73" s="3">
        <v>490393</v>
      </c>
      <c r="F73" s="4">
        <v>8.5343795690395261</v>
      </c>
      <c r="G73" s="3">
        <v>20720</v>
      </c>
      <c r="H73" s="3">
        <f>(Table3_211[[#This Row],[New_Followers]]-Table3_211[[#This Row],[Unfollows]])</f>
        <v>2832</v>
      </c>
      <c r="I73" s="61">
        <f>Table3_211[[#This Row],[New followers - unfollows]]/(Table3_211[[#This Row],[Total_Followers]]-Table3_211[[#This Row],[New followers - unfollows]])</f>
        <v>5.8085039615555795E-3</v>
      </c>
    </row>
    <row r="74" spans="1:9" x14ac:dyDescent="0.3">
      <c r="A74" s="2">
        <v>45572</v>
      </c>
      <c r="B74" s="3" t="s">
        <v>18</v>
      </c>
      <c r="C74" s="3">
        <v>2549</v>
      </c>
      <c r="D74" s="3">
        <v>128</v>
      </c>
      <c r="E74" s="3">
        <v>492814</v>
      </c>
      <c r="F74" s="4">
        <v>12.734216154573531</v>
      </c>
      <c r="G74" s="3">
        <v>43937</v>
      </c>
      <c r="H74" s="3">
        <f>(Table3_211[[#This Row],[New_Followers]]-Table3_211[[#This Row],[Unfollows]])</f>
        <v>2421</v>
      </c>
      <c r="I74" s="61">
        <f>Table3_211[[#This Row],[New followers - unfollows]]/(Table3_211[[#This Row],[Total_Followers]]-Table3_211[[#This Row],[New followers - unfollows]])</f>
        <v>4.936856765900003E-3</v>
      </c>
    </row>
    <row r="75" spans="1:9" x14ac:dyDescent="0.3">
      <c r="A75" s="2">
        <v>45572</v>
      </c>
      <c r="B75" s="3" t="s">
        <v>13</v>
      </c>
      <c r="C75" s="3">
        <v>7140</v>
      </c>
      <c r="D75" s="3">
        <v>939</v>
      </c>
      <c r="E75" s="3">
        <v>499015</v>
      </c>
      <c r="F75" s="4">
        <v>25.120888149654821</v>
      </c>
      <c r="G75" s="3">
        <v>43598</v>
      </c>
      <c r="H75" s="3">
        <f>(Table3_211[[#This Row],[New_Followers]]-Table3_211[[#This Row],[Unfollows]])</f>
        <v>6201</v>
      </c>
      <c r="I75" s="61">
        <f>Table3_211[[#This Row],[New followers - unfollows]]/(Table3_211[[#This Row],[Total_Followers]]-Table3_211[[#This Row],[New followers - unfollows]])</f>
        <v>1.2582840584885981E-2</v>
      </c>
    </row>
    <row r="76" spans="1:9" x14ac:dyDescent="0.3">
      <c r="A76" s="2">
        <v>45572</v>
      </c>
      <c r="B76" s="3" t="s">
        <v>13</v>
      </c>
      <c r="C76" s="3">
        <v>4716</v>
      </c>
      <c r="D76" s="3">
        <v>569</v>
      </c>
      <c r="E76" s="3">
        <v>503162</v>
      </c>
      <c r="F76" s="4">
        <v>25.64820077827817</v>
      </c>
      <c r="G76" s="3">
        <v>11651</v>
      </c>
      <c r="H76" s="3">
        <f>(Table3_211[[#This Row],[New_Followers]]-Table3_211[[#This Row],[Unfollows]])</f>
        <v>4147</v>
      </c>
      <c r="I76" s="61">
        <f>Table3_211[[#This Row],[New followers - unfollows]]/(Table3_211[[#This Row],[Total_Followers]]-Table3_211[[#This Row],[New followers - unfollows]])</f>
        <v>8.3103714317204896E-3</v>
      </c>
    </row>
    <row r="77" spans="1:9" x14ac:dyDescent="0.3">
      <c r="A77" s="2">
        <v>45572</v>
      </c>
      <c r="B77" s="3" t="s">
        <v>22</v>
      </c>
      <c r="C77" s="3">
        <v>5481</v>
      </c>
      <c r="D77" s="3">
        <v>673</v>
      </c>
      <c r="E77" s="3">
        <v>507970</v>
      </c>
      <c r="F77" s="4">
        <v>13.08758391243577</v>
      </c>
      <c r="G77" s="3">
        <v>29194</v>
      </c>
      <c r="H77" s="3">
        <f>(Table3_211[[#This Row],[New_Followers]]-Table3_211[[#This Row],[Unfollows]])</f>
        <v>4808</v>
      </c>
      <c r="I77" s="61">
        <f>Table3_211[[#This Row],[New followers - unfollows]]/(Table3_211[[#This Row],[Total_Followers]]-Table3_211[[#This Row],[New followers - unfollows]])</f>
        <v>9.5555705717045407E-3</v>
      </c>
    </row>
    <row r="78" spans="1:9" x14ac:dyDescent="0.3">
      <c r="A78" s="2">
        <v>45579</v>
      </c>
      <c r="B78" s="3" t="s">
        <v>40</v>
      </c>
      <c r="C78" s="3">
        <v>8898</v>
      </c>
      <c r="D78" s="3">
        <v>1131</v>
      </c>
      <c r="E78" s="3">
        <v>515737</v>
      </c>
      <c r="F78" s="4">
        <v>2.1877429775253669</v>
      </c>
      <c r="G78" s="3">
        <v>35051</v>
      </c>
      <c r="H78" s="3">
        <f>(Table3_211[[#This Row],[New_Followers]]-Table3_211[[#This Row],[Unfollows]])</f>
        <v>7767</v>
      </c>
      <c r="I78" s="61">
        <f>Table3_211[[#This Row],[New followers - unfollows]]/(Table3_211[[#This Row],[Total_Followers]]-Table3_211[[#This Row],[New followers - unfollows]])</f>
        <v>1.5290273047620923E-2</v>
      </c>
    </row>
    <row r="79" spans="1:9" x14ac:dyDescent="0.3">
      <c r="A79" s="2">
        <v>45579</v>
      </c>
      <c r="B79" s="3" t="s">
        <v>13</v>
      </c>
      <c r="C79" s="3">
        <v>7548</v>
      </c>
      <c r="D79" s="3">
        <v>433</v>
      </c>
      <c r="E79" s="3">
        <v>522852</v>
      </c>
      <c r="F79" s="4">
        <v>8.3562843787534522</v>
      </c>
      <c r="G79" s="3">
        <v>37386</v>
      </c>
      <c r="H79" s="3">
        <f>(Table3_211[[#This Row],[New_Followers]]-Table3_211[[#This Row],[Unfollows]])</f>
        <v>7115</v>
      </c>
      <c r="I79" s="61">
        <f>Table3_211[[#This Row],[New followers - unfollows]]/(Table3_211[[#This Row],[Total_Followers]]-Table3_211[[#This Row],[New followers - unfollows]])</f>
        <v>1.3795791265703256E-2</v>
      </c>
    </row>
    <row r="80" spans="1:9" x14ac:dyDescent="0.3">
      <c r="A80" s="2">
        <v>45579</v>
      </c>
      <c r="B80" s="3" t="s">
        <v>40</v>
      </c>
      <c r="C80" s="3">
        <v>3293</v>
      </c>
      <c r="D80" s="3">
        <v>282</v>
      </c>
      <c r="E80" s="3">
        <v>525863</v>
      </c>
      <c r="F80" s="4">
        <v>27.040693108281051</v>
      </c>
      <c r="G80" s="3">
        <v>19518</v>
      </c>
      <c r="H80" s="3">
        <f>(Table3_211[[#This Row],[New_Followers]]-Table3_211[[#This Row],[Unfollows]])</f>
        <v>3011</v>
      </c>
      <c r="I80" s="61">
        <f>Table3_211[[#This Row],[New followers - unfollows]]/(Table3_211[[#This Row],[Total_Followers]]-Table3_211[[#This Row],[New followers - unfollows]])</f>
        <v>5.758799813331497E-3</v>
      </c>
    </row>
    <row r="81" spans="1:9" x14ac:dyDescent="0.3">
      <c r="A81" s="2">
        <v>45579</v>
      </c>
      <c r="B81" s="3" t="s">
        <v>40</v>
      </c>
      <c r="C81" s="3">
        <v>5837</v>
      </c>
      <c r="D81" s="3">
        <v>359</v>
      </c>
      <c r="E81" s="3">
        <v>531341</v>
      </c>
      <c r="F81" s="4">
        <v>6.8073045370110723</v>
      </c>
      <c r="G81" s="3">
        <v>56026</v>
      </c>
      <c r="H81" s="3">
        <f>(Table3_211[[#This Row],[New_Followers]]-Table3_211[[#This Row],[Unfollows]])</f>
        <v>5478</v>
      </c>
      <c r="I81" s="61">
        <f>Table3_211[[#This Row],[New followers - unfollows]]/(Table3_211[[#This Row],[Total_Followers]]-Table3_211[[#This Row],[New followers - unfollows]])</f>
        <v>1.0417161884369123E-2</v>
      </c>
    </row>
    <row r="82" spans="1:9" x14ac:dyDescent="0.3">
      <c r="A82" s="2">
        <v>45586</v>
      </c>
      <c r="B82" s="3" t="s">
        <v>22</v>
      </c>
      <c r="C82" s="3">
        <v>8758</v>
      </c>
      <c r="D82" s="3">
        <v>1193</v>
      </c>
      <c r="E82" s="3">
        <v>538906</v>
      </c>
      <c r="F82" s="4">
        <v>3.4213758985797149</v>
      </c>
      <c r="G82" s="3">
        <v>26184</v>
      </c>
      <c r="H82" s="3">
        <f>(Table3_211[[#This Row],[New_Followers]]-Table3_211[[#This Row],[Unfollows]])</f>
        <v>7565</v>
      </c>
      <c r="I82" s="61">
        <f>Table3_211[[#This Row],[New followers - unfollows]]/(Table3_211[[#This Row],[Total_Followers]]-Table3_211[[#This Row],[New followers - unfollows]])</f>
        <v>1.4237561189518596E-2</v>
      </c>
    </row>
    <row r="83" spans="1:9" x14ac:dyDescent="0.3">
      <c r="A83" s="2">
        <v>45586</v>
      </c>
      <c r="B83" s="3" t="s">
        <v>13</v>
      </c>
      <c r="C83" s="3">
        <v>7793</v>
      </c>
      <c r="D83" s="3">
        <v>875</v>
      </c>
      <c r="E83" s="3">
        <v>545824</v>
      </c>
      <c r="F83" s="4">
        <v>5.5136820660139527</v>
      </c>
      <c r="G83" s="3">
        <v>43787</v>
      </c>
      <c r="H83" s="3">
        <f>(Table3_211[[#This Row],[New_Followers]]-Table3_211[[#This Row],[Unfollows]])</f>
        <v>6918</v>
      </c>
      <c r="I83" s="61">
        <f>Table3_211[[#This Row],[New followers - unfollows]]/(Table3_211[[#This Row],[Total_Followers]]-Table3_211[[#This Row],[New followers - unfollows]])</f>
        <v>1.2837118161608889E-2</v>
      </c>
    </row>
    <row r="84" spans="1:9" x14ac:dyDescent="0.3">
      <c r="A84" s="2">
        <v>45586</v>
      </c>
      <c r="B84" s="3" t="s">
        <v>22</v>
      </c>
      <c r="C84" s="3">
        <v>8638</v>
      </c>
      <c r="D84" s="3">
        <v>717</v>
      </c>
      <c r="E84" s="3">
        <v>553745</v>
      </c>
      <c r="F84" s="4">
        <v>26.921416897669499</v>
      </c>
      <c r="G84" s="3">
        <v>31621</v>
      </c>
      <c r="H84" s="3">
        <f>(Table3_211[[#This Row],[New_Followers]]-Table3_211[[#This Row],[Unfollows]])</f>
        <v>7921</v>
      </c>
      <c r="I84" s="61">
        <f>Table3_211[[#This Row],[New followers - unfollows]]/(Table3_211[[#This Row],[Total_Followers]]-Table3_211[[#This Row],[New followers - unfollows]])</f>
        <v>1.4512003869379141E-2</v>
      </c>
    </row>
    <row r="85" spans="1:9" x14ac:dyDescent="0.3">
      <c r="A85" s="2">
        <v>45586</v>
      </c>
      <c r="B85" s="3" t="s">
        <v>22</v>
      </c>
      <c r="C85" s="3">
        <v>8993</v>
      </c>
      <c r="D85" s="3">
        <v>506</v>
      </c>
      <c r="E85" s="3">
        <v>562232</v>
      </c>
      <c r="F85" s="4">
        <v>3.5131404829323132</v>
      </c>
      <c r="G85" s="3">
        <v>20028</v>
      </c>
      <c r="H85" s="3">
        <f>(Table3_211[[#This Row],[New_Followers]]-Table3_211[[#This Row],[Unfollows]])</f>
        <v>8487</v>
      </c>
      <c r="I85" s="61">
        <f>Table3_211[[#This Row],[New followers - unfollows]]/(Table3_211[[#This Row],[Total_Followers]]-Table3_211[[#This Row],[New followers - unfollows]])</f>
        <v>1.5326549223920757E-2</v>
      </c>
    </row>
    <row r="86" spans="1:9" x14ac:dyDescent="0.3">
      <c r="A86" s="2">
        <v>45593</v>
      </c>
      <c r="B86" s="3" t="s">
        <v>13</v>
      </c>
      <c r="C86" s="3">
        <v>7007</v>
      </c>
      <c r="D86" s="3">
        <v>568</v>
      </c>
      <c r="E86" s="3">
        <v>568671</v>
      </c>
      <c r="F86" s="4">
        <v>11.50507059442103</v>
      </c>
      <c r="G86" s="3">
        <v>22448</v>
      </c>
      <c r="H86" s="3">
        <f>(Table3_211[[#This Row],[New_Followers]]-Table3_211[[#This Row],[Unfollows]])</f>
        <v>6439</v>
      </c>
      <c r="I86" s="61">
        <f>Table3_211[[#This Row],[New followers - unfollows]]/(Table3_211[[#This Row],[Total_Followers]]-Table3_211[[#This Row],[New followers - unfollows]])</f>
        <v>1.1452567623329871E-2</v>
      </c>
    </row>
    <row r="87" spans="1:9" x14ac:dyDescent="0.3">
      <c r="A87" s="2">
        <v>45593</v>
      </c>
      <c r="B87" s="3" t="s">
        <v>13</v>
      </c>
      <c r="C87" s="3">
        <v>6542</v>
      </c>
      <c r="D87" s="3">
        <v>539</v>
      </c>
      <c r="E87" s="3">
        <v>574674</v>
      </c>
      <c r="F87" s="4">
        <v>6.4069368024305948</v>
      </c>
      <c r="G87" s="3">
        <v>55253</v>
      </c>
      <c r="H87" s="3">
        <f>(Table3_211[[#This Row],[New_Followers]]-Table3_211[[#This Row],[Unfollows]])</f>
        <v>6003</v>
      </c>
      <c r="I87" s="61">
        <f>Table3_211[[#This Row],[New followers - unfollows]]/(Table3_211[[#This Row],[Total_Followers]]-Table3_211[[#This Row],[New followers - unfollows]])</f>
        <v>1.0556191541330575E-2</v>
      </c>
    </row>
    <row r="88" spans="1:9" x14ac:dyDescent="0.3">
      <c r="A88" s="2">
        <v>45593</v>
      </c>
      <c r="B88" s="3" t="s">
        <v>18</v>
      </c>
      <c r="C88" s="3">
        <v>7356</v>
      </c>
      <c r="D88" s="3">
        <v>904</v>
      </c>
      <c r="E88" s="3">
        <v>581126</v>
      </c>
      <c r="F88" s="4">
        <v>17.560907617280929</v>
      </c>
      <c r="G88" s="3">
        <v>44051</v>
      </c>
      <c r="H88" s="3">
        <f>(Table3_211[[#This Row],[New_Followers]]-Table3_211[[#This Row],[Unfollows]])</f>
        <v>6452</v>
      </c>
      <c r="I88" s="61">
        <f>Table3_211[[#This Row],[New followers - unfollows]]/(Table3_211[[#This Row],[Total_Followers]]-Table3_211[[#This Row],[New followers - unfollows]])</f>
        <v>1.1227234919275972E-2</v>
      </c>
    </row>
    <row r="89" spans="1:9" x14ac:dyDescent="0.3">
      <c r="A89" s="2">
        <v>45593</v>
      </c>
      <c r="B89" s="3" t="s">
        <v>18</v>
      </c>
      <c r="C89" s="3">
        <v>9433</v>
      </c>
      <c r="D89" s="3">
        <v>1073</v>
      </c>
      <c r="E89" s="3">
        <v>589486</v>
      </c>
      <c r="F89" s="4">
        <v>7.2934726185185053</v>
      </c>
      <c r="G89" s="3">
        <v>59811</v>
      </c>
      <c r="H89" s="3">
        <f>(Table3_211[[#This Row],[New_Followers]]-Table3_211[[#This Row],[Unfollows]])</f>
        <v>8360</v>
      </c>
      <c r="I89" s="61">
        <f>Table3_211[[#This Row],[New followers - unfollows]]/(Table3_211[[#This Row],[Total_Followers]]-Table3_211[[#This Row],[New followers - unfollows]])</f>
        <v>1.4385864683390521E-2</v>
      </c>
    </row>
    <row r="90" spans="1:9" x14ac:dyDescent="0.3">
      <c r="A90" s="2">
        <v>45600</v>
      </c>
      <c r="B90" s="3" t="s">
        <v>40</v>
      </c>
      <c r="C90" s="3">
        <v>8380</v>
      </c>
      <c r="D90" s="3">
        <v>1162</v>
      </c>
      <c r="E90" s="3">
        <v>596704</v>
      </c>
      <c r="F90" s="4">
        <v>18.05853488496809</v>
      </c>
      <c r="G90" s="3">
        <v>40447</v>
      </c>
      <c r="H90" s="3">
        <f>(Table3_211[[#This Row],[New_Followers]]-Table3_211[[#This Row],[Unfollows]])</f>
        <v>7218</v>
      </c>
      <c r="I90" s="61">
        <f>Table3_211[[#This Row],[New followers - unfollows]]/(Table3_211[[#This Row],[Total_Followers]]-Table3_211[[#This Row],[New followers - unfollows]])</f>
        <v>1.2244565604611474E-2</v>
      </c>
    </row>
    <row r="91" spans="1:9" x14ac:dyDescent="0.3">
      <c r="A91" s="2">
        <v>45600</v>
      </c>
      <c r="B91" s="3" t="s">
        <v>13</v>
      </c>
      <c r="C91" s="3">
        <v>3385</v>
      </c>
      <c r="D91" s="3">
        <v>329</v>
      </c>
      <c r="E91" s="3">
        <v>599760</v>
      </c>
      <c r="F91" s="4">
        <v>17.61788048552755</v>
      </c>
      <c r="G91" s="3">
        <v>28394</v>
      </c>
      <c r="H91" s="3">
        <f>(Table3_211[[#This Row],[New_Followers]]-Table3_211[[#This Row],[Unfollows]])</f>
        <v>3056</v>
      </c>
      <c r="I91" s="61">
        <f>Table3_211[[#This Row],[New followers - unfollows]]/(Table3_211[[#This Row],[Total_Followers]]-Table3_211[[#This Row],[New followers - unfollows]])</f>
        <v>5.1214672601490856E-3</v>
      </c>
    </row>
    <row r="92" spans="1:9" x14ac:dyDescent="0.3">
      <c r="A92" s="2">
        <v>45600</v>
      </c>
      <c r="B92" s="3" t="s">
        <v>18</v>
      </c>
      <c r="C92" s="3">
        <v>5268</v>
      </c>
      <c r="D92" s="3">
        <v>326</v>
      </c>
      <c r="E92" s="3">
        <v>604702</v>
      </c>
      <c r="F92" s="4">
        <v>23.435841125050029</v>
      </c>
      <c r="G92" s="3">
        <v>44501</v>
      </c>
      <c r="H92" s="3">
        <f>(Table3_211[[#This Row],[New_Followers]]-Table3_211[[#This Row],[Unfollows]])</f>
        <v>4942</v>
      </c>
      <c r="I92" s="61">
        <f>Table3_211[[#This Row],[New followers - unfollows]]/(Table3_211[[#This Row],[Total_Followers]]-Table3_211[[#This Row],[New followers - unfollows]])</f>
        <v>8.2399626517273578E-3</v>
      </c>
    </row>
    <row r="93" spans="1:9" x14ac:dyDescent="0.3">
      <c r="A93" s="2">
        <v>45600</v>
      </c>
      <c r="B93" s="3" t="s">
        <v>40</v>
      </c>
      <c r="C93" s="3">
        <v>1671</v>
      </c>
      <c r="D93" s="3">
        <v>202</v>
      </c>
      <c r="E93" s="3">
        <v>606171</v>
      </c>
      <c r="F93" s="4">
        <v>15.150015424690389</v>
      </c>
      <c r="G93" s="3">
        <v>40254</v>
      </c>
      <c r="H93" s="3">
        <f>(Table3_211[[#This Row],[New_Followers]]-Table3_211[[#This Row],[Unfollows]])</f>
        <v>1469</v>
      </c>
      <c r="I93" s="61">
        <f>Table3_211[[#This Row],[New followers - unfollows]]/(Table3_211[[#This Row],[Total_Followers]]-Table3_211[[#This Row],[New followers - unfollows]])</f>
        <v>2.429295752287904E-3</v>
      </c>
    </row>
    <row r="94" spans="1:9" x14ac:dyDescent="0.3">
      <c r="A94" s="2">
        <v>45607</v>
      </c>
      <c r="B94" s="3" t="s">
        <v>40</v>
      </c>
      <c r="C94" s="3">
        <v>1163</v>
      </c>
      <c r="D94" s="3">
        <v>146</v>
      </c>
      <c r="E94" s="3">
        <v>607188</v>
      </c>
      <c r="F94" s="4">
        <v>21.77776899411715</v>
      </c>
      <c r="G94" s="3">
        <v>28509</v>
      </c>
      <c r="H94" s="3">
        <f>(Table3_211[[#This Row],[New_Followers]]-Table3_211[[#This Row],[Unfollows]])</f>
        <v>1017</v>
      </c>
      <c r="I94" s="61">
        <f>Table3_211[[#This Row],[New followers - unfollows]]/(Table3_211[[#This Row],[Total_Followers]]-Table3_211[[#This Row],[New followers - unfollows]])</f>
        <v>1.6777443988577482E-3</v>
      </c>
    </row>
    <row r="95" spans="1:9" x14ac:dyDescent="0.3">
      <c r="A95" s="2">
        <v>45607</v>
      </c>
      <c r="B95" s="3" t="s">
        <v>40</v>
      </c>
      <c r="C95" s="3">
        <v>9656</v>
      </c>
      <c r="D95" s="3">
        <v>1024</v>
      </c>
      <c r="E95" s="3">
        <v>615820</v>
      </c>
      <c r="F95" s="4">
        <v>8.7252768666168681</v>
      </c>
      <c r="G95" s="3">
        <v>58998</v>
      </c>
      <c r="H95" s="3">
        <f>(Table3_211[[#This Row],[New_Followers]]-Table3_211[[#This Row],[Unfollows]])</f>
        <v>8632</v>
      </c>
      <c r="I95" s="61">
        <f>Table3_211[[#This Row],[New followers - unfollows]]/(Table3_211[[#This Row],[Total_Followers]]-Table3_211[[#This Row],[New followers - unfollows]])</f>
        <v>1.4216354736918384E-2</v>
      </c>
    </row>
    <row r="96" spans="1:9" x14ac:dyDescent="0.3">
      <c r="A96" s="2">
        <v>45607</v>
      </c>
      <c r="B96" s="3" t="s">
        <v>18</v>
      </c>
      <c r="C96" s="3">
        <v>5592</v>
      </c>
      <c r="D96" s="3">
        <v>710</v>
      </c>
      <c r="E96" s="3">
        <v>620702</v>
      </c>
      <c r="F96" s="4">
        <v>9.07118069540617</v>
      </c>
      <c r="G96" s="3">
        <v>24472</v>
      </c>
      <c r="H96" s="3">
        <f>(Table3_211[[#This Row],[New_Followers]]-Table3_211[[#This Row],[Unfollows]])</f>
        <v>4882</v>
      </c>
      <c r="I96" s="61">
        <f>Table3_211[[#This Row],[New followers - unfollows]]/(Table3_211[[#This Row],[Total_Followers]]-Table3_211[[#This Row],[New followers - unfollows]])</f>
        <v>7.9276411938553476E-3</v>
      </c>
    </row>
    <row r="97" spans="1:9" x14ac:dyDescent="0.3">
      <c r="A97" s="2">
        <v>45607</v>
      </c>
      <c r="B97" s="3" t="s">
        <v>13</v>
      </c>
      <c r="C97" s="3">
        <v>5795</v>
      </c>
      <c r="D97" s="3">
        <v>575</v>
      </c>
      <c r="E97" s="3">
        <v>625922</v>
      </c>
      <c r="F97" s="4">
        <v>3.0908004511744269</v>
      </c>
      <c r="G97" s="3">
        <v>55657</v>
      </c>
      <c r="H97" s="3">
        <f>(Table3_211[[#This Row],[New_Followers]]-Table3_211[[#This Row],[Unfollows]])</f>
        <v>5220</v>
      </c>
      <c r="I97" s="61">
        <f>Table3_211[[#This Row],[New followers - unfollows]]/(Table3_211[[#This Row],[Total_Followers]]-Table3_211[[#This Row],[New followers - unfollows]])</f>
        <v>8.4098327377711037E-3</v>
      </c>
    </row>
    <row r="98" spans="1:9" x14ac:dyDescent="0.3">
      <c r="A98" s="2">
        <v>45614</v>
      </c>
      <c r="B98" s="3" t="s">
        <v>22</v>
      </c>
      <c r="C98" s="3">
        <v>5798</v>
      </c>
      <c r="D98" s="3">
        <v>592</v>
      </c>
      <c r="E98" s="3">
        <v>631128</v>
      </c>
      <c r="F98" s="4">
        <v>1.6774727155188811</v>
      </c>
      <c r="G98" s="3">
        <v>13471</v>
      </c>
      <c r="H98" s="3">
        <f>(Table3_211[[#This Row],[New_Followers]]-Table3_211[[#This Row],[Unfollows]])</f>
        <v>5206</v>
      </c>
      <c r="I98" s="61">
        <f>Table3_211[[#This Row],[New followers - unfollows]]/(Table3_211[[#This Row],[Total_Followers]]-Table3_211[[#This Row],[New followers - unfollows]])</f>
        <v>8.3173302743792359E-3</v>
      </c>
    </row>
    <row r="99" spans="1:9" x14ac:dyDescent="0.3">
      <c r="A99" s="2">
        <v>45614</v>
      </c>
      <c r="B99" s="3" t="s">
        <v>40</v>
      </c>
      <c r="C99" s="3">
        <v>7036</v>
      </c>
      <c r="D99" s="3">
        <v>652</v>
      </c>
      <c r="E99" s="3">
        <v>637512</v>
      </c>
      <c r="F99" s="4">
        <v>3.5705994553828009</v>
      </c>
      <c r="G99" s="3">
        <v>51796</v>
      </c>
      <c r="H99" s="3">
        <f>(Table3_211[[#This Row],[New_Followers]]-Table3_211[[#This Row],[Unfollows]])</f>
        <v>6384</v>
      </c>
      <c r="I99" s="61">
        <f>Table3_211[[#This Row],[New followers - unfollows]]/(Table3_211[[#This Row],[Total_Followers]]-Table3_211[[#This Row],[New followers - unfollows]])</f>
        <v>1.0115222268699852E-2</v>
      </c>
    </row>
    <row r="100" spans="1:9" x14ac:dyDescent="0.3">
      <c r="A100" s="2">
        <v>45614</v>
      </c>
      <c r="B100" s="3" t="s">
        <v>18</v>
      </c>
      <c r="C100" s="3">
        <v>3355</v>
      </c>
      <c r="D100" s="3">
        <v>176</v>
      </c>
      <c r="E100" s="3">
        <v>640691</v>
      </c>
      <c r="F100" s="4">
        <v>12.426427091999111</v>
      </c>
      <c r="G100" s="3">
        <v>40268</v>
      </c>
      <c r="H100" s="3">
        <f>(Table3_211[[#This Row],[New_Followers]]-Table3_211[[#This Row],[Unfollows]])</f>
        <v>3179</v>
      </c>
      <c r="I100" s="61">
        <f>Table3_211[[#This Row],[New followers - unfollows]]/(Table3_211[[#This Row],[Total_Followers]]-Table3_211[[#This Row],[New followers - unfollows]])</f>
        <v>4.9865728017668689E-3</v>
      </c>
    </row>
    <row r="101" spans="1:9" x14ac:dyDescent="0.3">
      <c r="A101" s="2">
        <v>45614</v>
      </c>
      <c r="B101" s="3" t="s">
        <v>18</v>
      </c>
      <c r="C101" s="3">
        <v>6887</v>
      </c>
      <c r="D101" s="3">
        <v>418</v>
      </c>
      <c r="E101" s="3">
        <v>647160</v>
      </c>
      <c r="F101" s="4">
        <v>20.240280610668151</v>
      </c>
      <c r="G101" s="3">
        <v>18329</v>
      </c>
      <c r="H101" s="3">
        <f>(Table3_211[[#This Row],[New_Followers]]-Table3_211[[#This Row],[Unfollows]])</f>
        <v>6469</v>
      </c>
      <c r="I101" s="61">
        <f>Table3_211[[#This Row],[New followers - unfollows]]/(Table3_211[[#This Row],[Total_Followers]]-Table3_211[[#This Row],[New followers - unfollows]])</f>
        <v>1.0096910991413958E-2</v>
      </c>
    </row>
    <row r="102" spans="1:9" x14ac:dyDescent="0.3">
      <c r="A102" s="2">
        <v>45621</v>
      </c>
      <c r="B102" s="3" t="s">
        <v>22</v>
      </c>
      <c r="C102" s="3">
        <v>8961</v>
      </c>
      <c r="D102" s="3">
        <v>476</v>
      </c>
      <c r="E102" s="3">
        <v>655645</v>
      </c>
      <c r="F102" s="4">
        <v>15.458517947974901</v>
      </c>
      <c r="G102" s="3">
        <v>44865</v>
      </c>
      <c r="H102" s="3">
        <f>(Table3_211[[#This Row],[New_Followers]]-Table3_211[[#This Row],[Unfollows]])</f>
        <v>8485</v>
      </c>
      <c r="I102" s="61">
        <f>Table3_211[[#This Row],[New followers - unfollows]]/(Table3_211[[#This Row],[Total_Followers]]-Table3_211[[#This Row],[New followers - unfollows]])</f>
        <v>1.3111131713950182E-2</v>
      </c>
    </row>
    <row r="103" spans="1:9" x14ac:dyDescent="0.3">
      <c r="A103" s="2">
        <v>45621</v>
      </c>
      <c r="B103" s="3" t="s">
        <v>22</v>
      </c>
      <c r="C103" s="3">
        <v>6827</v>
      </c>
      <c r="D103" s="3">
        <v>775</v>
      </c>
      <c r="E103" s="3">
        <v>661697</v>
      </c>
      <c r="F103" s="4">
        <v>15.96622018839439</v>
      </c>
      <c r="G103" s="3">
        <v>56850</v>
      </c>
      <c r="H103" s="3">
        <f>(Table3_211[[#This Row],[New_Followers]]-Table3_211[[#This Row],[Unfollows]])</f>
        <v>6052</v>
      </c>
      <c r="I103" s="61">
        <f>Table3_211[[#This Row],[New followers - unfollows]]/(Table3_211[[#This Row],[Total_Followers]]-Table3_211[[#This Row],[New followers - unfollows]])</f>
        <v>9.2306049767785919E-3</v>
      </c>
    </row>
    <row r="104" spans="1:9" x14ac:dyDescent="0.3">
      <c r="A104" s="2">
        <v>45621</v>
      </c>
      <c r="B104" s="3" t="s">
        <v>18</v>
      </c>
      <c r="C104" s="3">
        <v>9737</v>
      </c>
      <c r="D104" s="3">
        <v>792</v>
      </c>
      <c r="E104" s="3">
        <v>670642</v>
      </c>
      <c r="F104" s="4">
        <v>5.301785453341723</v>
      </c>
      <c r="G104" s="3">
        <v>56698</v>
      </c>
      <c r="H104" s="3">
        <f>(Table3_211[[#This Row],[New_Followers]]-Table3_211[[#This Row],[Unfollows]])</f>
        <v>8945</v>
      </c>
      <c r="I104" s="61">
        <f>Table3_211[[#This Row],[New followers - unfollows]]/(Table3_211[[#This Row],[Total_Followers]]-Table3_211[[#This Row],[New followers - unfollows]])</f>
        <v>1.3518271958313247E-2</v>
      </c>
    </row>
    <row r="105" spans="1:9" x14ac:dyDescent="0.3">
      <c r="A105" s="2">
        <v>45621</v>
      </c>
      <c r="B105" s="3" t="s">
        <v>13</v>
      </c>
      <c r="C105" s="3">
        <v>5719</v>
      </c>
      <c r="D105" s="3">
        <v>576</v>
      </c>
      <c r="E105" s="3">
        <v>675785</v>
      </c>
      <c r="F105" s="4">
        <v>10.21656296011305</v>
      </c>
      <c r="G105" s="3">
        <v>38272</v>
      </c>
      <c r="H105" s="3">
        <f>(Table3_211[[#This Row],[New_Followers]]-Table3_211[[#This Row],[Unfollows]])</f>
        <v>5143</v>
      </c>
      <c r="I105" s="61">
        <f>Table3_211[[#This Row],[New followers - unfollows]]/(Table3_211[[#This Row],[Total_Followers]]-Table3_211[[#This Row],[New followers - unfollows]])</f>
        <v>7.668771117824413E-3</v>
      </c>
    </row>
    <row r="106" spans="1:9" x14ac:dyDescent="0.3">
      <c r="A106" s="2">
        <v>45628</v>
      </c>
      <c r="B106" s="3" t="s">
        <v>22</v>
      </c>
      <c r="C106" s="3">
        <v>1593</v>
      </c>
      <c r="D106" s="3">
        <v>224</v>
      </c>
      <c r="E106" s="3">
        <v>677154</v>
      </c>
      <c r="F106" s="4">
        <v>4.1495730660972248</v>
      </c>
      <c r="G106" s="3">
        <v>52845</v>
      </c>
      <c r="H106" s="3">
        <f>(Table3_211[[#This Row],[New_Followers]]-Table3_211[[#This Row],[Unfollows]])</f>
        <v>1369</v>
      </c>
      <c r="I106" s="61">
        <f>Table3_211[[#This Row],[New followers - unfollows]]/(Table3_211[[#This Row],[Total_Followers]]-Table3_211[[#This Row],[New followers - unfollows]])</f>
        <v>2.0257922268177007E-3</v>
      </c>
    </row>
    <row r="107" spans="1:9" x14ac:dyDescent="0.3">
      <c r="A107" s="2">
        <v>45628</v>
      </c>
      <c r="B107" s="3" t="s">
        <v>18</v>
      </c>
      <c r="C107" s="3">
        <v>5839</v>
      </c>
      <c r="D107" s="3">
        <v>437</v>
      </c>
      <c r="E107" s="3">
        <v>682556</v>
      </c>
      <c r="F107" s="4">
        <v>17.44750613869045</v>
      </c>
      <c r="G107" s="3">
        <v>16397</v>
      </c>
      <c r="H107" s="3">
        <f>(Table3_211[[#This Row],[New_Followers]]-Table3_211[[#This Row],[Unfollows]])</f>
        <v>5402</v>
      </c>
      <c r="I107" s="61">
        <f>Table3_211[[#This Row],[New followers - unfollows]]/(Table3_211[[#This Row],[Total_Followers]]-Table3_211[[#This Row],[New followers - unfollows]])</f>
        <v>7.9775058553888771E-3</v>
      </c>
    </row>
    <row r="108" spans="1:9" x14ac:dyDescent="0.3">
      <c r="A108" s="2">
        <v>45628</v>
      </c>
      <c r="B108" s="3" t="s">
        <v>22</v>
      </c>
      <c r="C108" s="3">
        <v>8394</v>
      </c>
      <c r="D108" s="3">
        <v>764</v>
      </c>
      <c r="E108" s="3">
        <v>690186</v>
      </c>
      <c r="F108" s="4">
        <v>6.3556780346167558</v>
      </c>
      <c r="G108" s="3">
        <v>42373</v>
      </c>
      <c r="H108" s="3">
        <f>(Table3_211[[#This Row],[New_Followers]]-Table3_211[[#This Row],[Unfollows]])</f>
        <v>7630</v>
      </c>
      <c r="I108" s="61">
        <f>Table3_211[[#This Row],[New followers - unfollows]]/(Table3_211[[#This Row],[Total_Followers]]-Table3_211[[#This Row],[New followers - unfollows]])</f>
        <v>1.1178569963490176E-2</v>
      </c>
    </row>
    <row r="109" spans="1:9" x14ac:dyDescent="0.3">
      <c r="A109" s="2">
        <v>45628</v>
      </c>
      <c r="B109" s="3" t="s">
        <v>13</v>
      </c>
      <c r="C109" s="3">
        <v>4493</v>
      </c>
      <c r="D109" s="3">
        <v>564</v>
      </c>
      <c r="E109" s="3">
        <v>694115</v>
      </c>
      <c r="F109" s="4">
        <v>16.625487131094989</v>
      </c>
      <c r="G109" s="3">
        <v>45525</v>
      </c>
      <c r="H109" s="3">
        <f>(Table3_211[[#This Row],[New_Followers]]-Table3_211[[#This Row],[Unfollows]])</f>
        <v>3929</v>
      </c>
      <c r="I109" s="61">
        <f>Table3_211[[#This Row],[New followers - unfollows]]/(Table3_211[[#This Row],[Total_Followers]]-Table3_211[[#This Row],[New followers - unfollows]])</f>
        <v>5.6926683531685661E-3</v>
      </c>
    </row>
    <row r="110" spans="1:9" x14ac:dyDescent="0.3">
      <c r="A110" s="2">
        <v>45635</v>
      </c>
      <c r="B110" s="3" t="s">
        <v>40</v>
      </c>
      <c r="C110" s="3">
        <v>7164</v>
      </c>
      <c r="D110" s="3">
        <v>522</v>
      </c>
      <c r="E110" s="3">
        <v>700757</v>
      </c>
      <c r="F110" s="4">
        <v>13.449169969047761</v>
      </c>
      <c r="G110" s="3">
        <v>34570</v>
      </c>
      <c r="H110" s="3">
        <f>(Table3_211[[#This Row],[New_Followers]]-Table3_211[[#This Row],[Unfollows]])</f>
        <v>6642</v>
      </c>
      <c r="I110" s="61">
        <f>Table3_211[[#This Row],[New followers - unfollows]]/(Table3_211[[#This Row],[Total_Followers]]-Table3_211[[#This Row],[New followers - unfollows]])</f>
        <v>9.5690195428711385E-3</v>
      </c>
    </row>
    <row r="111" spans="1:9" x14ac:dyDescent="0.3">
      <c r="A111" s="2">
        <v>45635</v>
      </c>
      <c r="B111" s="3" t="s">
        <v>22</v>
      </c>
      <c r="C111" s="3">
        <v>3672</v>
      </c>
      <c r="D111" s="3">
        <v>211</v>
      </c>
      <c r="E111" s="3">
        <v>704218</v>
      </c>
      <c r="F111" s="4">
        <v>12.35057894004413</v>
      </c>
      <c r="G111" s="3">
        <v>28284</v>
      </c>
      <c r="H111" s="3">
        <f>(Table3_211[[#This Row],[New_Followers]]-Table3_211[[#This Row],[Unfollows]])</f>
        <v>3461</v>
      </c>
      <c r="I111" s="61">
        <f>Table3_211[[#This Row],[New followers - unfollows]]/(Table3_211[[#This Row],[Total_Followers]]-Table3_211[[#This Row],[New followers - unfollows]])</f>
        <v>4.9389445984842108E-3</v>
      </c>
    </row>
    <row r="112" spans="1:9" x14ac:dyDescent="0.3">
      <c r="A112" s="2">
        <v>45635</v>
      </c>
      <c r="B112" s="3" t="s">
        <v>13</v>
      </c>
      <c r="C112" s="3">
        <v>5200</v>
      </c>
      <c r="D112" s="3">
        <v>410</v>
      </c>
      <c r="E112" s="3">
        <v>709008</v>
      </c>
      <c r="F112" s="4">
        <v>12.913394489201821</v>
      </c>
      <c r="G112" s="3">
        <v>28994</v>
      </c>
      <c r="H112" s="3">
        <f>(Table3_211[[#This Row],[New_Followers]]-Table3_211[[#This Row],[Unfollows]])</f>
        <v>4790</v>
      </c>
      <c r="I112" s="61">
        <f>Table3_211[[#This Row],[New followers - unfollows]]/(Table3_211[[#This Row],[Total_Followers]]-Table3_211[[#This Row],[New followers - unfollows]])</f>
        <v>6.8018710115333603E-3</v>
      </c>
    </row>
    <row r="113" spans="1:9" x14ac:dyDescent="0.3">
      <c r="A113" s="2">
        <v>45635</v>
      </c>
      <c r="B113" s="3" t="s">
        <v>18</v>
      </c>
      <c r="C113" s="3">
        <v>1016</v>
      </c>
      <c r="D113" s="3">
        <v>67</v>
      </c>
      <c r="E113" s="3">
        <v>709957</v>
      </c>
      <c r="F113" s="4">
        <v>20.774215903216671</v>
      </c>
      <c r="G113" s="3">
        <v>33284</v>
      </c>
      <c r="H113" s="3">
        <f>(Table3_211[[#This Row],[New_Followers]]-Table3_211[[#This Row],[Unfollows]])</f>
        <v>949</v>
      </c>
      <c r="I113" s="61">
        <f>Table3_211[[#This Row],[New followers - unfollows]]/(Table3_211[[#This Row],[Total_Followers]]-Table3_211[[#This Row],[New followers - unfollows]])</f>
        <v>1.3384898336831178E-3</v>
      </c>
    </row>
    <row r="114" spans="1:9" x14ac:dyDescent="0.3">
      <c r="A114" s="2">
        <v>45642</v>
      </c>
      <c r="B114" s="3" t="s">
        <v>22</v>
      </c>
      <c r="C114" s="3">
        <v>4191</v>
      </c>
      <c r="D114" s="3">
        <v>599</v>
      </c>
      <c r="E114" s="3">
        <v>713549</v>
      </c>
      <c r="F114" s="4">
        <v>11.56416728213479</v>
      </c>
      <c r="G114" s="3">
        <v>27833</v>
      </c>
      <c r="H114" s="3">
        <f>(Table3_211[[#This Row],[New_Followers]]-Table3_211[[#This Row],[Unfollows]])</f>
        <v>3592</v>
      </c>
      <c r="I114" s="61">
        <f>Table3_211[[#This Row],[New followers - unfollows]]/(Table3_211[[#This Row],[Total_Followers]]-Table3_211[[#This Row],[New followers - unfollows]])</f>
        <v>5.0594613476590833E-3</v>
      </c>
    </row>
    <row r="115" spans="1:9" x14ac:dyDescent="0.3">
      <c r="A115" s="2">
        <v>45642</v>
      </c>
      <c r="B115" s="3" t="s">
        <v>22</v>
      </c>
      <c r="C115" s="3">
        <v>1392</v>
      </c>
      <c r="D115" s="3">
        <v>182</v>
      </c>
      <c r="E115" s="3">
        <v>714759</v>
      </c>
      <c r="F115" s="4">
        <v>5.9603306848881932</v>
      </c>
      <c r="G115" s="3">
        <v>35122</v>
      </c>
      <c r="H115" s="3">
        <f>(Table3_211[[#This Row],[New_Followers]]-Table3_211[[#This Row],[Unfollows]])</f>
        <v>1210</v>
      </c>
      <c r="I115" s="61">
        <f>Table3_211[[#This Row],[New followers - unfollows]]/(Table3_211[[#This Row],[Total_Followers]]-Table3_211[[#This Row],[New followers - unfollows]])</f>
        <v>1.6957489955139731E-3</v>
      </c>
    </row>
    <row r="116" spans="1:9" x14ac:dyDescent="0.3">
      <c r="A116" s="2">
        <v>45642</v>
      </c>
      <c r="B116" s="3" t="s">
        <v>18</v>
      </c>
      <c r="C116" s="3">
        <v>9616</v>
      </c>
      <c r="D116" s="3">
        <v>1089</v>
      </c>
      <c r="E116" s="3">
        <v>723286</v>
      </c>
      <c r="F116" s="4">
        <v>19.25863351426683</v>
      </c>
      <c r="G116" s="3">
        <v>15017</v>
      </c>
      <c r="H116" s="3">
        <f>(Table3_211[[#This Row],[New_Followers]]-Table3_211[[#This Row],[Unfollows]])</f>
        <v>8527</v>
      </c>
      <c r="I116" s="61">
        <f>Table3_211[[#This Row],[New followers - unfollows]]/(Table3_211[[#This Row],[Total_Followers]]-Table3_211[[#This Row],[New followers - unfollows]])</f>
        <v>1.1929895251406418E-2</v>
      </c>
    </row>
    <row r="117" spans="1:9" x14ac:dyDescent="0.3">
      <c r="A117" s="2">
        <v>45642</v>
      </c>
      <c r="B117" s="3" t="s">
        <v>40</v>
      </c>
      <c r="C117" s="3">
        <v>7272</v>
      </c>
      <c r="D117" s="3">
        <v>997</v>
      </c>
      <c r="E117" s="3">
        <v>729561</v>
      </c>
      <c r="F117" s="4">
        <v>13.428486445958599</v>
      </c>
      <c r="G117" s="3">
        <v>26370</v>
      </c>
      <c r="H117" s="3">
        <f>(Table3_211[[#This Row],[New_Followers]]-Table3_211[[#This Row],[Unfollows]])</f>
        <v>6275</v>
      </c>
      <c r="I117" s="61">
        <f>Table3_211[[#This Row],[New followers - unfollows]]/(Table3_211[[#This Row],[Total_Followers]]-Table3_211[[#This Row],[New followers - unfollows]])</f>
        <v>8.6756829248734249E-3</v>
      </c>
    </row>
    <row r="118" spans="1:9" x14ac:dyDescent="0.3">
      <c r="A118" s="2">
        <v>45649</v>
      </c>
      <c r="B118" s="3" t="s">
        <v>18</v>
      </c>
      <c r="C118" s="3">
        <v>1571</v>
      </c>
      <c r="D118" s="3">
        <v>204</v>
      </c>
      <c r="E118" s="3">
        <v>730928</v>
      </c>
      <c r="F118" s="4">
        <v>19.449384891535139</v>
      </c>
      <c r="G118" s="3">
        <v>39252</v>
      </c>
      <c r="H118" s="3">
        <f>(Table3_211[[#This Row],[New_Followers]]-Table3_211[[#This Row],[Unfollows]])</f>
        <v>1367</v>
      </c>
      <c r="I118" s="61">
        <f>Table3_211[[#This Row],[New followers - unfollows]]/(Table3_211[[#This Row],[Total_Followers]]-Table3_211[[#This Row],[New followers - unfollows]])</f>
        <v>1.8737295442053509E-3</v>
      </c>
    </row>
    <row r="119" spans="1:9" x14ac:dyDescent="0.3">
      <c r="A119" s="2">
        <v>45649</v>
      </c>
      <c r="B119" s="3" t="s">
        <v>22</v>
      </c>
      <c r="C119" s="3">
        <v>4631</v>
      </c>
      <c r="D119" s="3">
        <v>317</v>
      </c>
      <c r="E119" s="3">
        <v>735242</v>
      </c>
      <c r="F119" s="4">
        <v>1.381177897889402</v>
      </c>
      <c r="G119" s="3">
        <v>17999</v>
      </c>
      <c r="H119" s="3">
        <f>(Table3_211[[#This Row],[New_Followers]]-Table3_211[[#This Row],[Unfollows]])</f>
        <v>4314</v>
      </c>
      <c r="I119" s="61">
        <f>Table3_211[[#This Row],[New followers - unfollows]]/(Table3_211[[#This Row],[Total_Followers]]-Table3_211[[#This Row],[New followers - unfollows]])</f>
        <v>5.9020861151850802E-3</v>
      </c>
    </row>
    <row r="120" spans="1:9" x14ac:dyDescent="0.3">
      <c r="A120" s="2">
        <v>45649</v>
      </c>
      <c r="B120" s="3" t="s">
        <v>18</v>
      </c>
      <c r="C120" s="3">
        <v>7172</v>
      </c>
      <c r="D120" s="3">
        <v>998</v>
      </c>
      <c r="E120" s="3">
        <v>741416</v>
      </c>
      <c r="F120" s="4">
        <v>18.0667803230575</v>
      </c>
      <c r="G120" s="3">
        <v>32436</v>
      </c>
      <c r="H120" s="3">
        <f>(Table3_211[[#This Row],[New_Followers]]-Table3_211[[#This Row],[Unfollows]])</f>
        <v>6174</v>
      </c>
      <c r="I120" s="61">
        <f>Table3_211[[#This Row],[New followers - unfollows]]/(Table3_211[[#This Row],[Total_Followers]]-Table3_211[[#This Row],[New followers - unfollows]])</f>
        <v>8.3972351960306946E-3</v>
      </c>
    </row>
    <row r="121" spans="1:9" x14ac:dyDescent="0.3">
      <c r="A121" s="2">
        <v>45649</v>
      </c>
      <c r="B121" s="3" t="s">
        <v>13</v>
      </c>
      <c r="C121" s="3">
        <v>8177</v>
      </c>
      <c r="D121" s="3">
        <v>849</v>
      </c>
      <c r="E121" s="3">
        <v>748744</v>
      </c>
      <c r="F121" s="4">
        <v>10.34986590877523</v>
      </c>
      <c r="G121" s="3">
        <v>52963</v>
      </c>
      <c r="H121" s="3">
        <f>(Table3_211[[#This Row],[New_Followers]]-Table3_211[[#This Row],[Unfollows]])</f>
        <v>7328</v>
      </c>
      <c r="I121" s="61">
        <f>Table3_211[[#This Row],[New followers - unfollows]]/(Table3_211[[#This Row],[Total_Followers]]-Table3_211[[#This Row],[New followers - unfollows]])</f>
        <v>9.8837899370933461E-3</v>
      </c>
    </row>
    <row r="122" spans="1:9" x14ac:dyDescent="0.3">
      <c r="A122" s="2">
        <v>45656</v>
      </c>
      <c r="B122" s="3" t="s">
        <v>18</v>
      </c>
      <c r="C122" s="3">
        <v>9433</v>
      </c>
      <c r="D122" s="3">
        <v>1233</v>
      </c>
      <c r="E122" s="3">
        <v>756944</v>
      </c>
      <c r="F122" s="4">
        <v>11.391727789638329</v>
      </c>
      <c r="G122" s="3">
        <v>12096</v>
      </c>
      <c r="H122" s="3">
        <f>(Table3_211[[#This Row],[New_Followers]]-Table3_211[[#This Row],[Unfollows]])</f>
        <v>8200</v>
      </c>
      <c r="I122" s="61">
        <f>Table3_211[[#This Row],[New followers - unfollows]]/(Table3_211[[#This Row],[Total_Followers]]-Table3_211[[#This Row],[New followers - unfollows]])</f>
        <v>1.0951673736283696E-2</v>
      </c>
    </row>
    <row r="123" spans="1:9" x14ac:dyDescent="0.3">
      <c r="A123" s="2">
        <v>45656</v>
      </c>
      <c r="B123" s="3" t="s">
        <v>22</v>
      </c>
      <c r="C123" s="3">
        <v>4897</v>
      </c>
      <c r="D123" s="3">
        <v>683</v>
      </c>
      <c r="E123" s="3">
        <v>761158</v>
      </c>
      <c r="F123" s="4">
        <v>15.06231294947961</v>
      </c>
      <c r="G123" s="3">
        <v>58201</v>
      </c>
      <c r="H123" s="3">
        <f>(Table3_211[[#This Row],[New_Followers]]-Table3_211[[#This Row],[Unfollows]])</f>
        <v>4214</v>
      </c>
      <c r="I123" s="61">
        <f>Table3_211[[#This Row],[New followers - unfollows]]/(Table3_211[[#This Row],[Total_Followers]]-Table3_211[[#This Row],[New followers - unfollows]])</f>
        <v>5.5671225348242403E-3</v>
      </c>
    </row>
    <row r="124" spans="1:9" x14ac:dyDescent="0.3">
      <c r="A124" s="2">
        <v>45656</v>
      </c>
      <c r="B124" s="3" t="s">
        <v>18</v>
      </c>
      <c r="C124" s="3">
        <v>9123</v>
      </c>
      <c r="D124" s="3">
        <v>746</v>
      </c>
      <c r="E124" s="3">
        <v>769535</v>
      </c>
      <c r="F124" s="4">
        <v>6.3086149427901264</v>
      </c>
      <c r="G124" s="3">
        <v>35279</v>
      </c>
      <c r="H124" s="3">
        <f>(Table3_211[[#This Row],[New_Followers]]-Table3_211[[#This Row],[Unfollows]])</f>
        <v>8377</v>
      </c>
      <c r="I124" s="61">
        <f>Table3_211[[#This Row],[New followers - unfollows]]/(Table3_211[[#This Row],[Total_Followers]]-Table3_211[[#This Row],[New followers - unfollows]])</f>
        <v>1.1005599363075734E-2</v>
      </c>
    </row>
    <row r="125" spans="1:9" x14ac:dyDescent="0.3">
      <c r="A125" s="2">
        <v>45656</v>
      </c>
      <c r="B125" s="3" t="s">
        <v>40</v>
      </c>
      <c r="C125" s="3">
        <v>3279</v>
      </c>
      <c r="D125" s="3">
        <v>200</v>
      </c>
      <c r="E125" s="3">
        <v>772614</v>
      </c>
      <c r="F125" s="4">
        <v>5.0212654702089274</v>
      </c>
      <c r="G125" s="3">
        <v>53363</v>
      </c>
      <c r="H125" s="3">
        <f>(Table3_211[[#This Row],[New_Followers]]-Table3_211[[#This Row],[Unfollows]])</f>
        <v>3079</v>
      </c>
      <c r="I125" s="61">
        <f>Table3_211[[#This Row],[New followers - unfollows]]/(Table3_211[[#This Row],[Total_Followers]]-Table3_211[[#This Row],[New followers - unfollows]])</f>
        <v>4.0011175580058084E-3</v>
      </c>
    </row>
    <row r="126" spans="1:9" x14ac:dyDescent="0.3">
      <c r="A126" s="2">
        <v>45663</v>
      </c>
      <c r="B126" s="3" t="s">
        <v>18</v>
      </c>
      <c r="C126" s="3">
        <v>9980</v>
      </c>
      <c r="D126" s="3">
        <v>726</v>
      </c>
      <c r="E126" s="3">
        <v>781868</v>
      </c>
      <c r="F126" s="4">
        <v>4.0220344099003924</v>
      </c>
      <c r="G126" s="3">
        <v>58709</v>
      </c>
      <c r="H126" s="3">
        <f>(Table3_211[[#This Row],[New_Followers]]-Table3_211[[#This Row],[Unfollows]])</f>
        <v>9254</v>
      </c>
      <c r="I126" s="61">
        <f>Table3_211[[#This Row],[New followers - unfollows]]/(Table3_211[[#This Row],[Total_Followers]]-Table3_211[[#This Row],[New followers - unfollows]])</f>
        <v>1.1977520469471172E-2</v>
      </c>
    </row>
    <row r="127" spans="1:9" x14ac:dyDescent="0.3">
      <c r="A127" s="2">
        <v>45663</v>
      </c>
      <c r="B127" s="3" t="s">
        <v>40</v>
      </c>
      <c r="C127" s="3">
        <v>8451</v>
      </c>
      <c r="D127" s="3">
        <v>783</v>
      </c>
      <c r="E127" s="3">
        <v>789536</v>
      </c>
      <c r="F127" s="4">
        <v>12.407287318121019</v>
      </c>
      <c r="G127" s="3">
        <v>36201</v>
      </c>
      <c r="H127" s="3">
        <f>(Table3_211[[#This Row],[New_Followers]]-Table3_211[[#This Row],[Unfollows]])</f>
        <v>7668</v>
      </c>
      <c r="I127" s="61">
        <f>Table3_211[[#This Row],[New followers - unfollows]]/(Table3_211[[#This Row],[Total_Followers]]-Table3_211[[#This Row],[New followers - unfollows]])</f>
        <v>9.8072820476090596E-3</v>
      </c>
    </row>
    <row r="128" spans="1:9" x14ac:dyDescent="0.3">
      <c r="A128" s="2">
        <v>45663</v>
      </c>
      <c r="B128" s="3" t="s">
        <v>13</v>
      </c>
      <c r="C128" s="3">
        <v>9906</v>
      </c>
      <c r="D128" s="3">
        <v>1305</v>
      </c>
      <c r="E128" s="3">
        <v>798137</v>
      </c>
      <c r="F128" s="4">
        <v>9.1811305577864442</v>
      </c>
      <c r="G128" s="3">
        <v>29715</v>
      </c>
      <c r="H128" s="3">
        <f>(Table3_211[[#This Row],[New_Followers]]-Table3_211[[#This Row],[Unfollows]])</f>
        <v>8601</v>
      </c>
      <c r="I128" s="61">
        <f>Table3_211[[#This Row],[New followers - unfollows]]/(Table3_211[[#This Row],[Total_Followers]]-Table3_211[[#This Row],[New followers - unfollows]])</f>
        <v>1.08937401207798E-2</v>
      </c>
    </row>
    <row r="129" spans="1:9" x14ac:dyDescent="0.3">
      <c r="A129" s="2">
        <v>45663</v>
      </c>
      <c r="B129" s="3" t="s">
        <v>40</v>
      </c>
      <c r="C129" s="3">
        <v>1775</v>
      </c>
      <c r="D129" s="3">
        <v>241</v>
      </c>
      <c r="E129" s="3">
        <v>799671</v>
      </c>
      <c r="F129" s="4">
        <v>8.1379717408784362</v>
      </c>
      <c r="G129" s="3">
        <v>39309</v>
      </c>
      <c r="H129" s="3">
        <f>(Table3_211[[#This Row],[New_Followers]]-Table3_211[[#This Row],[Unfollows]])</f>
        <v>1534</v>
      </c>
      <c r="I129" s="61">
        <f>Table3_211[[#This Row],[New followers - unfollows]]/(Table3_211[[#This Row],[Total_Followers]]-Table3_211[[#This Row],[New followers - unfollows]])</f>
        <v>1.921975801146921E-3</v>
      </c>
    </row>
    <row r="130" spans="1:9" x14ac:dyDescent="0.3">
      <c r="A130" s="2">
        <v>45670</v>
      </c>
      <c r="B130" s="3" t="s">
        <v>18</v>
      </c>
      <c r="C130" s="3">
        <v>7869</v>
      </c>
      <c r="D130" s="3">
        <v>398</v>
      </c>
      <c r="E130" s="3">
        <v>807142</v>
      </c>
      <c r="F130" s="4">
        <v>15.211945357818079</v>
      </c>
      <c r="G130" s="3">
        <v>25078</v>
      </c>
      <c r="H130" s="3">
        <f>(Table3_211[[#This Row],[New_Followers]]-Table3_211[[#This Row],[Unfollows]])</f>
        <v>7471</v>
      </c>
      <c r="I130" s="61">
        <f>Table3_211[[#This Row],[New followers - unfollows]]/(Table3_211[[#This Row],[Total_Followers]]-Table3_211[[#This Row],[New followers - unfollows]])</f>
        <v>9.3425921410179944E-3</v>
      </c>
    </row>
    <row r="131" spans="1:9" x14ac:dyDescent="0.3">
      <c r="A131" s="2">
        <v>45670</v>
      </c>
      <c r="B131" s="3" t="s">
        <v>22</v>
      </c>
      <c r="C131" s="3">
        <v>3247</v>
      </c>
      <c r="D131" s="3">
        <v>328</v>
      </c>
      <c r="E131" s="3">
        <v>810061</v>
      </c>
      <c r="F131" s="4">
        <v>13.941172331466399</v>
      </c>
      <c r="G131" s="3">
        <v>15105</v>
      </c>
      <c r="H131" s="3">
        <f>(Table3_211[[#This Row],[New_Followers]]-Table3_211[[#This Row],[Unfollows]])</f>
        <v>2919</v>
      </c>
      <c r="I131" s="61">
        <f>Table3_211[[#This Row],[New followers - unfollows]]/(Table3_211[[#This Row],[Total_Followers]]-Table3_211[[#This Row],[New followers - unfollows]])</f>
        <v>3.6164640174839125E-3</v>
      </c>
    </row>
    <row r="132" spans="1:9" x14ac:dyDescent="0.3">
      <c r="A132" s="2">
        <v>45670</v>
      </c>
      <c r="B132" s="3" t="s">
        <v>40</v>
      </c>
      <c r="C132" s="3">
        <v>8088</v>
      </c>
      <c r="D132" s="3">
        <v>742</v>
      </c>
      <c r="E132" s="3">
        <v>817407</v>
      </c>
      <c r="F132" s="4">
        <v>14.664542877660701</v>
      </c>
      <c r="G132" s="3">
        <v>39312</v>
      </c>
      <c r="H132" s="3">
        <f>(Table3_211[[#This Row],[New_Followers]]-Table3_211[[#This Row],[Unfollows]])</f>
        <v>7346</v>
      </c>
      <c r="I132" s="61">
        <f>Table3_211[[#This Row],[New followers - unfollows]]/(Table3_211[[#This Row],[Total_Followers]]-Table3_211[[#This Row],[New followers - unfollows]])</f>
        <v>9.0684528695987084E-3</v>
      </c>
    </row>
    <row r="133" spans="1:9" x14ac:dyDescent="0.3">
      <c r="A133" s="2">
        <v>45670</v>
      </c>
      <c r="B133" s="3" t="s">
        <v>13</v>
      </c>
      <c r="C133" s="3">
        <v>1078</v>
      </c>
      <c r="D133" s="3">
        <v>77</v>
      </c>
      <c r="E133" s="3">
        <v>818408</v>
      </c>
      <c r="F133" s="4">
        <v>18.236747441373989</v>
      </c>
      <c r="G133" s="3">
        <v>12839</v>
      </c>
      <c r="H133" s="3">
        <f>(Table3_211[[#This Row],[New_Followers]]-Table3_211[[#This Row],[Unfollows]])</f>
        <v>1001</v>
      </c>
      <c r="I133" s="61">
        <f>Table3_211[[#This Row],[New followers - unfollows]]/(Table3_211[[#This Row],[Total_Followers]]-Table3_211[[#This Row],[New followers - unfollows]])</f>
        <v>1.2246041445693515E-3</v>
      </c>
    </row>
    <row r="134" spans="1:9" x14ac:dyDescent="0.3">
      <c r="A134" s="2">
        <v>45677</v>
      </c>
      <c r="B134" s="3" t="s">
        <v>40</v>
      </c>
      <c r="C134" s="3">
        <v>9080</v>
      </c>
      <c r="D134" s="3">
        <v>562</v>
      </c>
      <c r="E134" s="3">
        <v>826926</v>
      </c>
      <c r="F134" s="4">
        <v>7.1083748727213809</v>
      </c>
      <c r="G134" s="3">
        <v>13384</v>
      </c>
      <c r="H134" s="3">
        <f>(Table3_211[[#This Row],[New_Followers]]-Table3_211[[#This Row],[Unfollows]])</f>
        <v>8518</v>
      </c>
      <c r="I134" s="61">
        <f>Table3_211[[#This Row],[New followers - unfollows]]/(Table3_211[[#This Row],[Total_Followers]]-Table3_211[[#This Row],[New followers - unfollows]])</f>
        <v>1.0408011651890011E-2</v>
      </c>
    </row>
    <row r="135" spans="1:9" x14ac:dyDescent="0.3">
      <c r="A135" s="2">
        <v>45677</v>
      </c>
      <c r="B135" s="3" t="s">
        <v>40</v>
      </c>
      <c r="C135" s="3">
        <v>8099</v>
      </c>
      <c r="D135" s="3">
        <v>678</v>
      </c>
      <c r="E135" s="3">
        <v>834347</v>
      </c>
      <c r="F135" s="4">
        <v>7.6464588474579518</v>
      </c>
      <c r="G135" s="3">
        <v>53619</v>
      </c>
      <c r="H135" s="3">
        <f>(Table3_211[[#This Row],[New_Followers]]-Table3_211[[#This Row],[Unfollows]])</f>
        <v>7421</v>
      </c>
      <c r="I135" s="61">
        <f>Table3_211[[#This Row],[New followers - unfollows]]/(Table3_211[[#This Row],[Total_Followers]]-Table3_211[[#This Row],[New followers - unfollows]])</f>
        <v>8.9742008353830942E-3</v>
      </c>
    </row>
    <row r="136" spans="1:9" x14ac:dyDescent="0.3">
      <c r="A136" s="2">
        <v>45677</v>
      </c>
      <c r="B136" s="3" t="s">
        <v>40</v>
      </c>
      <c r="C136" s="3">
        <v>4926</v>
      </c>
      <c r="D136" s="3">
        <v>710</v>
      </c>
      <c r="E136" s="3">
        <v>838563</v>
      </c>
      <c r="F136" s="4">
        <v>12.96217457722318</v>
      </c>
      <c r="G136" s="3">
        <v>52821</v>
      </c>
      <c r="H136" s="3">
        <f>(Table3_211[[#This Row],[New_Followers]]-Table3_211[[#This Row],[Unfollows]])</f>
        <v>4216</v>
      </c>
      <c r="I136" s="61">
        <f>Table3_211[[#This Row],[New followers - unfollows]]/(Table3_211[[#This Row],[Total_Followers]]-Table3_211[[#This Row],[New followers - unfollows]])</f>
        <v>5.0530534657642441E-3</v>
      </c>
    </row>
    <row r="137" spans="1:9" x14ac:dyDescent="0.3">
      <c r="A137" s="2">
        <v>45677</v>
      </c>
      <c r="B137" s="3" t="s">
        <v>13</v>
      </c>
      <c r="C137" s="3">
        <v>8340</v>
      </c>
      <c r="D137" s="3">
        <v>686</v>
      </c>
      <c r="E137" s="3">
        <v>846217</v>
      </c>
      <c r="F137" s="4">
        <v>7.201344336027284</v>
      </c>
      <c r="G137" s="3">
        <v>23493</v>
      </c>
      <c r="H137" s="3">
        <f>(Table3_211[[#This Row],[New_Followers]]-Table3_211[[#This Row],[Unfollows]])</f>
        <v>7654</v>
      </c>
      <c r="I137" s="61">
        <f>Table3_211[[#This Row],[New followers - unfollows]]/(Table3_211[[#This Row],[Total_Followers]]-Table3_211[[#This Row],[New followers - unfollows]])</f>
        <v>9.1275193396322049E-3</v>
      </c>
    </row>
    <row r="138" spans="1:9" x14ac:dyDescent="0.3">
      <c r="A138" s="2">
        <v>45684</v>
      </c>
      <c r="B138" s="3" t="s">
        <v>18</v>
      </c>
      <c r="C138" s="3">
        <v>8083</v>
      </c>
      <c r="D138" s="3">
        <v>823</v>
      </c>
      <c r="E138" s="3">
        <v>853477</v>
      </c>
      <c r="F138" s="4">
        <v>4.6300017457998282</v>
      </c>
      <c r="G138" s="3">
        <v>27069</v>
      </c>
      <c r="H138" s="3">
        <f>(Table3_211[[#This Row],[New_Followers]]-Table3_211[[#This Row],[Unfollows]])</f>
        <v>7260</v>
      </c>
      <c r="I138" s="61">
        <f>Table3_211[[#This Row],[New followers - unfollows]]/(Table3_211[[#This Row],[Total_Followers]]-Table3_211[[#This Row],[New followers - unfollows]])</f>
        <v>8.5793596677920681E-3</v>
      </c>
    </row>
    <row r="139" spans="1:9" x14ac:dyDescent="0.3">
      <c r="A139" s="2">
        <v>45684</v>
      </c>
      <c r="B139" s="3" t="s">
        <v>40</v>
      </c>
      <c r="C139" s="3">
        <v>7230</v>
      </c>
      <c r="D139" s="3">
        <v>869</v>
      </c>
      <c r="E139" s="3">
        <v>859838</v>
      </c>
      <c r="F139" s="4">
        <v>7.0117859410726204</v>
      </c>
      <c r="G139" s="3">
        <v>56907</v>
      </c>
      <c r="H139" s="3">
        <f>(Table3_211[[#This Row],[New_Followers]]-Table3_211[[#This Row],[Unfollows]])</f>
        <v>6361</v>
      </c>
      <c r="I139" s="61">
        <f>Table3_211[[#This Row],[New followers - unfollows]]/(Table3_211[[#This Row],[Total_Followers]]-Table3_211[[#This Row],[New followers - unfollows]])</f>
        <v>7.4530420854926381E-3</v>
      </c>
    </row>
    <row r="140" spans="1:9" x14ac:dyDescent="0.3">
      <c r="A140" s="2">
        <v>45684</v>
      </c>
      <c r="B140" s="3" t="s">
        <v>40</v>
      </c>
      <c r="C140" s="3">
        <v>5940</v>
      </c>
      <c r="D140" s="3">
        <v>512</v>
      </c>
      <c r="E140" s="3">
        <v>865266</v>
      </c>
      <c r="F140" s="4">
        <v>15.7972230504839</v>
      </c>
      <c r="G140" s="3">
        <v>17531</v>
      </c>
      <c r="H140" s="3">
        <f>(Table3_211[[#This Row],[New_Followers]]-Table3_211[[#This Row],[Unfollows]])</f>
        <v>5428</v>
      </c>
      <c r="I140" s="61">
        <f>Table3_211[[#This Row],[New followers - unfollows]]/(Table3_211[[#This Row],[Total_Followers]]-Table3_211[[#This Row],[New followers - unfollows]])</f>
        <v>6.312817065540253E-3</v>
      </c>
    </row>
    <row r="141" spans="1:9" x14ac:dyDescent="0.3">
      <c r="A141" s="2">
        <v>45684</v>
      </c>
      <c r="B141" s="3" t="s">
        <v>22</v>
      </c>
      <c r="C141" s="3">
        <v>4271</v>
      </c>
      <c r="D141" s="3">
        <v>628</v>
      </c>
      <c r="E141" s="3">
        <v>868909</v>
      </c>
      <c r="F141" s="4">
        <v>11.124410036033691</v>
      </c>
      <c r="G141" s="3">
        <v>47051</v>
      </c>
      <c r="H141" s="3">
        <f>(Table3_211[[#This Row],[New_Followers]]-Table3_211[[#This Row],[Unfollows]])</f>
        <v>3643</v>
      </c>
      <c r="I141" s="61">
        <f>Table3_211[[#This Row],[New followers - unfollows]]/(Table3_211[[#This Row],[Total_Followers]]-Table3_211[[#This Row],[New followers - unfollows]])</f>
        <v>4.2102659760120007E-3</v>
      </c>
    </row>
    <row r="142" spans="1:9" x14ac:dyDescent="0.3">
      <c r="A142" s="2">
        <v>45691</v>
      </c>
      <c r="B142" s="3" t="s">
        <v>13</v>
      </c>
      <c r="C142" s="3">
        <v>4456</v>
      </c>
      <c r="D142" s="3">
        <v>651</v>
      </c>
      <c r="E142" s="3">
        <v>872714</v>
      </c>
      <c r="F142" s="4">
        <v>9.5052903929580594</v>
      </c>
      <c r="G142" s="3">
        <v>17736</v>
      </c>
      <c r="H142" s="3">
        <f>(Table3_211[[#This Row],[New_Followers]]-Table3_211[[#This Row],[Unfollows]])</f>
        <v>3805</v>
      </c>
      <c r="I142" s="61">
        <f>Table3_211[[#This Row],[New followers - unfollows]]/(Table3_211[[#This Row],[Total_Followers]]-Table3_211[[#This Row],[New followers - unfollows]])</f>
        <v>4.3790546535943352E-3</v>
      </c>
    </row>
    <row r="143" spans="1:9" x14ac:dyDescent="0.3">
      <c r="A143" s="2">
        <v>45691</v>
      </c>
      <c r="B143" s="3" t="s">
        <v>40</v>
      </c>
      <c r="C143" s="3">
        <v>8788</v>
      </c>
      <c r="D143" s="3">
        <v>660</v>
      </c>
      <c r="E143" s="3">
        <v>880842</v>
      </c>
      <c r="F143" s="4">
        <v>3.7175793161543158</v>
      </c>
      <c r="G143" s="3">
        <v>17710</v>
      </c>
      <c r="H143" s="3">
        <f>(Table3_211[[#This Row],[New_Followers]]-Table3_211[[#This Row],[Unfollows]])</f>
        <v>8128</v>
      </c>
      <c r="I143" s="61">
        <f>Table3_211[[#This Row],[New followers - unfollows]]/(Table3_211[[#This Row],[Total_Followers]]-Table3_211[[#This Row],[New followers - unfollows]])</f>
        <v>9.3134749757652572E-3</v>
      </c>
    </row>
    <row r="144" spans="1:9" x14ac:dyDescent="0.3">
      <c r="A144" s="2">
        <v>45691</v>
      </c>
      <c r="B144" s="3" t="s">
        <v>13</v>
      </c>
      <c r="C144" s="3">
        <v>9599</v>
      </c>
      <c r="D144" s="3">
        <v>957</v>
      </c>
      <c r="E144" s="3">
        <v>889484</v>
      </c>
      <c r="F144" s="4">
        <v>8.768004820772493</v>
      </c>
      <c r="G144" s="3">
        <v>11619</v>
      </c>
      <c r="H144" s="3">
        <f>(Table3_211[[#This Row],[New_Followers]]-Table3_211[[#This Row],[Unfollows]])</f>
        <v>8642</v>
      </c>
      <c r="I144" s="61">
        <f>Table3_211[[#This Row],[New followers - unfollows]]/(Table3_211[[#This Row],[Total_Followers]]-Table3_211[[#This Row],[New followers - unfollows]])</f>
        <v>9.8110671380338358E-3</v>
      </c>
    </row>
    <row r="145" spans="1:9" x14ac:dyDescent="0.3">
      <c r="A145" s="2">
        <v>45691</v>
      </c>
      <c r="B145" s="3" t="s">
        <v>40</v>
      </c>
      <c r="C145" s="3">
        <v>8650</v>
      </c>
      <c r="D145" s="3">
        <v>692</v>
      </c>
      <c r="E145" s="3">
        <v>897442</v>
      </c>
      <c r="F145" s="4">
        <v>7.6673478620345374</v>
      </c>
      <c r="G145" s="3">
        <v>23975</v>
      </c>
      <c r="H145" s="3">
        <f>(Table3_211[[#This Row],[New_Followers]]-Table3_211[[#This Row],[Unfollows]])</f>
        <v>7958</v>
      </c>
      <c r="I145" s="61">
        <f>Table3_211[[#This Row],[New followers - unfollows]]/(Table3_211[[#This Row],[Total_Followers]]-Table3_211[[#This Row],[New followers - unfollows]])</f>
        <v>8.9467601440835366E-3</v>
      </c>
    </row>
    <row r="146" spans="1:9" x14ac:dyDescent="0.3">
      <c r="A146" s="2">
        <v>45698</v>
      </c>
      <c r="B146" s="3" t="s">
        <v>18</v>
      </c>
      <c r="C146" s="3">
        <v>3711</v>
      </c>
      <c r="D146" s="3">
        <v>291</v>
      </c>
      <c r="E146" s="3">
        <v>900862</v>
      </c>
      <c r="F146" s="4">
        <v>14.24879726306582</v>
      </c>
      <c r="G146" s="3">
        <v>55603</v>
      </c>
      <c r="H146" s="3">
        <f>(Table3_211[[#This Row],[New_Followers]]-Table3_211[[#This Row],[Unfollows]])</f>
        <v>3420</v>
      </c>
      <c r="I146" s="61">
        <f>Table3_211[[#This Row],[New followers - unfollows]]/(Table3_211[[#This Row],[Total_Followers]]-Table3_211[[#This Row],[New followers - unfollows]])</f>
        <v>3.8108312292047843E-3</v>
      </c>
    </row>
    <row r="147" spans="1:9" x14ac:dyDescent="0.3">
      <c r="A147" s="2">
        <v>45698</v>
      </c>
      <c r="B147" s="3" t="s">
        <v>18</v>
      </c>
      <c r="C147" s="3">
        <v>2668</v>
      </c>
      <c r="D147" s="3">
        <v>143</v>
      </c>
      <c r="E147" s="3">
        <v>903387</v>
      </c>
      <c r="F147" s="4">
        <v>15.903372530266649</v>
      </c>
      <c r="G147" s="3">
        <v>33252</v>
      </c>
      <c r="H147" s="3">
        <f>(Table3_211[[#This Row],[New_Followers]]-Table3_211[[#This Row],[Unfollows]])</f>
        <v>2525</v>
      </c>
      <c r="I147" s="61">
        <f>Table3_211[[#This Row],[New followers - unfollows]]/(Table3_211[[#This Row],[Total_Followers]]-Table3_211[[#This Row],[New followers - unfollows]])</f>
        <v>2.8028710279709877E-3</v>
      </c>
    </row>
    <row r="148" spans="1:9" x14ac:dyDescent="0.3">
      <c r="A148" s="2">
        <v>45698</v>
      </c>
      <c r="B148" s="3" t="s">
        <v>40</v>
      </c>
      <c r="C148" s="3">
        <v>1147</v>
      </c>
      <c r="D148" s="3">
        <v>127</v>
      </c>
      <c r="E148" s="3">
        <v>904407</v>
      </c>
      <c r="F148" s="4">
        <v>1.3997016829812241</v>
      </c>
      <c r="G148" s="3">
        <v>25261</v>
      </c>
      <c r="H148" s="3">
        <f>(Table3_211[[#This Row],[New_Followers]]-Table3_211[[#This Row],[Unfollows]])</f>
        <v>1020</v>
      </c>
      <c r="I148" s="61">
        <f>Table3_211[[#This Row],[New followers - unfollows]]/(Table3_211[[#This Row],[Total_Followers]]-Table3_211[[#This Row],[New followers - unfollows]])</f>
        <v>1.1290842130781159E-3</v>
      </c>
    </row>
    <row r="149" spans="1:9" x14ac:dyDescent="0.3">
      <c r="A149" s="2">
        <v>45698</v>
      </c>
      <c r="B149" s="3" t="s">
        <v>18</v>
      </c>
      <c r="C149" s="3">
        <v>7420</v>
      </c>
      <c r="D149" s="3">
        <v>743</v>
      </c>
      <c r="E149" s="3">
        <v>911084</v>
      </c>
      <c r="F149" s="4">
        <v>10.593534734448189</v>
      </c>
      <c r="G149" s="3">
        <v>11431</v>
      </c>
      <c r="H149" s="3">
        <f>(Table3_211[[#This Row],[New_Followers]]-Table3_211[[#This Row],[Unfollows]])</f>
        <v>6677</v>
      </c>
      <c r="I149" s="61">
        <f>Table3_211[[#This Row],[New followers - unfollows]]/(Table3_211[[#This Row],[Total_Followers]]-Table3_211[[#This Row],[New followers - unfollows]])</f>
        <v>7.3827380814168843E-3</v>
      </c>
    </row>
    <row r="150" spans="1:9" x14ac:dyDescent="0.3">
      <c r="A150" s="2">
        <v>45705</v>
      </c>
      <c r="B150" s="3" t="s">
        <v>40</v>
      </c>
      <c r="C150" s="3">
        <v>1365</v>
      </c>
      <c r="D150" s="3">
        <v>75</v>
      </c>
      <c r="E150" s="3">
        <v>912374</v>
      </c>
      <c r="F150" s="4">
        <v>9.2688963078737441</v>
      </c>
      <c r="G150" s="3">
        <v>19067</v>
      </c>
      <c r="H150" s="3">
        <f>(Table3_211[[#This Row],[New_Followers]]-Table3_211[[#This Row],[Unfollows]])</f>
        <v>1290</v>
      </c>
      <c r="I150" s="61">
        <f>Table3_211[[#This Row],[New followers - unfollows]]/(Table3_211[[#This Row],[Total_Followers]]-Table3_211[[#This Row],[New followers - unfollows]])</f>
        <v>1.4158957900698508E-3</v>
      </c>
    </row>
    <row r="151" spans="1:9" x14ac:dyDescent="0.3">
      <c r="A151" s="2">
        <v>45705</v>
      </c>
      <c r="B151" s="3" t="s">
        <v>18</v>
      </c>
      <c r="C151" s="3">
        <v>5531</v>
      </c>
      <c r="D151" s="3">
        <v>430</v>
      </c>
      <c r="E151" s="3">
        <v>917475</v>
      </c>
      <c r="F151" s="4">
        <v>2.7289026948963189</v>
      </c>
      <c r="G151" s="3">
        <v>47481</v>
      </c>
      <c r="H151" s="3">
        <f>(Table3_211[[#This Row],[New_Followers]]-Table3_211[[#This Row],[Unfollows]])</f>
        <v>5101</v>
      </c>
      <c r="I151" s="61">
        <f>Table3_211[[#This Row],[New followers - unfollows]]/(Table3_211[[#This Row],[Total_Followers]]-Table3_211[[#This Row],[New followers - unfollows]])</f>
        <v>5.590908991268931E-3</v>
      </c>
    </row>
    <row r="152" spans="1:9" x14ac:dyDescent="0.3">
      <c r="A152" s="2">
        <v>45705</v>
      </c>
      <c r="B152" s="3" t="s">
        <v>22</v>
      </c>
      <c r="C152" s="3">
        <v>6330</v>
      </c>
      <c r="D152" s="3">
        <v>891</v>
      </c>
      <c r="E152" s="3">
        <v>922914</v>
      </c>
      <c r="F152" s="4">
        <v>14.789893749580139</v>
      </c>
      <c r="G152" s="3">
        <v>37037</v>
      </c>
      <c r="H152" s="3">
        <f>(Table3_211[[#This Row],[New_Followers]]-Table3_211[[#This Row],[Unfollows]])</f>
        <v>5439</v>
      </c>
      <c r="I152" s="61">
        <f>Table3_211[[#This Row],[New followers - unfollows]]/(Table3_211[[#This Row],[Total_Followers]]-Table3_211[[#This Row],[New followers - unfollows]])</f>
        <v>5.9282269271642282E-3</v>
      </c>
    </row>
    <row r="153" spans="1:9" x14ac:dyDescent="0.3">
      <c r="A153" s="2">
        <v>45705</v>
      </c>
      <c r="B153" s="3" t="s">
        <v>22</v>
      </c>
      <c r="C153" s="3">
        <v>6510</v>
      </c>
      <c r="D153" s="3">
        <v>481</v>
      </c>
      <c r="E153" s="3">
        <v>928943</v>
      </c>
      <c r="F153" s="4">
        <v>2.3800168578696428</v>
      </c>
      <c r="G153" s="3">
        <v>19557</v>
      </c>
      <c r="H153" s="3">
        <f>(Table3_211[[#This Row],[New_Followers]]-Table3_211[[#This Row],[Unfollows]])</f>
        <v>6029</v>
      </c>
      <c r="I153" s="61">
        <f>Table3_211[[#This Row],[New followers - unfollows]]/(Table3_211[[#This Row],[Total_Followers]]-Table3_211[[#This Row],[New followers - unfollows]])</f>
        <v>6.5325696652125771E-3</v>
      </c>
    </row>
    <row r="154" spans="1:9" x14ac:dyDescent="0.3">
      <c r="A154" s="2">
        <v>45712</v>
      </c>
      <c r="B154" s="3" t="s">
        <v>22</v>
      </c>
      <c r="C154" s="3">
        <v>9754</v>
      </c>
      <c r="D154" s="3">
        <v>629</v>
      </c>
      <c r="E154" s="3">
        <v>938068</v>
      </c>
      <c r="F154" s="4">
        <v>3.4123325814333292</v>
      </c>
      <c r="G154" s="3">
        <v>19435</v>
      </c>
      <c r="H154" s="3">
        <f>(Table3_211[[#This Row],[New_Followers]]-Table3_211[[#This Row],[Unfollows]])</f>
        <v>9125</v>
      </c>
      <c r="I154" s="61">
        <f>Table3_211[[#This Row],[New followers - unfollows]]/(Table3_211[[#This Row],[Total_Followers]]-Table3_211[[#This Row],[New followers - unfollows]])</f>
        <v>9.8229923687459825E-3</v>
      </c>
    </row>
    <row r="155" spans="1:9" x14ac:dyDescent="0.3">
      <c r="A155" s="2">
        <v>45712</v>
      </c>
      <c r="B155" s="3" t="s">
        <v>13</v>
      </c>
      <c r="C155" s="3">
        <v>9964</v>
      </c>
      <c r="D155" s="3">
        <v>985</v>
      </c>
      <c r="E155" s="3">
        <v>947047</v>
      </c>
      <c r="F155" s="4">
        <v>1.9837452629066989</v>
      </c>
      <c r="G155" s="3">
        <v>47766</v>
      </c>
      <c r="H155" s="3">
        <f>(Table3_211[[#This Row],[New_Followers]]-Table3_211[[#This Row],[Unfollows]])</f>
        <v>8979</v>
      </c>
      <c r="I155" s="61">
        <f>Table3_211[[#This Row],[New followers - unfollows]]/(Table3_211[[#This Row],[Total_Followers]]-Table3_211[[#This Row],[New followers - unfollows]])</f>
        <v>9.5718007649765267E-3</v>
      </c>
    </row>
    <row r="156" spans="1:9" x14ac:dyDescent="0.3">
      <c r="A156" s="2">
        <v>45712</v>
      </c>
      <c r="B156" s="3" t="s">
        <v>13</v>
      </c>
      <c r="C156" s="3">
        <v>7493</v>
      </c>
      <c r="D156" s="3">
        <v>1113</v>
      </c>
      <c r="E156" s="3">
        <v>953427</v>
      </c>
      <c r="F156" s="4">
        <v>15.684892498324469</v>
      </c>
      <c r="G156" s="3">
        <v>10162</v>
      </c>
      <c r="H156" s="3">
        <f>(Table3_211[[#This Row],[New_Followers]]-Table3_211[[#This Row],[Unfollows]])</f>
        <v>6380</v>
      </c>
      <c r="I156" s="61">
        <f>Table3_211[[#This Row],[New followers - unfollows]]/(Table3_211[[#This Row],[Total_Followers]]-Table3_211[[#This Row],[New followers - unfollows]])</f>
        <v>6.7367300672511498E-3</v>
      </c>
    </row>
    <row r="157" spans="1:9" x14ac:dyDescent="0.3">
      <c r="A157" s="2">
        <v>45712</v>
      </c>
      <c r="B157" s="3" t="s">
        <v>22</v>
      </c>
      <c r="C157" s="3">
        <v>6439</v>
      </c>
      <c r="D157" s="3">
        <v>477</v>
      </c>
      <c r="E157" s="3">
        <v>959389</v>
      </c>
      <c r="F157" s="4">
        <v>7.4744446725989153</v>
      </c>
      <c r="G157" s="3">
        <v>44742</v>
      </c>
      <c r="H157" s="3">
        <f>(Table3_211[[#This Row],[New_Followers]]-Table3_211[[#This Row],[Unfollows]])</f>
        <v>5962</v>
      </c>
      <c r="I157" s="61">
        <f>Table3_211[[#This Row],[New followers - unfollows]]/(Table3_211[[#This Row],[Total_Followers]]-Table3_211[[#This Row],[New followers - unfollows]])</f>
        <v>6.2532317628932266E-3</v>
      </c>
    </row>
    <row r="158" spans="1:9" x14ac:dyDescent="0.3">
      <c r="A158" s="2">
        <v>45719</v>
      </c>
      <c r="B158" s="3" t="s">
        <v>13</v>
      </c>
      <c r="C158" s="3">
        <v>7511</v>
      </c>
      <c r="D158" s="3">
        <v>880</v>
      </c>
      <c r="E158" s="3">
        <v>966020</v>
      </c>
      <c r="F158" s="4">
        <v>4.6083932009689246</v>
      </c>
      <c r="G158" s="3">
        <v>29675</v>
      </c>
      <c r="H158" s="3">
        <f>(Table3_211[[#This Row],[New_Followers]]-Table3_211[[#This Row],[Unfollows]])</f>
        <v>6631</v>
      </c>
      <c r="I158" s="61">
        <f>Table3_211[[#This Row],[New followers - unfollows]]/(Table3_211[[#This Row],[Total_Followers]]-Table3_211[[#This Row],[New followers - unfollows]])</f>
        <v>6.9116906697908771E-3</v>
      </c>
    </row>
    <row r="159" spans="1:9" x14ac:dyDescent="0.3">
      <c r="A159" s="2">
        <v>45719</v>
      </c>
      <c r="B159" s="3" t="s">
        <v>18</v>
      </c>
      <c r="C159" s="3">
        <v>8504</v>
      </c>
      <c r="D159" s="3">
        <v>1072</v>
      </c>
      <c r="E159" s="3">
        <v>973452</v>
      </c>
      <c r="F159" s="4">
        <v>6.5651927367759271</v>
      </c>
      <c r="G159" s="3">
        <v>18461</v>
      </c>
      <c r="H159" s="3">
        <f>(Table3_211[[#This Row],[New_Followers]]-Table3_211[[#This Row],[Unfollows]])</f>
        <v>7432</v>
      </c>
      <c r="I159" s="61">
        <f>Table3_211[[#This Row],[New followers - unfollows]]/(Table3_211[[#This Row],[Total_Followers]]-Table3_211[[#This Row],[New followers - unfollows]])</f>
        <v>7.6934224964286457E-3</v>
      </c>
    </row>
    <row r="160" spans="1:9" x14ac:dyDescent="0.3">
      <c r="A160" s="2">
        <v>45719</v>
      </c>
      <c r="B160" s="3" t="s">
        <v>40</v>
      </c>
      <c r="C160" s="3">
        <v>2246</v>
      </c>
      <c r="D160" s="3">
        <v>165</v>
      </c>
      <c r="E160" s="3">
        <v>975533</v>
      </c>
      <c r="F160" s="4">
        <v>2.9062061457685191</v>
      </c>
      <c r="G160" s="3">
        <v>27015</v>
      </c>
      <c r="H160" s="3">
        <f>(Table3_211[[#This Row],[New_Followers]]-Table3_211[[#This Row],[Unfollows]])</f>
        <v>2081</v>
      </c>
      <c r="I160" s="61">
        <f>Table3_211[[#This Row],[New followers - unfollows]]/(Table3_211[[#This Row],[Total_Followers]]-Table3_211[[#This Row],[New followers - unfollows]])</f>
        <v>2.1377530684615165E-3</v>
      </c>
    </row>
    <row r="161" spans="1:9" x14ac:dyDescent="0.3">
      <c r="A161" s="2">
        <v>45719</v>
      </c>
      <c r="B161" s="3" t="s">
        <v>40</v>
      </c>
      <c r="C161" s="3">
        <v>4839</v>
      </c>
      <c r="D161" s="3">
        <v>594</v>
      </c>
      <c r="E161" s="3">
        <v>979778</v>
      </c>
      <c r="F161" s="4">
        <v>2.5803804535313102</v>
      </c>
      <c r="G161" s="3">
        <v>42591</v>
      </c>
      <c r="H161" s="3">
        <f>(Table3_211[[#This Row],[New_Followers]]-Table3_211[[#This Row],[Unfollows]])</f>
        <v>4245</v>
      </c>
      <c r="I161" s="61">
        <f>Table3_211[[#This Row],[New followers - unfollows]]/(Table3_211[[#This Row],[Total_Followers]]-Table3_211[[#This Row],[New followers - unfollows]])</f>
        <v>4.3514673516938948E-3</v>
      </c>
    </row>
    <row r="162" spans="1:9" x14ac:dyDescent="0.3">
      <c r="A162" s="2">
        <v>45726</v>
      </c>
      <c r="B162" s="3" t="s">
        <v>40</v>
      </c>
      <c r="C162" s="3">
        <v>9551</v>
      </c>
      <c r="D162" s="3">
        <v>828</v>
      </c>
      <c r="E162" s="3">
        <v>988501</v>
      </c>
      <c r="F162" s="4">
        <v>1.525036393488727</v>
      </c>
      <c r="G162" s="3">
        <v>38047</v>
      </c>
      <c r="H162" s="3">
        <f>(Table3_211[[#This Row],[New_Followers]]-Table3_211[[#This Row],[Unfollows]])</f>
        <v>8723</v>
      </c>
      <c r="I162" s="61">
        <f>Table3_211[[#This Row],[New followers - unfollows]]/(Table3_211[[#This Row],[Total_Followers]]-Table3_211[[#This Row],[New followers - unfollows]])</f>
        <v>8.9030372186352427E-3</v>
      </c>
    </row>
    <row r="163" spans="1:9" x14ac:dyDescent="0.3">
      <c r="A163" s="2">
        <v>45726</v>
      </c>
      <c r="B163" s="3" t="s">
        <v>22</v>
      </c>
      <c r="C163" s="3">
        <v>3376</v>
      </c>
      <c r="D163" s="3">
        <v>382</v>
      </c>
      <c r="E163" s="3">
        <v>991495</v>
      </c>
      <c r="F163" s="4">
        <v>3.8694093263203548</v>
      </c>
      <c r="G163" s="3">
        <v>44782</v>
      </c>
      <c r="H163" s="3">
        <f>(Table3_211[[#This Row],[New_Followers]]-Table3_211[[#This Row],[Unfollows]])</f>
        <v>2994</v>
      </c>
      <c r="I163" s="61">
        <f>Table3_211[[#This Row],[New followers - unfollows]]/(Table3_211[[#This Row],[Total_Followers]]-Table3_211[[#This Row],[New followers - unfollows]])</f>
        <v>3.028828498908954E-3</v>
      </c>
    </row>
    <row r="164" spans="1:9" x14ac:dyDescent="0.3">
      <c r="A164" s="2">
        <v>45726</v>
      </c>
      <c r="B164" s="3" t="s">
        <v>13</v>
      </c>
      <c r="C164" s="3">
        <v>4009</v>
      </c>
      <c r="D164" s="3">
        <v>454</v>
      </c>
      <c r="E164" s="3">
        <v>995050</v>
      </c>
      <c r="F164" s="4">
        <v>2.1106477061454201</v>
      </c>
      <c r="G164" s="3">
        <v>19833</v>
      </c>
      <c r="H164" s="3">
        <f>(Table3_211[[#This Row],[New_Followers]]-Table3_211[[#This Row],[Unfollows]])</f>
        <v>3555</v>
      </c>
      <c r="I164" s="61">
        <f>Table3_211[[#This Row],[New followers - unfollows]]/(Table3_211[[#This Row],[Total_Followers]]-Table3_211[[#This Row],[New followers - unfollows]])</f>
        <v>3.5854946318438319E-3</v>
      </c>
    </row>
    <row r="165" spans="1:9" x14ac:dyDescent="0.3">
      <c r="A165" s="2">
        <v>45726</v>
      </c>
      <c r="B165" s="3" t="s">
        <v>18</v>
      </c>
      <c r="C165" s="3">
        <v>2827</v>
      </c>
      <c r="D165" s="3">
        <v>292</v>
      </c>
      <c r="E165" s="3">
        <v>997585</v>
      </c>
      <c r="F165" s="4">
        <v>2.4004972007397871</v>
      </c>
      <c r="G165" s="3">
        <v>17896</v>
      </c>
      <c r="H165" s="3">
        <f>(Table3_211[[#This Row],[New_Followers]]-Table3_211[[#This Row],[Unfollows]])</f>
        <v>2535</v>
      </c>
      <c r="I165" s="61">
        <f>Table3_211[[#This Row],[New followers - unfollows]]/(Table3_211[[#This Row],[Total_Followers]]-Table3_211[[#This Row],[New followers - unfollows]])</f>
        <v>2.547610672830511E-3</v>
      </c>
    </row>
    <row r="166" spans="1:9" x14ac:dyDescent="0.3">
      <c r="A166" s="2">
        <v>45733</v>
      </c>
      <c r="B166" s="3" t="s">
        <v>18</v>
      </c>
      <c r="C166" s="3">
        <v>7979</v>
      </c>
      <c r="D166" s="3">
        <v>470</v>
      </c>
      <c r="E166" s="3">
        <v>1005094</v>
      </c>
      <c r="F166" s="4">
        <v>10.43086517280971</v>
      </c>
      <c r="G166" s="3">
        <v>42972</v>
      </c>
      <c r="H166" s="3">
        <f>(Table3_211[[#This Row],[New_Followers]]-Table3_211[[#This Row],[Unfollows]])</f>
        <v>7509</v>
      </c>
      <c r="I166" s="61">
        <f>Table3_211[[#This Row],[New followers - unfollows]]/(Table3_211[[#This Row],[Total_Followers]]-Table3_211[[#This Row],[New followers - unfollows]])</f>
        <v>7.5271781351964996E-3</v>
      </c>
    </row>
    <row r="167" spans="1:9" x14ac:dyDescent="0.3">
      <c r="A167" s="2">
        <v>45733</v>
      </c>
      <c r="B167" s="3" t="s">
        <v>22</v>
      </c>
      <c r="C167" s="3">
        <v>9569</v>
      </c>
      <c r="D167" s="3">
        <v>1277</v>
      </c>
      <c r="E167" s="3">
        <v>1013386</v>
      </c>
      <c r="F167" s="4">
        <v>12.45517502708741</v>
      </c>
      <c r="G167" s="3">
        <v>59733</v>
      </c>
      <c r="H167" s="3">
        <f>(Table3_211[[#This Row],[New_Followers]]-Table3_211[[#This Row],[Unfollows]])</f>
        <v>8292</v>
      </c>
      <c r="I167" s="61">
        <f>Table3_211[[#This Row],[New followers - unfollows]]/(Table3_211[[#This Row],[Total_Followers]]-Table3_211[[#This Row],[New followers - unfollows]])</f>
        <v>8.2499746292386579E-3</v>
      </c>
    </row>
    <row r="168" spans="1:9" x14ac:dyDescent="0.3">
      <c r="A168" s="2">
        <v>45733</v>
      </c>
      <c r="B168" s="3" t="s">
        <v>18</v>
      </c>
      <c r="C168" s="3">
        <v>5285</v>
      </c>
      <c r="D168" s="3">
        <v>433</v>
      </c>
      <c r="E168" s="3">
        <v>1018238</v>
      </c>
      <c r="F168" s="4">
        <v>8.7022876773406619</v>
      </c>
      <c r="G168" s="3">
        <v>51800</v>
      </c>
      <c r="H168" s="3">
        <f>(Table3_211[[#This Row],[New_Followers]]-Table3_211[[#This Row],[Unfollows]])</f>
        <v>4852</v>
      </c>
      <c r="I168" s="61">
        <f>Table3_211[[#This Row],[New followers - unfollows]]/(Table3_211[[#This Row],[Total_Followers]]-Table3_211[[#This Row],[New followers - unfollows]])</f>
        <v>4.7879090494638765E-3</v>
      </c>
    </row>
    <row r="169" spans="1:9" x14ac:dyDescent="0.3">
      <c r="A169" s="2">
        <v>45733</v>
      </c>
      <c r="B169" s="3" t="s">
        <v>18</v>
      </c>
      <c r="C169" s="3">
        <v>7910</v>
      </c>
      <c r="D169" s="3">
        <v>543</v>
      </c>
      <c r="E169" s="3">
        <v>1025605</v>
      </c>
      <c r="F169" s="4">
        <v>6.0590578244060822</v>
      </c>
      <c r="G169" s="3">
        <v>40508</v>
      </c>
      <c r="H169" s="3">
        <f>(Table3_211[[#This Row],[New_Followers]]-Table3_211[[#This Row],[Unfollows]])</f>
        <v>7367</v>
      </c>
      <c r="I169" s="61">
        <f>Table3_211[[#This Row],[New followers - unfollows]]/(Table3_211[[#This Row],[Total_Followers]]-Table3_211[[#This Row],[New followers - unfollows]])</f>
        <v>7.235047209002218E-3</v>
      </c>
    </row>
    <row r="170" spans="1:9" x14ac:dyDescent="0.3">
      <c r="A170" s="2">
        <v>45740</v>
      </c>
      <c r="B170" s="3" t="s">
        <v>18</v>
      </c>
      <c r="C170" s="3">
        <v>9561</v>
      </c>
      <c r="D170" s="3">
        <v>517</v>
      </c>
      <c r="E170" s="3">
        <v>1034649</v>
      </c>
      <c r="F170" s="4">
        <v>6.4086467971263694</v>
      </c>
      <c r="G170" s="3">
        <v>15347</v>
      </c>
      <c r="H170" s="3">
        <f>(Table3_211[[#This Row],[New_Followers]]-Table3_211[[#This Row],[Unfollows]])</f>
        <v>9044</v>
      </c>
      <c r="I170" s="61">
        <f>Table3_211[[#This Row],[New followers - unfollows]]/(Table3_211[[#This Row],[Total_Followers]]-Table3_211[[#This Row],[New followers - unfollows]])</f>
        <v>8.8182097396171041E-3</v>
      </c>
    </row>
    <row r="171" spans="1:9" x14ac:dyDescent="0.3">
      <c r="A171" s="2">
        <v>45740</v>
      </c>
      <c r="B171" s="3" t="s">
        <v>18</v>
      </c>
      <c r="C171" s="3">
        <v>3196</v>
      </c>
      <c r="D171" s="3">
        <v>348</v>
      </c>
      <c r="E171" s="3">
        <v>1037497</v>
      </c>
      <c r="F171" s="4">
        <v>14.03040201562029</v>
      </c>
      <c r="G171" s="3">
        <v>40314</v>
      </c>
      <c r="H171" s="3">
        <f>(Table3_211[[#This Row],[New_Followers]]-Table3_211[[#This Row],[Unfollows]])</f>
        <v>2848</v>
      </c>
      <c r="I171" s="61">
        <f>Table3_211[[#This Row],[New followers - unfollows]]/(Table3_211[[#This Row],[Total_Followers]]-Table3_211[[#This Row],[New followers - unfollows]])</f>
        <v>2.7526243199384524E-3</v>
      </c>
    </row>
    <row r="172" spans="1:9" x14ac:dyDescent="0.3">
      <c r="A172" s="2">
        <v>45740</v>
      </c>
      <c r="B172" s="3" t="s">
        <v>13</v>
      </c>
      <c r="C172" s="3">
        <v>4747</v>
      </c>
      <c r="D172" s="3">
        <v>558</v>
      </c>
      <c r="E172" s="3">
        <v>1041686</v>
      </c>
      <c r="F172" s="4">
        <v>5.7680529449373434</v>
      </c>
      <c r="G172" s="3">
        <v>12643</v>
      </c>
      <c r="H172" s="3">
        <f>(Table3_211[[#This Row],[New_Followers]]-Table3_211[[#This Row],[Unfollows]])</f>
        <v>4189</v>
      </c>
      <c r="I172" s="61">
        <f>Table3_211[[#This Row],[New followers - unfollows]]/(Table3_211[[#This Row],[Total_Followers]]-Table3_211[[#This Row],[New followers - unfollows]])</f>
        <v>4.0376020364396234E-3</v>
      </c>
    </row>
    <row r="173" spans="1:9" x14ac:dyDescent="0.3">
      <c r="A173" s="2">
        <v>45740</v>
      </c>
      <c r="B173" s="3" t="s">
        <v>18</v>
      </c>
      <c r="C173" s="3">
        <v>9843</v>
      </c>
      <c r="D173" s="3">
        <v>508</v>
      </c>
      <c r="E173" s="3">
        <v>1051021</v>
      </c>
      <c r="F173" s="4">
        <v>4.2080986012648651</v>
      </c>
      <c r="G173" s="3">
        <v>50785</v>
      </c>
      <c r="H173" s="3">
        <f>(Table3_211[[#This Row],[New_Followers]]-Table3_211[[#This Row],[Unfollows]])</f>
        <v>9335</v>
      </c>
      <c r="I173" s="61">
        <f>Table3_211[[#This Row],[New followers - unfollows]]/(Table3_211[[#This Row],[Total_Followers]]-Table3_211[[#This Row],[New followers - unfollows]])</f>
        <v>8.9614336757909765E-3</v>
      </c>
    </row>
    <row r="174" spans="1:9" x14ac:dyDescent="0.3">
      <c r="A174" s="2">
        <v>45747</v>
      </c>
      <c r="B174" s="3" t="s">
        <v>40</v>
      </c>
      <c r="C174" s="3">
        <v>6978</v>
      </c>
      <c r="D174" s="3">
        <v>706</v>
      </c>
      <c r="E174" s="3">
        <v>1057293</v>
      </c>
      <c r="F174" s="4">
        <v>5.057443868445171</v>
      </c>
      <c r="G174" s="3">
        <v>28681</v>
      </c>
      <c r="H174" s="3">
        <f>(Table3_211[[#This Row],[New_Followers]]-Table3_211[[#This Row],[Unfollows]])</f>
        <v>6272</v>
      </c>
      <c r="I174" s="61">
        <f>Table3_211[[#This Row],[New followers - unfollows]]/(Table3_211[[#This Row],[Total_Followers]]-Table3_211[[#This Row],[New followers - unfollows]])</f>
        <v>5.9675306202254764E-3</v>
      </c>
    </row>
    <row r="175" spans="1:9" x14ac:dyDescent="0.3">
      <c r="A175" s="2">
        <v>45747</v>
      </c>
      <c r="B175" s="3" t="s">
        <v>22</v>
      </c>
      <c r="C175" s="3">
        <v>6607</v>
      </c>
      <c r="D175" s="3">
        <v>479</v>
      </c>
      <c r="E175" s="3">
        <v>1063421</v>
      </c>
      <c r="F175" s="4">
        <v>5.5892257158735816</v>
      </c>
      <c r="G175" s="3">
        <v>48328</v>
      </c>
      <c r="H175" s="3">
        <f>(Table3_211[[#This Row],[New_Followers]]-Table3_211[[#This Row],[Unfollows]])</f>
        <v>6128</v>
      </c>
      <c r="I175" s="61">
        <f>Table3_211[[#This Row],[New followers - unfollows]]/(Table3_211[[#This Row],[Total_Followers]]-Table3_211[[#This Row],[New followers - unfollows]])</f>
        <v>5.7959335775418924E-3</v>
      </c>
    </row>
    <row r="176" spans="1:9" x14ac:dyDescent="0.3">
      <c r="A176" s="2">
        <v>45747</v>
      </c>
      <c r="B176" s="3" t="s">
        <v>13</v>
      </c>
      <c r="C176" s="3">
        <v>1769</v>
      </c>
      <c r="D176" s="3">
        <v>202</v>
      </c>
      <c r="E176" s="3">
        <v>1064988</v>
      </c>
      <c r="F176" s="4">
        <v>6.5457075572682513</v>
      </c>
      <c r="G176" s="3">
        <v>25892</v>
      </c>
      <c r="H176" s="3">
        <f>(Table3_211[[#This Row],[New_Followers]]-Table3_211[[#This Row],[Unfollows]])</f>
        <v>1567</v>
      </c>
      <c r="I176" s="61">
        <f>Table3_211[[#This Row],[New followers - unfollows]]/(Table3_211[[#This Row],[Total_Followers]]-Table3_211[[#This Row],[New followers - unfollows]])</f>
        <v>1.4735462248723695E-3</v>
      </c>
    </row>
    <row r="177" spans="1:9" x14ac:dyDescent="0.3">
      <c r="A177" s="2">
        <v>45747</v>
      </c>
      <c r="B177" s="3" t="s">
        <v>18</v>
      </c>
      <c r="C177" s="3">
        <v>1780</v>
      </c>
      <c r="D177" s="3">
        <v>120</v>
      </c>
      <c r="E177" s="3">
        <v>1066648</v>
      </c>
      <c r="F177" s="4">
        <v>13.86474263299608</v>
      </c>
      <c r="G177" s="3">
        <v>57299</v>
      </c>
      <c r="H177" s="3">
        <f>(Table3_211[[#This Row],[New_Followers]]-Table3_211[[#This Row],[Unfollows]])</f>
        <v>1660</v>
      </c>
      <c r="I177" s="61">
        <f>Table3_211[[#This Row],[New followers - unfollows]]/(Table3_211[[#This Row],[Total_Followers]]-Table3_211[[#This Row],[New followers - unfollows]])</f>
        <v>1.5587030088601937E-3</v>
      </c>
    </row>
    <row r="178" spans="1:9" x14ac:dyDescent="0.3">
      <c r="A178" s="2">
        <v>45754</v>
      </c>
      <c r="B178" s="3" t="s">
        <v>13</v>
      </c>
      <c r="C178" s="3">
        <v>7303</v>
      </c>
      <c r="D178" s="3">
        <v>869</v>
      </c>
      <c r="E178" s="3">
        <v>1073082</v>
      </c>
      <c r="F178" s="4">
        <v>8.1237966902808925</v>
      </c>
      <c r="G178" s="3">
        <v>27073</v>
      </c>
      <c r="H178" s="3">
        <f>(Table3_211[[#This Row],[New_Followers]]-Table3_211[[#This Row],[Unfollows]])</f>
        <v>6434</v>
      </c>
      <c r="I178" s="61">
        <f>Table3_211[[#This Row],[New followers - unfollows]]/(Table3_211[[#This Row],[Total_Followers]]-Table3_211[[#This Row],[New followers - unfollows]])</f>
        <v>6.0319805596597944E-3</v>
      </c>
    </row>
    <row r="179" spans="1:9" x14ac:dyDescent="0.3">
      <c r="A179" s="2">
        <v>45754</v>
      </c>
      <c r="B179" s="3" t="s">
        <v>18</v>
      </c>
      <c r="C179" s="3">
        <v>4983</v>
      </c>
      <c r="D179" s="3">
        <v>441</v>
      </c>
      <c r="E179" s="3">
        <v>1077624</v>
      </c>
      <c r="F179" s="4">
        <v>6.8954477628560609</v>
      </c>
      <c r="G179" s="3">
        <v>46768</v>
      </c>
      <c r="H179" s="3">
        <f>(Table3_211[[#This Row],[New_Followers]]-Table3_211[[#This Row],[Unfollows]])</f>
        <v>4542</v>
      </c>
      <c r="I179" s="61">
        <f>Table3_211[[#This Row],[New followers - unfollows]]/(Table3_211[[#This Row],[Total_Followers]]-Table3_211[[#This Row],[New followers - unfollows]])</f>
        <v>4.2326681465162958E-3</v>
      </c>
    </row>
    <row r="180" spans="1:9" x14ac:dyDescent="0.3">
      <c r="A180" s="2">
        <v>45754</v>
      </c>
      <c r="B180" s="3" t="s">
        <v>40</v>
      </c>
      <c r="C180" s="3">
        <v>9714</v>
      </c>
      <c r="D180" s="3">
        <v>1395</v>
      </c>
      <c r="E180" s="3">
        <v>1085943</v>
      </c>
      <c r="F180" s="4">
        <v>5.2243073531483697</v>
      </c>
      <c r="G180" s="3">
        <v>40682</v>
      </c>
      <c r="H180" s="3">
        <f>(Table3_211[[#This Row],[New_Followers]]-Table3_211[[#This Row],[Unfollows]])</f>
        <v>8319</v>
      </c>
      <c r="I180" s="61">
        <f>Table3_211[[#This Row],[New followers - unfollows]]/(Table3_211[[#This Row],[Total_Followers]]-Table3_211[[#This Row],[New followers - unfollows]])</f>
        <v>7.7197612525333513E-3</v>
      </c>
    </row>
    <row r="181" spans="1:9" x14ac:dyDescent="0.3">
      <c r="A181" s="2">
        <v>45754</v>
      </c>
      <c r="B181" s="3" t="s">
        <v>22</v>
      </c>
      <c r="C181" s="3">
        <v>1521</v>
      </c>
      <c r="D181" s="3">
        <v>96</v>
      </c>
      <c r="E181" s="3">
        <v>1087368</v>
      </c>
      <c r="F181" s="4">
        <v>12.709772588488899</v>
      </c>
      <c r="G181" s="3">
        <v>42262</v>
      </c>
      <c r="H181" s="3">
        <f>(Table3_211[[#This Row],[New_Followers]]-Table3_211[[#This Row],[Unfollows]])</f>
        <v>1425</v>
      </c>
      <c r="I181" s="61">
        <f>Table3_211[[#This Row],[New followers - unfollows]]/(Table3_211[[#This Row],[Total_Followers]]-Table3_211[[#This Row],[New followers - unfollows]])</f>
        <v>1.3122235697453734E-3</v>
      </c>
    </row>
    <row r="182" spans="1:9" x14ac:dyDescent="0.3">
      <c r="A182" s="2">
        <v>45761</v>
      </c>
      <c r="B182" s="3" t="s">
        <v>18</v>
      </c>
      <c r="C182" s="3">
        <v>8569</v>
      </c>
      <c r="D182" s="3">
        <v>720</v>
      </c>
      <c r="E182" s="3">
        <v>1095217</v>
      </c>
      <c r="F182" s="4">
        <v>9.589697749395782</v>
      </c>
      <c r="G182" s="3">
        <v>41358</v>
      </c>
      <c r="H182" s="3">
        <f>(Table3_211[[#This Row],[New_Followers]]-Table3_211[[#This Row],[Unfollows]])</f>
        <v>7849</v>
      </c>
      <c r="I182" s="61">
        <f>Table3_211[[#This Row],[New followers - unfollows]]/(Table3_211[[#This Row],[Total_Followers]]-Table3_211[[#This Row],[New followers - unfollows]])</f>
        <v>7.2183474223997766E-3</v>
      </c>
    </row>
    <row r="183" spans="1:9" x14ac:dyDescent="0.3">
      <c r="A183" s="2">
        <v>45761</v>
      </c>
      <c r="B183" s="3" t="s">
        <v>18</v>
      </c>
      <c r="C183" s="3">
        <v>6784</v>
      </c>
      <c r="D183" s="3">
        <v>416</v>
      </c>
      <c r="E183" s="3">
        <v>1101585</v>
      </c>
      <c r="F183" s="4">
        <v>9.3041390360253633</v>
      </c>
      <c r="G183" s="3">
        <v>24289</v>
      </c>
      <c r="H183" s="3">
        <f>(Table3_211[[#This Row],[New_Followers]]-Table3_211[[#This Row],[Unfollows]])</f>
        <v>6368</v>
      </c>
      <c r="I183" s="61">
        <f>Table3_211[[#This Row],[New followers - unfollows]]/(Table3_211[[#This Row],[Total_Followers]]-Table3_211[[#This Row],[New followers - unfollows]])</f>
        <v>5.8143728594424668E-3</v>
      </c>
    </row>
    <row r="184" spans="1:9" x14ac:dyDescent="0.3">
      <c r="A184" s="2">
        <v>45761</v>
      </c>
      <c r="B184" s="3" t="s">
        <v>18</v>
      </c>
      <c r="C184" s="3">
        <v>5583</v>
      </c>
      <c r="D184" s="3">
        <v>795</v>
      </c>
      <c r="E184" s="3">
        <v>1106373</v>
      </c>
      <c r="F184" s="4">
        <v>12.21550055903389</v>
      </c>
      <c r="G184" s="3">
        <v>59823</v>
      </c>
      <c r="H184" s="3">
        <f>(Table3_211[[#This Row],[New_Followers]]-Table3_211[[#This Row],[Unfollows]])</f>
        <v>4788</v>
      </c>
      <c r="I184" s="61">
        <f>Table3_211[[#This Row],[New followers - unfollows]]/(Table3_211[[#This Row],[Total_Followers]]-Table3_211[[#This Row],[New followers - unfollows]])</f>
        <v>4.346464412641784E-3</v>
      </c>
    </row>
    <row r="185" spans="1:9" x14ac:dyDescent="0.3">
      <c r="A185" s="2">
        <v>45761</v>
      </c>
      <c r="B185" s="3" t="s">
        <v>18</v>
      </c>
      <c r="C185" s="3">
        <v>6946</v>
      </c>
      <c r="D185" s="3">
        <v>956</v>
      </c>
      <c r="E185" s="3">
        <v>1112363</v>
      </c>
      <c r="F185" s="4">
        <v>1.64146056637986</v>
      </c>
      <c r="G185" s="3">
        <v>17927</v>
      </c>
      <c r="H185" s="3">
        <f>(Table3_211[[#This Row],[New_Followers]]-Table3_211[[#This Row],[Unfollows]])</f>
        <v>5990</v>
      </c>
      <c r="I185" s="61">
        <f>Table3_211[[#This Row],[New followers - unfollows]]/(Table3_211[[#This Row],[Total_Followers]]-Table3_211[[#This Row],[New followers - unfollows]])</f>
        <v>5.4140872924411569E-3</v>
      </c>
    </row>
    <row r="186" spans="1:9" x14ac:dyDescent="0.3">
      <c r="A186" s="2">
        <v>45768</v>
      </c>
      <c r="B186" s="3" t="s">
        <v>22</v>
      </c>
      <c r="C186" s="3">
        <v>5941</v>
      </c>
      <c r="D186" s="3">
        <v>450</v>
      </c>
      <c r="E186" s="3">
        <v>1117854</v>
      </c>
      <c r="F186" s="4">
        <v>12.414411899944</v>
      </c>
      <c r="G186" s="3">
        <v>58330</v>
      </c>
      <c r="H186" s="3">
        <f>(Table3_211[[#This Row],[New_Followers]]-Table3_211[[#This Row],[Unfollows]])</f>
        <v>5491</v>
      </c>
      <c r="I186" s="61">
        <f>Table3_211[[#This Row],[New followers - unfollows]]/(Table3_211[[#This Row],[Total_Followers]]-Table3_211[[#This Row],[New followers - unfollows]])</f>
        <v>4.9363382277188292E-3</v>
      </c>
    </row>
    <row r="187" spans="1:9" x14ac:dyDescent="0.3">
      <c r="A187" s="2">
        <v>45768</v>
      </c>
      <c r="B187" s="3" t="s">
        <v>22</v>
      </c>
      <c r="C187" s="3">
        <v>7267</v>
      </c>
      <c r="D187" s="3">
        <v>842</v>
      </c>
      <c r="E187" s="3">
        <v>1124279</v>
      </c>
      <c r="F187" s="4">
        <v>2.2102165031989389</v>
      </c>
      <c r="G187" s="3">
        <v>11171</v>
      </c>
      <c r="H187" s="3">
        <f>(Table3_211[[#This Row],[New_Followers]]-Table3_211[[#This Row],[Unfollows]])</f>
        <v>6425</v>
      </c>
      <c r="I187" s="61">
        <f>Table3_211[[#This Row],[New followers - unfollows]]/(Table3_211[[#This Row],[Total_Followers]]-Table3_211[[#This Row],[New followers - unfollows]])</f>
        <v>5.7476199933086071E-3</v>
      </c>
    </row>
    <row r="188" spans="1:9" x14ac:dyDescent="0.3">
      <c r="A188" s="2">
        <v>45768</v>
      </c>
      <c r="B188" s="3" t="s">
        <v>40</v>
      </c>
      <c r="C188" s="3">
        <v>8128</v>
      </c>
      <c r="D188" s="3">
        <v>1070</v>
      </c>
      <c r="E188" s="3">
        <v>1131337</v>
      </c>
      <c r="F188" s="4">
        <v>8.1114645768679008</v>
      </c>
      <c r="G188" s="3">
        <v>21918</v>
      </c>
      <c r="H188" s="3">
        <f>(Table3_211[[#This Row],[New_Followers]]-Table3_211[[#This Row],[Unfollows]])</f>
        <v>7058</v>
      </c>
      <c r="I188" s="61">
        <f>Table3_211[[#This Row],[New followers - unfollows]]/(Table3_211[[#This Row],[Total_Followers]]-Table3_211[[#This Row],[New followers - unfollows]])</f>
        <v>6.277801150781968E-3</v>
      </c>
    </row>
    <row r="189" spans="1:9" x14ac:dyDescent="0.3">
      <c r="A189" s="2">
        <v>45768</v>
      </c>
      <c r="B189" s="3" t="s">
        <v>22</v>
      </c>
      <c r="C189" s="3">
        <v>3461</v>
      </c>
      <c r="D189" s="3">
        <v>365</v>
      </c>
      <c r="E189" s="3">
        <v>1134433</v>
      </c>
      <c r="F189" s="4">
        <v>10.23489267325616</v>
      </c>
      <c r="G189" s="3">
        <v>51903</v>
      </c>
      <c r="H189" s="3">
        <f>(Table3_211[[#This Row],[New_Followers]]-Table3_211[[#This Row],[Unfollows]])</f>
        <v>3096</v>
      </c>
      <c r="I189" s="61">
        <f>Table3_211[[#This Row],[New followers - unfollows]]/(Table3_211[[#This Row],[Total_Followers]]-Table3_211[[#This Row],[New followers - unfollows]])</f>
        <v>2.7365851200835825E-3</v>
      </c>
    </row>
    <row r="190" spans="1:9" x14ac:dyDescent="0.3">
      <c r="A190" s="2">
        <v>45775</v>
      </c>
      <c r="B190" s="3" t="s">
        <v>18</v>
      </c>
      <c r="C190" s="3">
        <v>1685</v>
      </c>
      <c r="D190" s="3">
        <v>173</v>
      </c>
      <c r="E190" s="3">
        <v>1135945</v>
      </c>
      <c r="F190" s="4">
        <v>8.7776256772995165</v>
      </c>
      <c r="G190" s="3">
        <v>49110</v>
      </c>
      <c r="H190" s="3">
        <f>(Table3_211[[#This Row],[New_Followers]]-Table3_211[[#This Row],[Unfollows]])</f>
        <v>1512</v>
      </c>
      <c r="I190" s="61">
        <f>Table3_211[[#This Row],[New followers - unfollows]]/(Table3_211[[#This Row],[Total_Followers]]-Table3_211[[#This Row],[New followers - unfollows]])</f>
        <v>1.3328244153687349E-3</v>
      </c>
    </row>
    <row r="191" spans="1:9" x14ac:dyDescent="0.3">
      <c r="A191" s="2">
        <v>45775</v>
      </c>
      <c r="B191" s="3" t="s">
        <v>40</v>
      </c>
      <c r="C191" s="3">
        <v>3160</v>
      </c>
      <c r="D191" s="3">
        <v>234</v>
      </c>
      <c r="E191" s="3">
        <v>1138871</v>
      </c>
      <c r="F191" s="4">
        <v>5.6959041015180816</v>
      </c>
      <c r="G191" s="3">
        <v>21929</v>
      </c>
      <c r="H191" s="3">
        <f>(Table3_211[[#This Row],[New_Followers]]-Table3_211[[#This Row],[Unfollows]])</f>
        <v>2926</v>
      </c>
      <c r="I191" s="61">
        <f>Table3_211[[#This Row],[New followers - unfollows]]/(Table3_211[[#This Row],[Total_Followers]]-Table3_211[[#This Row],[New followers - unfollows]])</f>
        <v>2.5758289353797941E-3</v>
      </c>
    </row>
    <row r="192" spans="1:9" x14ac:dyDescent="0.3">
      <c r="A192" s="2">
        <v>45775</v>
      </c>
      <c r="B192" s="3" t="s">
        <v>40</v>
      </c>
      <c r="C192" s="3">
        <v>8031</v>
      </c>
      <c r="D192" s="3">
        <v>476</v>
      </c>
      <c r="E192" s="3">
        <v>1146426</v>
      </c>
      <c r="F192" s="4">
        <v>11.940413075069831</v>
      </c>
      <c r="G192" s="3">
        <v>12539</v>
      </c>
      <c r="H192" s="3">
        <f>(Table3_211[[#This Row],[New_Followers]]-Table3_211[[#This Row],[Unfollows]])</f>
        <v>7555</v>
      </c>
      <c r="I192" s="61">
        <f>Table3_211[[#This Row],[New followers - unfollows]]/(Table3_211[[#This Row],[Total_Followers]]-Table3_211[[#This Row],[New followers - unfollows]])</f>
        <v>6.6337627352000359E-3</v>
      </c>
    </row>
    <row r="193" spans="1:9" x14ac:dyDescent="0.3">
      <c r="A193" s="2">
        <v>45775</v>
      </c>
      <c r="B193" s="3" t="s">
        <v>40</v>
      </c>
      <c r="C193" s="3">
        <v>6341</v>
      </c>
      <c r="D193" s="3">
        <v>885</v>
      </c>
      <c r="E193" s="3">
        <v>1151882</v>
      </c>
      <c r="F193" s="4">
        <v>6.3457020771224837</v>
      </c>
      <c r="G193" s="3">
        <v>46727</v>
      </c>
      <c r="H193" s="3">
        <f>(Table3_211[[#This Row],[New_Followers]]-Table3_211[[#This Row],[Unfollows]])</f>
        <v>5456</v>
      </c>
      <c r="I193" s="61">
        <f>Table3_211[[#This Row],[New followers - unfollows]]/(Table3_211[[#This Row],[Total_Followers]]-Table3_211[[#This Row],[New followers - unfollows]])</f>
        <v>4.7591384005596527E-3</v>
      </c>
    </row>
    <row r="194" spans="1:9" x14ac:dyDescent="0.3">
      <c r="A194" s="2">
        <v>45782</v>
      </c>
      <c r="B194" s="3" t="s">
        <v>18</v>
      </c>
      <c r="C194" s="3">
        <v>1038</v>
      </c>
      <c r="D194" s="3">
        <v>145</v>
      </c>
      <c r="E194" s="3">
        <v>1152775</v>
      </c>
      <c r="F194" s="4">
        <v>11.093752033137431</v>
      </c>
      <c r="G194" s="3">
        <v>55951</v>
      </c>
      <c r="H194" s="3">
        <f>(Table3_211[[#This Row],[New_Followers]]-Table3_211[[#This Row],[Unfollows]])</f>
        <v>893</v>
      </c>
      <c r="I194" s="61">
        <f>Table3_211[[#This Row],[New followers - unfollows]]/(Table3_211[[#This Row],[Total_Followers]]-Table3_211[[#This Row],[New followers - unfollows]])</f>
        <v>7.7525302070871843E-4</v>
      </c>
    </row>
    <row r="195" spans="1:9" x14ac:dyDescent="0.3">
      <c r="A195" s="2">
        <v>45782</v>
      </c>
      <c r="B195" s="3" t="s">
        <v>13</v>
      </c>
      <c r="C195" s="3">
        <v>5875</v>
      </c>
      <c r="D195" s="3">
        <v>665</v>
      </c>
      <c r="E195" s="3">
        <v>1157985</v>
      </c>
      <c r="F195" s="4">
        <v>6.9871371390821126</v>
      </c>
      <c r="G195" s="3">
        <v>32669</v>
      </c>
      <c r="H195" s="3">
        <f>(Table3_211[[#This Row],[New_Followers]]-Table3_211[[#This Row],[Unfollows]])</f>
        <v>5210</v>
      </c>
      <c r="I195" s="61">
        <f>Table3_211[[#This Row],[New followers - unfollows]]/(Table3_211[[#This Row],[Total_Followers]]-Table3_211[[#This Row],[New followers - unfollows]])</f>
        <v>4.5195289627203922E-3</v>
      </c>
    </row>
    <row r="196" spans="1:9" x14ac:dyDescent="0.3">
      <c r="A196" s="2">
        <v>45782</v>
      </c>
      <c r="B196" s="3" t="s">
        <v>18</v>
      </c>
      <c r="C196" s="3">
        <v>2256</v>
      </c>
      <c r="D196" s="3">
        <v>189</v>
      </c>
      <c r="E196" s="3">
        <v>1160052</v>
      </c>
      <c r="F196" s="4">
        <v>2.8935771844710412</v>
      </c>
      <c r="G196" s="3">
        <v>15432</v>
      </c>
      <c r="H196" s="3">
        <f>(Table3_211[[#This Row],[New_Followers]]-Table3_211[[#This Row],[Unfollows]])</f>
        <v>2067</v>
      </c>
      <c r="I196" s="61">
        <f>Table3_211[[#This Row],[New followers - unfollows]]/(Table3_211[[#This Row],[Total_Followers]]-Table3_211[[#This Row],[New followers - unfollows]])</f>
        <v>1.7849972149898315E-3</v>
      </c>
    </row>
    <row r="197" spans="1:9" x14ac:dyDescent="0.3">
      <c r="A197" s="2">
        <v>45782</v>
      </c>
      <c r="B197" s="3" t="s">
        <v>22</v>
      </c>
      <c r="C197" s="3">
        <v>8697</v>
      </c>
      <c r="D197" s="3">
        <v>738</v>
      </c>
      <c r="E197" s="3">
        <v>1168011</v>
      </c>
      <c r="F197" s="4">
        <v>3.8777032065622672</v>
      </c>
      <c r="G197" s="3">
        <v>30644</v>
      </c>
      <c r="H197" s="3">
        <f>(Table3_211[[#This Row],[New_Followers]]-Table3_211[[#This Row],[Unfollows]])</f>
        <v>7959</v>
      </c>
      <c r="I197" s="61">
        <f>Table3_211[[#This Row],[New followers - unfollows]]/(Table3_211[[#This Row],[Total_Followers]]-Table3_211[[#This Row],[New followers - unfollows]])</f>
        <v>6.8608993389951481E-3</v>
      </c>
    </row>
    <row r="198" spans="1:9" x14ac:dyDescent="0.3">
      <c r="A198" s="2">
        <v>45789</v>
      </c>
      <c r="B198" s="3" t="s">
        <v>22</v>
      </c>
      <c r="C198" s="3">
        <v>3196</v>
      </c>
      <c r="D198" s="3">
        <v>391</v>
      </c>
      <c r="E198" s="3">
        <v>1170816</v>
      </c>
      <c r="F198" s="4">
        <v>7.2439221876024931</v>
      </c>
      <c r="G198" s="3">
        <v>28745</v>
      </c>
      <c r="H198" s="3">
        <f>(Table3_211[[#This Row],[New_Followers]]-Table3_211[[#This Row],[Unfollows]])</f>
        <v>2805</v>
      </c>
      <c r="I198" s="61">
        <f>Table3_211[[#This Row],[New followers - unfollows]]/(Table3_211[[#This Row],[Total_Followers]]-Table3_211[[#This Row],[New followers - unfollows]])</f>
        <v>2.4015184788499424E-3</v>
      </c>
    </row>
    <row r="199" spans="1:9" x14ac:dyDescent="0.3">
      <c r="A199" s="2">
        <v>45789</v>
      </c>
      <c r="B199" s="3" t="s">
        <v>18</v>
      </c>
      <c r="C199" s="3">
        <v>8165</v>
      </c>
      <c r="D199" s="3">
        <v>1140</v>
      </c>
      <c r="E199" s="3">
        <v>1177841</v>
      </c>
      <c r="F199" s="4">
        <v>9.095964565675672</v>
      </c>
      <c r="G199" s="3">
        <v>38228</v>
      </c>
      <c r="H199" s="3">
        <f>(Table3_211[[#This Row],[New_Followers]]-Table3_211[[#This Row],[Unfollows]])</f>
        <v>7025</v>
      </c>
      <c r="I199" s="61">
        <f>Table3_211[[#This Row],[New followers - unfollows]]/(Table3_211[[#This Row],[Total_Followers]]-Table3_211[[#This Row],[New followers - unfollows]])</f>
        <v>6.0000888269377941E-3</v>
      </c>
    </row>
    <row r="200" spans="1:9" x14ac:dyDescent="0.3">
      <c r="A200" s="2">
        <v>45789</v>
      </c>
      <c r="B200" s="3" t="s">
        <v>18</v>
      </c>
      <c r="C200" s="3">
        <v>1301</v>
      </c>
      <c r="D200" s="3">
        <v>180</v>
      </c>
      <c r="E200" s="3">
        <v>1178962</v>
      </c>
      <c r="F200" s="4">
        <v>5.2275645864752214</v>
      </c>
      <c r="G200" s="3">
        <v>44521</v>
      </c>
      <c r="H200" s="3">
        <f>(Table3_211[[#This Row],[New_Followers]]-Table3_211[[#This Row],[Unfollows]])</f>
        <v>1121</v>
      </c>
      <c r="I200" s="61">
        <f>Table3_211[[#This Row],[New followers - unfollows]]/(Table3_211[[#This Row],[Total_Followers]]-Table3_211[[#This Row],[New followers - unfollows]])</f>
        <v>9.5174136407206067E-4</v>
      </c>
    </row>
    <row r="201" spans="1:9" x14ac:dyDescent="0.3">
      <c r="A201" s="2">
        <v>45789</v>
      </c>
      <c r="B201" s="3" t="s">
        <v>40</v>
      </c>
      <c r="C201" s="3">
        <v>8527</v>
      </c>
      <c r="D201" s="3">
        <v>1091</v>
      </c>
      <c r="E201" s="3">
        <v>1186398</v>
      </c>
      <c r="F201" s="4">
        <v>1.676081719625286</v>
      </c>
      <c r="G201" s="3">
        <v>41703</v>
      </c>
      <c r="H201" s="9">
        <f>(Table3_211[[#This Row],[New_Followers]]-Table3_211[[#This Row],[Unfollows]])</f>
        <v>7436</v>
      </c>
      <c r="I201" s="62">
        <f>Table3_211[[#This Row],[New followers - unfollows]]/(Table3_211[[#This Row],[Total_Followers]]-Table3_211[[#This Row],[New followers - unfollows]])</f>
        <v>6.3072431511787489E-3</v>
      </c>
    </row>
  </sheetData>
  <phoneticPr fontId="4" type="noConversion"/>
  <pageMargins left="0.7" right="0.7" top="0.75" bottom="0.75" header="0.3" footer="0.3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E3843-07A7-4BFA-A6C1-BC3E13DA6E2E}">
  <dimension ref="A1:AP568"/>
  <sheetViews>
    <sheetView topLeftCell="AF16" zoomScale="89" zoomScaleNormal="107" workbookViewId="0">
      <selection activeCell="AK32" sqref="AK32:AP36"/>
    </sheetView>
  </sheetViews>
  <sheetFormatPr defaultRowHeight="14.4" x14ac:dyDescent="0.3"/>
  <cols>
    <col min="1" max="1" width="18.44140625" bestFit="1" customWidth="1"/>
    <col min="2" max="2" width="20" bestFit="1" customWidth="1"/>
    <col min="3" max="3" width="16.44140625" bestFit="1" customWidth="1"/>
    <col min="4" max="4" width="24.109375" bestFit="1" customWidth="1"/>
    <col min="5" max="5" width="21.77734375" bestFit="1" customWidth="1"/>
    <col min="6" max="6" width="16.6640625" bestFit="1" customWidth="1"/>
    <col min="7" max="7" width="18.21875" bestFit="1" customWidth="1"/>
    <col min="8" max="8" width="21.77734375" bestFit="1" customWidth="1"/>
    <col min="9" max="10" width="17.6640625" bestFit="1" customWidth="1"/>
    <col min="11" max="11" width="23.109375" bestFit="1" customWidth="1"/>
    <col min="12" max="12" width="30.88671875" bestFit="1" customWidth="1"/>
    <col min="13" max="13" width="28.5546875" bestFit="1" customWidth="1"/>
    <col min="17" max="17" width="21.77734375" bestFit="1" customWidth="1"/>
    <col min="18" max="18" width="24.44140625" bestFit="1" customWidth="1"/>
    <col min="22" max="22" width="21.77734375" bestFit="1" customWidth="1"/>
    <col min="23" max="23" width="37.109375" bestFit="1" customWidth="1"/>
    <col min="27" max="27" width="37.109375" bestFit="1" customWidth="1"/>
    <col min="28" max="28" width="67" bestFit="1" customWidth="1"/>
    <col min="29" max="29" width="37.33203125" bestFit="1" customWidth="1"/>
    <col min="30" max="30" width="35.5546875" bestFit="1" customWidth="1"/>
    <col min="31" max="31" width="22.109375" bestFit="1" customWidth="1"/>
    <col min="32" max="32" width="39.6640625" bestFit="1" customWidth="1"/>
    <col min="33" max="33" width="16.109375" bestFit="1" customWidth="1"/>
    <col min="37" max="37" width="12.88671875" bestFit="1" customWidth="1"/>
    <col min="38" max="38" width="16.109375" bestFit="1" customWidth="1"/>
    <col min="39" max="39" width="26.21875" bestFit="1" customWidth="1"/>
    <col min="40" max="40" width="12.5546875" bestFit="1" customWidth="1"/>
    <col min="41" max="41" width="22.6640625" bestFit="1" customWidth="1"/>
    <col min="42" max="42" width="12.5546875" bestFit="1" customWidth="1"/>
    <col min="43" max="43" width="22.6640625" bestFit="1" customWidth="1"/>
    <col min="44" max="44" width="12.5546875" bestFit="1" customWidth="1"/>
    <col min="45" max="45" width="22.6640625" bestFit="1" customWidth="1"/>
    <col min="46" max="46" width="17.44140625" bestFit="1" customWidth="1"/>
    <col min="47" max="47" width="27.6640625" bestFit="1" customWidth="1"/>
  </cols>
  <sheetData>
    <row r="1" spans="1:39" ht="17.399999999999999" x14ac:dyDescent="0.45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375</v>
      </c>
    </row>
    <row r="2" spans="1:39" x14ac:dyDescent="0.3">
      <c r="A2" s="3" t="s">
        <v>118</v>
      </c>
      <c r="B2" s="3" t="s">
        <v>18</v>
      </c>
      <c r="C2" s="2">
        <v>45497</v>
      </c>
      <c r="D2" s="3" t="s">
        <v>27</v>
      </c>
      <c r="E2" s="3" t="s">
        <v>361</v>
      </c>
      <c r="F2" s="3">
        <v>22914</v>
      </c>
      <c r="G2" s="3">
        <v>954</v>
      </c>
      <c r="H2" s="3">
        <v>584</v>
      </c>
      <c r="I2" s="3">
        <v>1519</v>
      </c>
      <c r="J2" s="3">
        <v>13637</v>
      </c>
      <c r="K2" s="3">
        <v>49847</v>
      </c>
      <c r="L2" s="3" t="s">
        <v>16</v>
      </c>
      <c r="M2" s="4">
        <v>0.49054105563022848</v>
      </c>
    </row>
    <row r="3" spans="1:39" x14ac:dyDescent="0.3">
      <c r="A3" s="3" t="s">
        <v>118</v>
      </c>
      <c r="B3" s="3" t="s">
        <v>18</v>
      </c>
      <c r="C3" s="2">
        <v>45497</v>
      </c>
      <c r="D3" s="3" t="s">
        <v>27</v>
      </c>
      <c r="E3" s="3" t="s">
        <v>362</v>
      </c>
      <c r="F3" s="3">
        <v>22914</v>
      </c>
      <c r="G3" s="3">
        <v>954</v>
      </c>
      <c r="H3" s="3">
        <v>584</v>
      </c>
      <c r="I3" s="3">
        <v>1519</v>
      </c>
      <c r="J3" s="3">
        <v>13637</v>
      </c>
      <c r="K3" s="3">
        <v>49847</v>
      </c>
      <c r="L3" s="3" t="s">
        <v>16</v>
      </c>
      <c r="M3" s="4">
        <v>0.49054105563022848</v>
      </c>
    </row>
    <row r="4" spans="1:39" x14ac:dyDescent="0.3">
      <c r="A4" s="3" t="s">
        <v>237</v>
      </c>
      <c r="B4" s="3" t="s">
        <v>13</v>
      </c>
      <c r="C4" s="2">
        <v>45672</v>
      </c>
      <c r="D4" s="3" t="s">
        <v>23</v>
      </c>
      <c r="E4" s="3" t="s">
        <v>32</v>
      </c>
      <c r="F4" s="3">
        <v>20360</v>
      </c>
      <c r="G4" s="3">
        <v>254</v>
      </c>
      <c r="H4" s="3">
        <v>726</v>
      </c>
      <c r="I4" s="3">
        <v>1995</v>
      </c>
      <c r="J4" s="3">
        <v>14280</v>
      </c>
      <c r="K4" s="3">
        <v>43726</v>
      </c>
      <c r="L4" s="3" t="s">
        <v>29</v>
      </c>
      <c r="M4" s="4">
        <v>0.48803915290673738</v>
      </c>
    </row>
    <row r="5" spans="1:39" x14ac:dyDescent="0.3">
      <c r="A5" s="3" t="s">
        <v>157</v>
      </c>
      <c r="B5" s="3" t="s">
        <v>18</v>
      </c>
      <c r="C5" s="2">
        <v>45502</v>
      </c>
      <c r="D5" s="3" t="s">
        <v>27</v>
      </c>
      <c r="E5" s="3" t="s">
        <v>353</v>
      </c>
      <c r="F5" s="3">
        <v>19144</v>
      </c>
      <c r="G5" s="3">
        <v>1182</v>
      </c>
      <c r="H5" s="3">
        <v>860</v>
      </c>
      <c r="I5" s="3">
        <v>1398</v>
      </c>
      <c r="J5" s="3">
        <v>4185</v>
      </c>
      <c r="K5" s="3">
        <v>46570</v>
      </c>
      <c r="L5" s="3" t="s">
        <v>16</v>
      </c>
      <c r="M5" s="4">
        <v>0.454928065278076</v>
      </c>
    </row>
    <row r="6" spans="1:39" x14ac:dyDescent="0.3">
      <c r="A6" s="3" t="s">
        <v>157</v>
      </c>
      <c r="B6" s="3" t="s">
        <v>18</v>
      </c>
      <c r="C6" s="2">
        <v>45502</v>
      </c>
      <c r="D6" s="3" t="s">
        <v>27</v>
      </c>
      <c r="E6" s="3" t="s">
        <v>354</v>
      </c>
      <c r="F6" s="3">
        <v>19144</v>
      </c>
      <c r="G6" s="3">
        <v>1182</v>
      </c>
      <c r="H6" s="3">
        <v>860</v>
      </c>
      <c r="I6" s="3">
        <v>1398</v>
      </c>
      <c r="J6" s="3">
        <v>4185</v>
      </c>
      <c r="K6" s="3">
        <v>46570</v>
      </c>
      <c r="L6" s="3" t="s">
        <v>16</v>
      </c>
      <c r="M6" s="4">
        <v>0.454928065278076</v>
      </c>
      <c r="Q6" s="34" t="s">
        <v>423</v>
      </c>
      <c r="V6" s="34" t="s">
        <v>424</v>
      </c>
      <c r="AA6" s="34" t="s">
        <v>426</v>
      </c>
      <c r="AK6" s="34" t="s">
        <v>433</v>
      </c>
    </row>
    <row r="7" spans="1:39" x14ac:dyDescent="0.3">
      <c r="A7" s="3" t="s">
        <v>163</v>
      </c>
      <c r="B7" s="3" t="s">
        <v>40</v>
      </c>
      <c r="C7" s="2">
        <v>45684</v>
      </c>
      <c r="D7" s="3" t="s">
        <v>14</v>
      </c>
      <c r="E7" s="3" t="s">
        <v>359</v>
      </c>
      <c r="F7" s="3">
        <v>24415</v>
      </c>
      <c r="G7" s="3">
        <v>860</v>
      </c>
      <c r="H7" s="3">
        <v>931</v>
      </c>
      <c r="I7" s="3">
        <v>320</v>
      </c>
      <c r="J7" s="3">
        <v>65049</v>
      </c>
      <c r="K7" s="3">
        <v>62911</v>
      </c>
      <c r="L7" s="3" t="s">
        <v>16</v>
      </c>
      <c r="M7" s="4">
        <v>0.41655672298962027</v>
      </c>
    </row>
    <row r="8" spans="1:39" x14ac:dyDescent="0.3">
      <c r="A8" s="3" t="s">
        <v>163</v>
      </c>
      <c r="B8" s="3" t="s">
        <v>40</v>
      </c>
      <c r="C8" s="2">
        <v>45684</v>
      </c>
      <c r="D8" s="3" t="s">
        <v>14</v>
      </c>
      <c r="E8" s="3" t="s">
        <v>366</v>
      </c>
      <c r="F8" s="3">
        <v>24415</v>
      </c>
      <c r="G8" s="3">
        <v>860</v>
      </c>
      <c r="H8" s="3">
        <v>931</v>
      </c>
      <c r="I8" s="3">
        <v>320</v>
      </c>
      <c r="J8" s="3">
        <v>65049</v>
      </c>
      <c r="K8" s="3">
        <v>62911</v>
      </c>
      <c r="L8" s="3" t="s">
        <v>16</v>
      </c>
      <c r="M8" s="4">
        <v>0.41655672298962027</v>
      </c>
      <c r="Q8" s="26" t="s">
        <v>383</v>
      </c>
      <c r="R8" t="s">
        <v>422</v>
      </c>
      <c r="V8" s="26" t="s">
        <v>383</v>
      </c>
      <c r="W8" t="s">
        <v>397</v>
      </c>
      <c r="AA8" s="26" t="s">
        <v>397</v>
      </c>
      <c r="AB8" s="26" t="s">
        <v>425</v>
      </c>
      <c r="AK8" s="26" t="s">
        <v>383</v>
      </c>
      <c r="AL8" t="s">
        <v>432</v>
      </c>
      <c r="AM8" t="s">
        <v>397</v>
      </c>
    </row>
    <row r="9" spans="1:39" x14ac:dyDescent="0.3">
      <c r="A9" s="3" t="s">
        <v>44</v>
      </c>
      <c r="B9" s="3" t="s">
        <v>13</v>
      </c>
      <c r="C9" s="2">
        <v>45614</v>
      </c>
      <c r="D9" s="3" t="s">
        <v>34</v>
      </c>
      <c r="E9" s="3" t="s">
        <v>361</v>
      </c>
      <c r="F9" s="3">
        <v>21255</v>
      </c>
      <c r="G9" s="3">
        <v>1452</v>
      </c>
      <c r="H9" s="3">
        <v>625</v>
      </c>
      <c r="I9" s="3">
        <v>1624</v>
      </c>
      <c r="J9" s="3">
        <v>21282</v>
      </c>
      <c r="K9" s="3">
        <v>57778</v>
      </c>
      <c r="L9" s="3" t="s">
        <v>45</v>
      </c>
      <c r="M9" s="4">
        <v>0.40382152376337016</v>
      </c>
      <c r="Q9" s="27" t="s">
        <v>359</v>
      </c>
      <c r="R9">
        <v>80</v>
      </c>
      <c r="V9" s="27" t="s">
        <v>353</v>
      </c>
      <c r="W9" s="20">
        <v>0.14380411271271717</v>
      </c>
      <c r="AA9" s="26" t="s">
        <v>383</v>
      </c>
      <c r="AB9" t="s">
        <v>16</v>
      </c>
      <c r="AC9" t="s">
        <v>20</v>
      </c>
      <c r="AD9" t="s">
        <v>45</v>
      </c>
      <c r="AE9" t="s">
        <v>29</v>
      </c>
      <c r="AF9" t="s">
        <v>25</v>
      </c>
      <c r="AG9" t="s">
        <v>384</v>
      </c>
      <c r="AK9" s="27" t="s">
        <v>40</v>
      </c>
      <c r="AL9" s="20">
        <v>37202.875968992244</v>
      </c>
      <c r="AM9" s="20">
        <v>0.13978857334012035</v>
      </c>
    </row>
    <row r="10" spans="1:39" x14ac:dyDescent="0.3">
      <c r="A10" s="3" t="s">
        <v>44</v>
      </c>
      <c r="B10" s="3" t="s">
        <v>13</v>
      </c>
      <c r="C10" s="2">
        <v>45614</v>
      </c>
      <c r="D10" s="3" t="s">
        <v>34</v>
      </c>
      <c r="E10" s="3" t="s">
        <v>362</v>
      </c>
      <c r="F10" s="3">
        <v>21255</v>
      </c>
      <c r="G10" s="3">
        <v>1452</v>
      </c>
      <c r="H10" s="3">
        <v>625</v>
      </c>
      <c r="I10" s="3">
        <v>1624</v>
      </c>
      <c r="J10" s="3">
        <v>21282</v>
      </c>
      <c r="K10" s="3">
        <v>57778</v>
      </c>
      <c r="L10" s="3" t="s">
        <v>45</v>
      </c>
      <c r="M10" s="4">
        <v>0.40382152376337016</v>
      </c>
      <c r="Q10" s="27" t="s">
        <v>32</v>
      </c>
      <c r="R10">
        <v>41</v>
      </c>
      <c r="V10" s="27" t="s">
        <v>354</v>
      </c>
      <c r="W10" s="20">
        <v>0.14380411271271717</v>
      </c>
      <c r="AA10" s="27" t="s">
        <v>27</v>
      </c>
      <c r="AB10" s="20">
        <v>0.16620437875448751</v>
      </c>
      <c r="AC10" s="20">
        <v>0.13265746075375406</v>
      </c>
      <c r="AD10" s="20">
        <v>9.8196563636817918E-2</v>
      </c>
      <c r="AE10" s="20">
        <v>0.11372220203484851</v>
      </c>
      <c r="AF10" s="20">
        <v>0.15218624730601993</v>
      </c>
      <c r="AG10" s="20">
        <v>0.13931352878365186</v>
      </c>
      <c r="AK10" s="65" t="s">
        <v>34</v>
      </c>
      <c r="AL10" s="20">
        <v>35215.4</v>
      </c>
      <c r="AM10" s="20">
        <v>0.14058683064209113</v>
      </c>
    </row>
    <row r="11" spans="1:39" x14ac:dyDescent="0.3">
      <c r="A11" s="3" t="s">
        <v>159</v>
      </c>
      <c r="B11" s="3" t="s">
        <v>40</v>
      </c>
      <c r="C11" s="2">
        <v>45457</v>
      </c>
      <c r="D11" s="3" t="s">
        <v>27</v>
      </c>
      <c r="E11" s="3" t="s">
        <v>359</v>
      </c>
      <c r="F11" s="3">
        <v>17183</v>
      </c>
      <c r="G11" s="3">
        <v>1224</v>
      </c>
      <c r="H11" s="3">
        <v>943</v>
      </c>
      <c r="I11" s="3">
        <v>2010</v>
      </c>
      <c r="J11" s="3">
        <v>21481</v>
      </c>
      <c r="K11" s="3">
        <v>49110</v>
      </c>
      <c r="L11" s="3" t="s">
        <v>25</v>
      </c>
      <c r="M11" s="4">
        <v>0.39401343921808185</v>
      </c>
      <c r="Q11" s="27" t="s">
        <v>363</v>
      </c>
      <c r="R11">
        <v>37</v>
      </c>
      <c r="V11" s="27" t="s">
        <v>362</v>
      </c>
      <c r="W11" s="20">
        <v>0.13494947381413458</v>
      </c>
      <c r="AA11" s="27" t="s">
        <v>34</v>
      </c>
      <c r="AB11" s="20">
        <v>0.14704810657276554</v>
      </c>
      <c r="AC11" s="20">
        <v>0.10969341736251634</v>
      </c>
      <c r="AD11" s="20">
        <v>0.13146505642159756</v>
      </c>
      <c r="AE11" s="20">
        <v>0.12885066616158494</v>
      </c>
      <c r="AF11" s="20">
        <v>8.5896305243822177E-2</v>
      </c>
      <c r="AG11" s="20">
        <v>0.12185483251419382</v>
      </c>
      <c r="AK11" s="65" t="s">
        <v>14</v>
      </c>
      <c r="AL11" s="20">
        <v>32206.882352941175</v>
      </c>
      <c r="AM11" s="20">
        <v>0.18518306795651696</v>
      </c>
    </row>
    <row r="12" spans="1:39" x14ac:dyDescent="0.3">
      <c r="A12" s="3" t="s">
        <v>159</v>
      </c>
      <c r="B12" s="3" t="s">
        <v>40</v>
      </c>
      <c r="C12" s="2">
        <v>45457</v>
      </c>
      <c r="D12" s="3" t="s">
        <v>27</v>
      </c>
      <c r="E12" s="3" t="s">
        <v>366</v>
      </c>
      <c r="F12" s="3">
        <v>17183</v>
      </c>
      <c r="G12" s="3">
        <v>1224</v>
      </c>
      <c r="H12" s="3">
        <v>943</v>
      </c>
      <c r="I12" s="3">
        <v>2010</v>
      </c>
      <c r="J12" s="3">
        <v>21481</v>
      </c>
      <c r="K12" s="3">
        <v>49110</v>
      </c>
      <c r="L12" s="3" t="s">
        <v>25</v>
      </c>
      <c r="M12" s="4">
        <v>0.39401343921808185</v>
      </c>
      <c r="Q12" s="27" t="s">
        <v>364</v>
      </c>
      <c r="R12">
        <v>37</v>
      </c>
      <c r="V12" s="27" t="s">
        <v>361</v>
      </c>
      <c r="W12" s="20">
        <v>0.13494947381413458</v>
      </c>
      <c r="AA12" s="27" t="s">
        <v>14</v>
      </c>
      <c r="AB12" s="20">
        <v>0.11566497112146784</v>
      </c>
      <c r="AC12" s="20">
        <v>0.13009932842949554</v>
      </c>
      <c r="AD12" s="20">
        <v>0.11762051136322745</v>
      </c>
      <c r="AE12" s="20">
        <v>0.11166452662559298</v>
      </c>
      <c r="AF12" s="20">
        <v>9.9531954591638619E-2</v>
      </c>
      <c r="AG12" s="20">
        <v>0.11579192732927883</v>
      </c>
      <c r="AK12" s="65" t="s">
        <v>23</v>
      </c>
      <c r="AL12" s="20">
        <v>29890.78787878788</v>
      </c>
      <c r="AM12" s="20">
        <v>0.11654232584093845</v>
      </c>
    </row>
    <row r="13" spans="1:39" x14ac:dyDescent="0.3">
      <c r="A13" s="3" t="s">
        <v>323</v>
      </c>
      <c r="B13" s="3" t="s">
        <v>22</v>
      </c>
      <c r="C13" s="2">
        <v>45519</v>
      </c>
      <c r="D13" s="3" t="s">
        <v>27</v>
      </c>
      <c r="E13" s="3" t="s">
        <v>359</v>
      </c>
      <c r="F13" s="3">
        <v>14977</v>
      </c>
      <c r="G13" s="3">
        <v>274</v>
      </c>
      <c r="H13" s="3">
        <v>798</v>
      </c>
      <c r="I13" s="3">
        <v>458</v>
      </c>
      <c r="J13" s="3">
        <v>6636</v>
      </c>
      <c r="K13" s="3">
        <v>43654</v>
      </c>
      <c r="L13" s="3" t="s">
        <v>16</v>
      </c>
      <c r="M13" s="4">
        <v>0.36764099509781462</v>
      </c>
      <c r="Q13" s="27" t="s">
        <v>361</v>
      </c>
      <c r="R13">
        <v>34</v>
      </c>
      <c r="V13" s="27" t="s">
        <v>32</v>
      </c>
      <c r="W13" s="20">
        <v>0.13315746256065999</v>
      </c>
      <c r="AA13" s="27" t="s">
        <v>23</v>
      </c>
      <c r="AB13" s="20">
        <v>0.12094522055829056</v>
      </c>
      <c r="AC13" s="20">
        <v>0.11695265916559626</v>
      </c>
      <c r="AD13" s="20">
        <v>0.11042063505140375</v>
      </c>
      <c r="AE13" s="20">
        <v>0.1044173306277916</v>
      </c>
      <c r="AF13" s="20">
        <v>0.1052159070271904</v>
      </c>
      <c r="AG13" s="20">
        <v>0.11180472727666123</v>
      </c>
      <c r="AK13" s="65" t="s">
        <v>27</v>
      </c>
      <c r="AL13" s="20">
        <v>51878.896551724138</v>
      </c>
      <c r="AM13" s="20">
        <v>0.13825432830204212</v>
      </c>
    </row>
    <row r="14" spans="1:39" x14ac:dyDescent="0.3">
      <c r="A14" s="3" t="s">
        <v>323</v>
      </c>
      <c r="B14" s="3" t="s">
        <v>22</v>
      </c>
      <c r="C14" s="2">
        <v>45519</v>
      </c>
      <c r="D14" s="3" t="s">
        <v>27</v>
      </c>
      <c r="E14" s="3" t="s">
        <v>360</v>
      </c>
      <c r="F14" s="3">
        <v>14977</v>
      </c>
      <c r="G14" s="3">
        <v>274</v>
      </c>
      <c r="H14" s="3">
        <v>798</v>
      </c>
      <c r="I14" s="3">
        <v>458</v>
      </c>
      <c r="J14" s="3">
        <v>6636</v>
      </c>
      <c r="K14" s="3">
        <v>43654</v>
      </c>
      <c r="L14" s="3" t="s">
        <v>16</v>
      </c>
      <c r="M14" s="4">
        <v>0.36764099509781462</v>
      </c>
      <c r="Q14" s="27" t="s">
        <v>362</v>
      </c>
      <c r="R14">
        <v>34</v>
      </c>
      <c r="V14" s="27" t="s">
        <v>366</v>
      </c>
      <c r="W14" s="20">
        <v>0.12600406732043232</v>
      </c>
      <c r="AA14" s="27" t="s">
        <v>384</v>
      </c>
      <c r="AB14" s="20">
        <v>0.13868799002954507</v>
      </c>
      <c r="AC14" s="20">
        <v>0.12092372091733258</v>
      </c>
      <c r="AD14" s="20">
        <v>0.1173076347345684</v>
      </c>
      <c r="AE14" s="20">
        <v>0.11632445237894951</v>
      </c>
      <c r="AF14" s="20">
        <v>0.11437640713009499</v>
      </c>
      <c r="AG14" s="20">
        <v>0.12238019416019533</v>
      </c>
      <c r="AK14" s="27" t="s">
        <v>18</v>
      </c>
      <c r="AL14" s="20">
        <v>34504.354838709674</v>
      </c>
      <c r="AM14" s="20">
        <v>0.12495642964347677</v>
      </c>
    </row>
    <row r="15" spans="1:39" x14ac:dyDescent="0.3">
      <c r="A15" s="3" t="s">
        <v>262</v>
      </c>
      <c r="B15" s="3" t="s">
        <v>40</v>
      </c>
      <c r="C15" s="2">
        <v>45908</v>
      </c>
      <c r="D15" s="3" t="s">
        <v>23</v>
      </c>
      <c r="E15" s="3" t="s">
        <v>363</v>
      </c>
      <c r="F15" s="3">
        <v>23785</v>
      </c>
      <c r="G15" s="3">
        <v>1013</v>
      </c>
      <c r="H15" s="3">
        <v>468</v>
      </c>
      <c r="I15" s="3">
        <v>1628</v>
      </c>
      <c r="J15" s="3">
        <v>8272</v>
      </c>
      <c r="K15" s="3">
        <v>71348</v>
      </c>
      <c r="L15" s="3" t="s">
        <v>20</v>
      </c>
      <c r="M15" s="4">
        <v>0.35412345125301342</v>
      </c>
      <c r="Q15" s="27" t="s">
        <v>366</v>
      </c>
      <c r="R15">
        <v>32</v>
      </c>
      <c r="V15" s="27" t="s">
        <v>367</v>
      </c>
      <c r="W15" s="20">
        <v>0.12026676773989804</v>
      </c>
      <c r="AK15" s="65" t="s">
        <v>34</v>
      </c>
      <c r="AL15" s="20">
        <v>34225.08108108108</v>
      </c>
      <c r="AM15" s="20">
        <v>0.11078961736244365</v>
      </c>
    </row>
    <row r="16" spans="1:39" ht="15" thickBot="1" x14ac:dyDescent="0.35">
      <c r="A16" s="3" t="s">
        <v>262</v>
      </c>
      <c r="B16" s="3" t="s">
        <v>40</v>
      </c>
      <c r="C16" s="2">
        <v>45908</v>
      </c>
      <c r="D16" s="3" t="s">
        <v>23</v>
      </c>
      <c r="E16" s="3" t="s">
        <v>364</v>
      </c>
      <c r="F16" s="3">
        <v>23785</v>
      </c>
      <c r="G16" s="3">
        <v>1013</v>
      </c>
      <c r="H16" s="3">
        <v>468</v>
      </c>
      <c r="I16" s="3">
        <v>1628</v>
      </c>
      <c r="J16" s="3">
        <v>8272</v>
      </c>
      <c r="K16" s="3">
        <v>71348</v>
      </c>
      <c r="L16" s="3" t="s">
        <v>20</v>
      </c>
      <c r="M16" s="4">
        <v>0.35412345125301342</v>
      </c>
      <c r="Q16" s="27" t="s">
        <v>365</v>
      </c>
      <c r="R16">
        <v>29</v>
      </c>
      <c r="V16" s="27" t="s">
        <v>368</v>
      </c>
      <c r="W16" s="20">
        <v>0.12019462245795259</v>
      </c>
      <c r="AK16" s="65" t="s">
        <v>14</v>
      </c>
      <c r="AL16" s="20">
        <v>30485.644444444446</v>
      </c>
      <c r="AM16" s="20">
        <v>0.11927845946707007</v>
      </c>
    </row>
    <row r="17" spans="1:42" x14ac:dyDescent="0.3">
      <c r="A17" s="3" t="s">
        <v>267</v>
      </c>
      <c r="B17" s="3" t="s">
        <v>40</v>
      </c>
      <c r="C17" s="2">
        <v>45909</v>
      </c>
      <c r="D17" s="3" t="s">
        <v>14</v>
      </c>
      <c r="E17" s="3" t="s">
        <v>361</v>
      </c>
      <c r="F17" s="3">
        <v>19260</v>
      </c>
      <c r="G17" s="3">
        <v>668</v>
      </c>
      <c r="H17" s="3">
        <v>994</v>
      </c>
      <c r="I17" s="3">
        <v>934</v>
      </c>
      <c r="J17" s="3">
        <v>20509</v>
      </c>
      <c r="K17" s="3">
        <v>61636</v>
      </c>
      <c r="L17" s="3" t="s">
        <v>20</v>
      </c>
      <c r="M17" s="4">
        <v>0.33944448049841003</v>
      </c>
      <c r="Q17" s="27" t="s">
        <v>355</v>
      </c>
      <c r="R17">
        <v>28</v>
      </c>
      <c r="V17" s="27" t="s">
        <v>369</v>
      </c>
      <c r="W17" s="20">
        <v>0.12019462245795259</v>
      </c>
      <c r="AA17" s="75" t="s">
        <v>427</v>
      </c>
      <c r="AB17" s="54" t="s">
        <v>429</v>
      </c>
      <c r="AK17" s="65" t="s">
        <v>23</v>
      </c>
      <c r="AL17" s="20">
        <v>32253.594594594593</v>
      </c>
      <c r="AM17" s="20">
        <v>0.11472045290563462</v>
      </c>
    </row>
    <row r="18" spans="1:42" x14ac:dyDescent="0.3">
      <c r="A18" s="3" t="s">
        <v>267</v>
      </c>
      <c r="B18" s="3" t="s">
        <v>40</v>
      </c>
      <c r="C18" s="2">
        <v>45909</v>
      </c>
      <c r="D18" s="3" t="s">
        <v>14</v>
      </c>
      <c r="E18" s="3" t="s">
        <v>362</v>
      </c>
      <c r="F18" s="3">
        <v>19260</v>
      </c>
      <c r="G18" s="3">
        <v>668</v>
      </c>
      <c r="H18" s="3">
        <v>994</v>
      </c>
      <c r="I18" s="3">
        <v>934</v>
      </c>
      <c r="J18" s="3">
        <v>20509</v>
      </c>
      <c r="K18" s="3">
        <v>61636</v>
      </c>
      <c r="L18" s="3" t="s">
        <v>20</v>
      </c>
      <c r="M18" s="4">
        <v>0.33944448049841003</v>
      </c>
      <c r="Q18" s="27" t="s">
        <v>356</v>
      </c>
      <c r="R18">
        <v>28</v>
      </c>
      <c r="V18" s="27" t="s">
        <v>359</v>
      </c>
      <c r="W18" s="20">
        <v>0.11852150483225592</v>
      </c>
      <c r="AA18" s="76" t="s">
        <v>34</v>
      </c>
      <c r="AB18" s="59" t="s">
        <v>428</v>
      </c>
      <c r="AK18" s="65" t="s">
        <v>27</v>
      </c>
      <c r="AL18" s="20">
        <v>42128.055555555555</v>
      </c>
      <c r="AM18" s="20">
        <v>0.15713453663338484</v>
      </c>
    </row>
    <row r="19" spans="1:42" x14ac:dyDescent="0.3">
      <c r="A19" s="3" t="s">
        <v>221</v>
      </c>
      <c r="B19" s="3" t="s">
        <v>22</v>
      </c>
      <c r="C19" s="2">
        <v>45668</v>
      </c>
      <c r="D19" s="3" t="s">
        <v>14</v>
      </c>
      <c r="E19" s="3" t="s">
        <v>355</v>
      </c>
      <c r="F19" s="3">
        <v>21181</v>
      </c>
      <c r="G19" s="3">
        <v>1242</v>
      </c>
      <c r="H19" s="3">
        <v>963</v>
      </c>
      <c r="I19" s="3">
        <v>1689</v>
      </c>
      <c r="J19" s="3">
        <v>49329</v>
      </c>
      <c r="K19" s="3">
        <v>69165</v>
      </c>
      <c r="L19" s="3" t="s">
        <v>16</v>
      </c>
      <c r="M19" s="4">
        <v>0.33811899081905589</v>
      </c>
      <c r="Q19" s="27" t="s">
        <v>358</v>
      </c>
      <c r="R19">
        <v>25</v>
      </c>
      <c r="V19" s="27" t="s">
        <v>356</v>
      </c>
      <c r="W19" s="20">
        <v>0.11789410371289012</v>
      </c>
      <c r="AA19" s="76" t="s">
        <v>14</v>
      </c>
      <c r="AB19" s="59" t="s">
        <v>430</v>
      </c>
      <c r="AK19" s="27" t="s">
        <v>22</v>
      </c>
      <c r="AL19" s="20">
        <v>31834.852941176472</v>
      </c>
      <c r="AM19" s="20">
        <v>0.11828870345787623</v>
      </c>
    </row>
    <row r="20" spans="1:42" ht="15" thickBot="1" x14ac:dyDescent="0.35">
      <c r="A20" s="3" t="s">
        <v>221</v>
      </c>
      <c r="B20" s="3" t="s">
        <v>22</v>
      </c>
      <c r="C20" s="2">
        <v>45668</v>
      </c>
      <c r="D20" s="3" t="s">
        <v>14</v>
      </c>
      <c r="E20" s="3" t="s">
        <v>356</v>
      </c>
      <c r="F20" s="3">
        <v>21181</v>
      </c>
      <c r="G20" s="3">
        <v>1242</v>
      </c>
      <c r="H20" s="3">
        <v>963</v>
      </c>
      <c r="I20" s="3">
        <v>1689</v>
      </c>
      <c r="J20" s="3">
        <v>49329</v>
      </c>
      <c r="K20" s="3">
        <v>69165</v>
      </c>
      <c r="L20" s="3" t="s">
        <v>16</v>
      </c>
      <c r="M20" s="4">
        <v>0.33811899081905589</v>
      </c>
      <c r="Q20" s="27" t="s">
        <v>367</v>
      </c>
      <c r="R20">
        <v>25</v>
      </c>
      <c r="V20" s="27" t="s">
        <v>355</v>
      </c>
      <c r="W20" s="20">
        <v>0.11789410371289012</v>
      </c>
      <c r="AA20" s="77" t="s">
        <v>23</v>
      </c>
      <c r="AB20" s="57" t="s">
        <v>431</v>
      </c>
      <c r="AK20" s="65" t="s">
        <v>34</v>
      </c>
      <c r="AL20" s="20">
        <v>31322.224999999999</v>
      </c>
      <c r="AM20" s="20">
        <v>0.12448331763030893</v>
      </c>
    </row>
    <row r="21" spans="1:42" x14ac:dyDescent="0.3">
      <c r="A21" s="3" t="s">
        <v>142</v>
      </c>
      <c r="B21" s="3" t="s">
        <v>40</v>
      </c>
      <c r="C21" s="2">
        <v>45692</v>
      </c>
      <c r="D21" s="3" t="s">
        <v>34</v>
      </c>
      <c r="E21" s="3" t="s">
        <v>363</v>
      </c>
      <c r="F21" s="3">
        <v>23833</v>
      </c>
      <c r="G21" s="3">
        <v>555</v>
      </c>
      <c r="H21" s="3">
        <v>523</v>
      </c>
      <c r="I21" s="3">
        <v>1330</v>
      </c>
      <c r="J21" s="3">
        <v>69141</v>
      </c>
      <c r="K21" s="3">
        <v>73997</v>
      </c>
      <c r="L21" s="3" t="s">
        <v>29</v>
      </c>
      <c r="M21" s="4">
        <v>0.33664878305877266</v>
      </c>
      <c r="Q21" s="27" t="s">
        <v>357</v>
      </c>
      <c r="R21">
        <v>25</v>
      </c>
      <c r="V21" s="27" t="s">
        <v>365</v>
      </c>
      <c r="W21" s="20">
        <v>0.11456579865607176</v>
      </c>
      <c r="AK21" s="65" t="s">
        <v>14</v>
      </c>
      <c r="AL21" s="20">
        <v>35978.45945945946</v>
      </c>
      <c r="AM21" s="20">
        <v>9.3185789932585222E-2</v>
      </c>
    </row>
    <row r="22" spans="1:42" x14ac:dyDescent="0.3">
      <c r="A22" s="3" t="s">
        <v>142</v>
      </c>
      <c r="B22" s="3" t="s">
        <v>40</v>
      </c>
      <c r="C22" s="2">
        <v>45692</v>
      </c>
      <c r="D22" s="3" t="s">
        <v>34</v>
      </c>
      <c r="E22" s="3" t="s">
        <v>364</v>
      </c>
      <c r="F22" s="3">
        <v>23833</v>
      </c>
      <c r="G22" s="3">
        <v>555</v>
      </c>
      <c r="H22" s="3">
        <v>523</v>
      </c>
      <c r="I22" s="3">
        <v>1330</v>
      </c>
      <c r="J22" s="3">
        <v>69141</v>
      </c>
      <c r="K22" s="3">
        <v>73997</v>
      </c>
      <c r="L22" s="3" t="s">
        <v>29</v>
      </c>
      <c r="M22" s="4">
        <v>0.33664878305877266</v>
      </c>
      <c r="Q22" s="27" t="s">
        <v>353</v>
      </c>
      <c r="R22">
        <v>25</v>
      </c>
      <c r="V22" s="27" t="s">
        <v>363</v>
      </c>
      <c r="W22" s="20">
        <v>0.11399721676928389</v>
      </c>
      <c r="AK22" s="65" t="s">
        <v>23</v>
      </c>
      <c r="AL22" s="20">
        <v>24835.931034482757</v>
      </c>
      <c r="AM22" s="20">
        <v>0.11729281958759623</v>
      </c>
    </row>
    <row r="23" spans="1:42" x14ac:dyDescent="0.3">
      <c r="A23" s="3" t="s">
        <v>210</v>
      </c>
      <c r="B23" s="3" t="s">
        <v>18</v>
      </c>
      <c r="C23" s="2">
        <v>45465</v>
      </c>
      <c r="D23" s="3" t="s">
        <v>34</v>
      </c>
      <c r="E23" s="3" t="s">
        <v>353</v>
      </c>
      <c r="F23" s="3">
        <v>13479</v>
      </c>
      <c r="G23" s="3">
        <v>1189</v>
      </c>
      <c r="H23" s="3">
        <v>695</v>
      </c>
      <c r="I23" s="3">
        <v>416</v>
      </c>
      <c r="J23" s="3">
        <v>30229</v>
      </c>
      <c r="K23" s="3">
        <v>45704</v>
      </c>
      <c r="L23" s="3" t="s">
        <v>16</v>
      </c>
      <c r="M23" s="4">
        <v>0.33614125678277612</v>
      </c>
      <c r="Q23" s="27" t="s">
        <v>354</v>
      </c>
      <c r="R23">
        <v>25</v>
      </c>
      <c r="V23" s="27" t="s">
        <v>364</v>
      </c>
      <c r="W23" s="20">
        <v>0.11399721676928389</v>
      </c>
      <c r="AK23" s="65" t="s">
        <v>27</v>
      </c>
      <c r="AL23" s="20">
        <v>34173.533333333333</v>
      </c>
      <c r="AM23" s="20">
        <v>0.1419521656504289</v>
      </c>
    </row>
    <row r="24" spans="1:42" x14ac:dyDescent="0.3">
      <c r="A24" s="3" t="s">
        <v>210</v>
      </c>
      <c r="B24" s="3" t="s">
        <v>18</v>
      </c>
      <c r="C24" s="2">
        <v>45465</v>
      </c>
      <c r="D24" s="3" t="s">
        <v>34</v>
      </c>
      <c r="E24" s="3" t="s">
        <v>354</v>
      </c>
      <c r="F24" s="3">
        <v>13479</v>
      </c>
      <c r="G24" s="3">
        <v>1189</v>
      </c>
      <c r="H24" s="3">
        <v>695</v>
      </c>
      <c r="I24" s="3">
        <v>416</v>
      </c>
      <c r="J24" s="3">
        <v>30229</v>
      </c>
      <c r="K24" s="3">
        <v>45704</v>
      </c>
      <c r="L24" s="3" t="s">
        <v>16</v>
      </c>
      <c r="M24" s="4">
        <v>0.33614125678277612</v>
      </c>
      <c r="Q24" s="27" t="s">
        <v>360</v>
      </c>
      <c r="R24">
        <v>19</v>
      </c>
      <c r="V24" s="27" t="s">
        <v>360</v>
      </c>
      <c r="W24" s="20">
        <v>0.11195695112108224</v>
      </c>
      <c r="AK24" s="27" t="s">
        <v>13</v>
      </c>
      <c r="AL24" s="20">
        <v>34382.299319727892</v>
      </c>
      <c r="AM24" s="20">
        <v>0.10817233920370861</v>
      </c>
    </row>
    <row r="25" spans="1:42" x14ac:dyDescent="0.3">
      <c r="A25" s="3" t="s">
        <v>290</v>
      </c>
      <c r="B25" s="3" t="s">
        <v>22</v>
      </c>
      <c r="C25" s="2">
        <v>45671</v>
      </c>
      <c r="D25" s="3" t="s">
        <v>34</v>
      </c>
      <c r="E25" s="3" t="s">
        <v>359</v>
      </c>
      <c r="F25" s="3">
        <v>24350</v>
      </c>
      <c r="G25" s="3">
        <v>460</v>
      </c>
      <c r="H25" s="3">
        <v>666</v>
      </c>
      <c r="I25" s="3">
        <v>814</v>
      </c>
      <c r="J25" s="3">
        <v>21120</v>
      </c>
      <c r="K25" s="3">
        <v>76914</v>
      </c>
      <c r="L25" s="3" t="s">
        <v>16</v>
      </c>
      <c r="M25" s="4">
        <v>0.33122708479600593</v>
      </c>
      <c r="Q25" s="27" t="s">
        <v>64</v>
      </c>
      <c r="R25">
        <v>17</v>
      </c>
      <c r="V25" s="27" t="s">
        <v>357</v>
      </c>
      <c r="W25" s="20">
        <v>0.11135741315150899</v>
      </c>
      <c r="AK25" s="65" t="s">
        <v>34</v>
      </c>
      <c r="AL25" s="20">
        <v>36671.851063829788</v>
      </c>
      <c r="AM25" s="20">
        <v>0.10840108037749799</v>
      </c>
    </row>
    <row r="26" spans="1:42" x14ac:dyDescent="0.3">
      <c r="A26" s="3" t="s">
        <v>290</v>
      </c>
      <c r="B26" s="3" t="s">
        <v>22</v>
      </c>
      <c r="C26" s="2">
        <v>45671</v>
      </c>
      <c r="D26" s="3" t="s">
        <v>34</v>
      </c>
      <c r="E26" s="3" t="s">
        <v>366</v>
      </c>
      <c r="F26" s="3">
        <v>24350</v>
      </c>
      <c r="G26" s="3">
        <v>460</v>
      </c>
      <c r="H26" s="3">
        <v>666</v>
      </c>
      <c r="I26" s="3">
        <v>814</v>
      </c>
      <c r="J26" s="3">
        <v>21120</v>
      </c>
      <c r="K26" s="3">
        <v>76914</v>
      </c>
      <c r="L26" s="3" t="s">
        <v>16</v>
      </c>
      <c r="M26" s="4">
        <v>0.33122708479600593</v>
      </c>
      <c r="Q26" s="27" t="s">
        <v>368</v>
      </c>
      <c r="R26">
        <v>13</v>
      </c>
      <c r="V26" s="27" t="s">
        <v>358</v>
      </c>
      <c r="W26" s="20">
        <v>0.11135741315150899</v>
      </c>
      <c r="AK26" s="65" t="s">
        <v>14</v>
      </c>
      <c r="AL26" s="20">
        <v>28190.928571428572</v>
      </c>
      <c r="AM26" s="20">
        <v>9.7930632572636275E-2</v>
      </c>
    </row>
    <row r="27" spans="1:42" x14ac:dyDescent="0.3">
      <c r="A27" s="3" t="s">
        <v>259</v>
      </c>
      <c r="B27" s="3" t="s">
        <v>40</v>
      </c>
      <c r="C27" s="2">
        <v>45608</v>
      </c>
      <c r="D27" s="3" t="s">
        <v>27</v>
      </c>
      <c r="E27" s="3" t="s">
        <v>357</v>
      </c>
      <c r="F27" s="3">
        <v>17913</v>
      </c>
      <c r="G27" s="3">
        <v>1311</v>
      </c>
      <c r="H27" s="3">
        <v>859</v>
      </c>
      <c r="I27" s="3">
        <v>405</v>
      </c>
      <c r="J27" s="3">
        <v>59842</v>
      </c>
      <c r="K27" s="3">
        <v>62612</v>
      </c>
      <c r="L27" s="3" t="s">
        <v>25</v>
      </c>
      <c r="M27" s="4">
        <v>0.32075321024723696</v>
      </c>
      <c r="Q27" s="27" t="s">
        <v>369</v>
      </c>
      <c r="R27">
        <v>13</v>
      </c>
      <c r="V27" s="27" t="s">
        <v>64</v>
      </c>
      <c r="W27" s="20">
        <v>0.10955527128571871</v>
      </c>
      <c r="AK27" s="65" t="s">
        <v>23</v>
      </c>
      <c r="AL27" s="20">
        <v>31338.516129032258</v>
      </c>
      <c r="AM27" s="20">
        <v>9.8147395731168291E-2</v>
      </c>
    </row>
    <row r="28" spans="1:42" x14ac:dyDescent="0.3">
      <c r="A28" s="3" t="s">
        <v>259</v>
      </c>
      <c r="B28" s="3" t="s">
        <v>40</v>
      </c>
      <c r="C28" s="2">
        <v>45608</v>
      </c>
      <c r="D28" s="3" t="s">
        <v>27</v>
      </c>
      <c r="E28" s="3" t="s">
        <v>358</v>
      </c>
      <c r="F28" s="3">
        <v>17913</v>
      </c>
      <c r="G28" s="3">
        <v>1311</v>
      </c>
      <c r="H28" s="3">
        <v>859</v>
      </c>
      <c r="I28" s="3">
        <v>405</v>
      </c>
      <c r="J28" s="3">
        <v>59842</v>
      </c>
      <c r="K28" s="3">
        <v>62612</v>
      </c>
      <c r="L28" s="3" t="s">
        <v>25</v>
      </c>
      <c r="M28" s="4">
        <v>0.32075321024723696</v>
      </c>
      <c r="Q28" s="27" t="s">
        <v>384</v>
      </c>
      <c r="R28">
        <v>567</v>
      </c>
      <c r="V28" s="27" t="s">
        <v>384</v>
      </c>
      <c r="W28" s="20">
        <v>0.12238019416019523</v>
      </c>
      <c r="AK28" s="65" t="s">
        <v>27</v>
      </c>
      <c r="AL28" s="20">
        <v>38287.341463414632</v>
      </c>
      <c r="AM28" s="20">
        <v>0.12248429525616397</v>
      </c>
    </row>
    <row r="29" spans="1:42" x14ac:dyDescent="0.3">
      <c r="A29" s="3" t="s">
        <v>200</v>
      </c>
      <c r="B29" s="3" t="s">
        <v>18</v>
      </c>
      <c r="C29" s="2">
        <v>45715</v>
      </c>
      <c r="D29" s="3" t="s">
        <v>14</v>
      </c>
      <c r="E29" s="3" t="s">
        <v>355</v>
      </c>
      <c r="F29" s="3">
        <v>16178</v>
      </c>
      <c r="G29" s="3">
        <v>1048</v>
      </c>
      <c r="H29" s="3">
        <v>871</v>
      </c>
      <c r="I29" s="3">
        <v>2553</v>
      </c>
      <c r="J29" s="3">
        <v>39025</v>
      </c>
      <c r="K29" s="3">
        <v>59508</v>
      </c>
      <c r="L29" s="3" t="s">
        <v>16</v>
      </c>
      <c r="M29" s="4">
        <v>0.30411037171472743</v>
      </c>
      <c r="AK29" s="27" t="s">
        <v>384</v>
      </c>
      <c r="AL29" s="20">
        <v>34446.356261022927</v>
      </c>
      <c r="AM29" s="20">
        <v>0.12238019416019523</v>
      </c>
    </row>
    <row r="30" spans="1:42" x14ac:dyDescent="0.3">
      <c r="A30" s="3" t="s">
        <v>200</v>
      </c>
      <c r="B30" s="3" t="s">
        <v>18</v>
      </c>
      <c r="C30" s="2">
        <v>45715</v>
      </c>
      <c r="D30" s="3" t="s">
        <v>14</v>
      </c>
      <c r="E30" s="3" t="s">
        <v>356</v>
      </c>
      <c r="F30" s="3">
        <v>16178</v>
      </c>
      <c r="G30" s="3">
        <v>1048</v>
      </c>
      <c r="H30" s="3">
        <v>871</v>
      </c>
      <c r="I30" s="3">
        <v>2553</v>
      </c>
      <c r="J30" s="3">
        <v>39025</v>
      </c>
      <c r="K30" s="3">
        <v>59508</v>
      </c>
      <c r="L30" s="3" t="s">
        <v>16</v>
      </c>
      <c r="M30" s="4">
        <v>0.30411037171472743</v>
      </c>
    </row>
    <row r="31" spans="1:42" ht="15" thickBot="1" x14ac:dyDescent="0.35">
      <c r="A31" s="3" t="s">
        <v>187</v>
      </c>
      <c r="B31" s="3" t="s">
        <v>13</v>
      </c>
      <c r="C31" s="2">
        <v>45499</v>
      </c>
      <c r="D31" s="3" t="s">
        <v>27</v>
      </c>
      <c r="E31" s="3" t="s">
        <v>64</v>
      </c>
      <c r="F31" s="3">
        <v>18282</v>
      </c>
      <c r="G31" s="3">
        <v>224</v>
      </c>
      <c r="H31" s="3">
        <v>962</v>
      </c>
      <c r="I31" s="3">
        <v>890</v>
      </c>
      <c r="J31" s="3">
        <v>35105</v>
      </c>
      <c r="K31" s="3">
        <v>64089</v>
      </c>
      <c r="L31" s="3" t="s">
        <v>29</v>
      </c>
      <c r="M31" s="4">
        <v>0.30376507669022768</v>
      </c>
    </row>
    <row r="32" spans="1:42" x14ac:dyDescent="0.3">
      <c r="A32" s="3" t="s">
        <v>176</v>
      </c>
      <c r="B32" s="3" t="s">
        <v>22</v>
      </c>
      <c r="C32" s="2">
        <v>45488</v>
      </c>
      <c r="D32" s="3" t="s">
        <v>23</v>
      </c>
      <c r="E32" s="3" t="s">
        <v>361</v>
      </c>
      <c r="F32" s="3">
        <v>14891</v>
      </c>
      <c r="G32" s="3">
        <v>674</v>
      </c>
      <c r="H32" s="3">
        <v>521</v>
      </c>
      <c r="I32" s="3">
        <v>1091</v>
      </c>
      <c r="J32" s="3">
        <v>18101</v>
      </c>
      <c r="K32" s="3">
        <v>53669</v>
      </c>
      <c r="L32" s="3" t="s">
        <v>16</v>
      </c>
      <c r="M32" s="4">
        <v>0.29972609886526674</v>
      </c>
      <c r="Q32" s="74" t="s">
        <v>466</v>
      </c>
      <c r="V32" s="74" t="s">
        <v>468</v>
      </c>
      <c r="AA32" s="74" t="s">
        <v>470</v>
      </c>
      <c r="AK32" s="52" t="s">
        <v>376</v>
      </c>
      <c r="AL32" s="53" t="s">
        <v>434</v>
      </c>
      <c r="AM32" s="53"/>
      <c r="AN32" s="53"/>
      <c r="AO32" s="53"/>
      <c r="AP32" s="54"/>
    </row>
    <row r="33" spans="1:42" x14ac:dyDescent="0.3">
      <c r="A33" s="3" t="s">
        <v>176</v>
      </c>
      <c r="B33" s="3" t="s">
        <v>22</v>
      </c>
      <c r="C33" s="2">
        <v>45488</v>
      </c>
      <c r="D33" s="3" t="s">
        <v>23</v>
      </c>
      <c r="E33" s="3" t="s">
        <v>362</v>
      </c>
      <c r="F33" s="3">
        <v>14891</v>
      </c>
      <c r="G33" s="3">
        <v>674</v>
      </c>
      <c r="H33" s="3">
        <v>521</v>
      </c>
      <c r="I33" s="3">
        <v>1091</v>
      </c>
      <c r="J33" s="3">
        <v>18101</v>
      </c>
      <c r="K33" s="3">
        <v>53669</v>
      </c>
      <c r="L33" s="3" t="s">
        <v>16</v>
      </c>
      <c r="M33" s="4">
        <v>0.29972609886526674</v>
      </c>
      <c r="AK33" s="58" t="s">
        <v>22</v>
      </c>
      <c r="AL33" s="46" t="s">
        <v>437</v>
      </c>
      <c r="AM33" s="46"/>
      <c r="AN33" s="46"/>
      <c r="AO33" s="46"/>
      <c r="AP33" s="59"/>
    </row>
    <row r="34" spans="1:42" x14ac:dyDescent="0.3">
      <c r="A34" s="3" t="s">
        <v>119</v>
      </c>
      <c r="B34" s="3" t="s">
        <v>22</v>
      </c>
      <c r="C34" s="2">
        <v>45580</v>
      </c>
      <c r="D34" s="3" t="s">
        <v>34</v>
      </c>
      <c r="E34" s="3" t="s">
        <v>32</v>
      </c>
      <c r="F34" s="3">
        <v>17781</v>
      </c>
      <c r="G34" s="3">
        <v>993</v>
      </c>
      <c r="H34" s="3">
        <v>627</v>
      </c>
      <c r="I34" s="3">
        <v>2187</v>
      </c>
      <c r="J34" s="3">
        <v>9609</v>
      </c>
      <c r="K34" s="3">
        <v>66155</v>
      </c>
      <c r="L34" s="3" t="s">
        <v>29</v>
      </c>
      <c r="M34" s="4">
        <v>0.29326581513113142</v>
      </c>
      <c r="Q34" t="s">
        <v>467</v>
      </c>
      <c r="V34" t="s">
        <v>469</v>
      </c>
      <c r="AA34" t="s">
        <v>471</v>
      </c>
      <c r="AK34" s="58" t="s">
        <v>40</v>
      </c>
      <c r="AL34" s="46" t="s">
        <v>435</v>
      </c>
      <c r="AM34" s="46"/>
      <c r="AN34" s="46"/>
      <c r="AO34" s="46"/>
      <c r="AP34" s="59"/>
    </row>
    <row r="35" spans="1:42" x14ac:dyDescent="0.3">
      <c r="A35" s="3" t="s">
        <v>232</v>
      </c>
      <c r="B35" s="3" t="s">
        <v>40</v>
      </c>
      <c r="C35" s="2">
        <v>45918</v>
      </c>
      <c r="D35" s="3" t="s">
        <v>23</v>
      </c>
      <c r="E35" s="3" t="s">
        <v>64</v>
      </c>
      <c r="F35" s="3">
        <v>10152</v>
      </c>
      <c r="G35" s="3">
        <v>1445</v>
      </c>
      <c r="H35" s="3">
        <v>526</v>
      </c>
      <c r="I35" s="3">
        <v>513</v>
      </c>
      <c r="J35" s="3">
        <v>18959</v>
      </c>
      <c r="K35" s="3">
        <v>43712</v>
      </c>
      <c r="L35" s="3" t="s">
        <v>20</v>
      </c>
      <c r="M35" s="4">
        <v>0.27733803074670571</v>
      </c>
      <c r="AK35" s="58"/>
      <c r="AL35" s="46" t="s">
        <v>436</v>
      </c>
      <c r="AM35" s="46"/>
      <c r="AN35" s="46"/>
      <c r="AO35" s="46"/>
      <c r="AP35" s="59"/>
    </row>
    <row r="36" spans="1:42" ht="15" thickBot="1" x14ac:dyDescent="0.35">
      <c r="A36" s="3" t="s">
        <v>172</v>
      </c>
      <c r="B36" s="3" t="s">
        <v>22</v>
      </c>
      <c r="C36" s="2">
        <v>45932</v>
      </c>
      <c r="D36" s="3" t="s">
        <v>34</v>
      </c>
      <c r="E36" s="3" t="s">
        <v>357</v>
      </c>
      <c r="F36" s="3">
        <v>12161</v>
      </c>
      <c r="G36" s="3">
        <v>736</v>
      </c>
      <c r="H36" s="3">
        <v>876</v>
      </c>
      <c r="I36" s="3">
        <v>1233</v>
      </c>
      <c r="J36" s="3">
        <v>21337</v>
      </c>
      <c r="K36" s="3">
        <v>50225</v>
      </c>
      <c r="L36" s="3" t="s">
        <v>20</v>
      </c>
      <c r="M36" s="4">
        <v>0.27422598307615731</v>
      </c>
      <c r="AK36" s="55" t="s">
        <v>18</v>
      </c>
      <c r="AL36" s="56" t="s">
        <v>472</v>
      </c>
      <c r="AM36" s="56"/>
      <c r="AN36" s="56"/>
      <c r="AO36" s="56"/>
      <c r="AP36" s="57"/>
    </row>
    <row r="37" spans="1:42" x14ac:dyDescent="0.3">
      <c r="A37" s="3" t="s">
        <v>172</v>
      </c>
      <c r="B37" s="3" t="s">
        <v>22</v>
      </c>
      <c r="C37" s="2">
        <v>45932</v>
      </c>
      <c r="D37" s="3" t="s">
        <v>34</v>
      </c>
      <c r="E37" s="3" t="s">
        <v>358</v>
      </c>
      <c r="F37" s="3">
        <v>12161</v>
      </c>
      <c r="G37" s="3">
        <v>736</v>
      </c>
      <c r="H37" s="3">
        <v>876</v>
      </c>
      <c r="I37" s="3">
        <v>1233</v>
      </c>
      <c r="J37" s="3">
        <v>21337</v>
      </c>
      <c r="K37" s="3">
        <v>50225</v>
      </c>
      <c r="L37" s="3" t="s">
        <v>20</v>
      </c>
      <c r="M37" s="4">
        <v>0.27422598307615731</v>
      </c>
    </row>
    <row r="38" spans="1:42" x14ac:dyDescent="0.3">
      <c r="A38" s="3" t="s">
        <v>30</v>
      </c>
      <c r="B38" s="3" t="s">
        <v>13</v>
      </c>
      <c r="C38" s="2">
        <v>45904</v>
      </c>
      <c r="D38" s="3" t="s">
        <v>27</v>
      </c>
      <c r="E38" s="3" t="s">
        <v>353</v>
      </c>
      <c r="F38" s="3">
        <v>21708</v>
      </c>
      <c r="G38" s="3">
        <v>435</v>
      </c>
      <c r="H38" s="3">
        <v>317</v>
      </c>
      <c r="I38" s="3">
        <v>1213</v>
      </c>
      <c r="J38" s="3">
        <v>70701</v>
      </c>
      <c r="K38" s="3">
        <v>83585</v>
      </c>
      <c r="L38" s="3" t="s">
        <v>20</v>
      </c>
      <c r="M38" s="4">
        <v>0.26870850032900639</v>
      </c>
    </row>
    <row r="39" spans="1:42" x14ac:dyDescent="0.3">
      <c r="A39" s="3" t="s">
        <v>30</v>
      </c>
      <c r="B39" s="3" t="s">
        <v>13</v>
      </c>
      <c r="C39" s="2">
        <v>45904</v>
      </c>
      <c r="D39" s="3" t="s">
        <v>27</v>
      </c>
      <c r="E39" s="3" t="s">
        <v>354</v>
      </c>
      <c r="F39" s="3">
        <v>21708</v>
      </c>
      <c r="G39" s="3">
        <v>435</v>
      </c>
      <c r="H39" s="3">
        <v>317</v>
      </c>
      <c r="I39" s="3">
        <v>1213</v>
      </c>
      <c r="J39" s="3">
        <v>70701</v>
      </c>
      <c r="K39" s="3">
        <v>83585</v>
      </c>
      <c r="L39" s="3" t="s">
        <v>20</v>
      </c>
      <c r="M39" s="4">
        <v>0.26870850032900639</v>
      </c>
      <c r="AK39" s="74" t="s">
        <v>473</v>
      </c>
      <c r="AL39" s="74"/>
    </row>
    <row r="40" spans="1:42" x14ac:dyDescent="0.3">
      <c r="A40" s="3" t="s">
        <v>116</v>
      </c>
      <c r="B40" s="3" t="s">
        <v>18</v>
      </c>
      <c r="C40" s="2">
        <v>45456</v>
      </c>
      <c r="D40" s="3" t="s">
        <v>14</v>
      </c>
      <c r="E40" s="3" t="s">
        <v>353</v>
      </c>
      <c r="F40" s="3">
        <v>14173</v>
      </c>
      <c r="G40" s="3">
        <v>294</v>
      </c>
      <c r="H40" s="3">
        <v>257</v>
      </c>
      <c r="I40" s="3">
        <v>1288</v>
      </c>
      <c r="J40" s="3">
        <v>39466</v>
      </c>
      <c r="K40" s="3">
        <v>55563</v>
      </c>
      <c r="L40" s="3" t="s">
        <v>45</v>
      </c>
      <c r="M40" s="4">
        <v>0.26499649047027696</v>
      </c>
    </row>
    <row r="41" spans="1:42" x14ac:dyDescent="0.3">
      <c r="A41" s="3" t="s">
        <v>116</v>
      </c>
      <c r="B41" s="3" t="s">
        <v>18</v>
      </c>
      <c r="C41" s="2">
        <v>45456</v>
      </c>
      <c r="D41" s="3" t="s">
        <v>14</v>
      </c>
      <c r="E41" s="3" t="s">
        <v>354</v>
      </c>
      <c r="F41" s="3">
        <v>14173</v>
      </c>
      <c r="G41" s="3">
        <v>294</v>
      </c>
      <c r="H41" s="3">
        <v>257</v>
      </c>
      <c r="I41" s="3">
        <v>1288</v>
      </c>
      <c r="J41" s="3">
        <v>39466</v>
      </c>
      <c r="K41" s="3">
        <v>55563</v>
      </c>
      <c r="L41" s="3" t="s">
        <v>45</v>
      </c>
      <c r="M41" s="4">
        <v>0.26499649047027696</v>
      </c>
      <c r="AK41" t="s">
        <v>474</v>
      </c>
    </row>
    <row r="42" spans="1:42" x14ac:dyDescent="0.3">
      <c r="A42" s="3" t="s">
        <v>186</v>
      </c>
      <c r="B42" s="3" t="s">
        <v>18</v>
      </c>
      <c r="C42" s="2">
        <v>45526</v>
      </c>
      <c r="D42" s="3" t="s">
        <v>27</v>
      </c>
      <c r="E42" s="3" t="s">
        <v>367</v>
      </c>
      <c r="F42" s="3">
        <v>16124</v>
      </c>
      <c r="G42" s="3">
        <v>863</v>
      </c>
      <c r="H42" s="3">
        <v>337</v>
      </c>
      <c r="I42" s="3">
        <v>819</v>
      </c>
      <c r="J42" s="3">
        <v>85788</v>
      </c>
      <c r="K42" s="3">
        <v>68625</v>
      </c>
      <c r="L42" s="3" t="s">
        <v>29</v>
      </c>
      <c r="M42" s="4">
        <v>0.25244444444444447</v>
      </c>
    </row>
    <row r="43" spans="1:42" x14ac:dyDescent="0.3">
      <c r="A43" s="3" t="s">
        <v>186</v>
      </c>
      <c r="B43" s="3" t="s">
        <v>18</v>
      </c>
      <c r="C43" s="2">
        <v>45526</v>
      </c>
      <c r="D43" s="3" t="s">
        <v>27</v>
      </c>
      <c r="E43" s="3" t="s">
        <v>32</v>
      </c>
      <c r="F43" s="3">
        <v>16124</v>
      </c>
      <c r="G43" s="3">
        <v>863</v>
      </c>
      <c r="H43" s="3">
        <v>337</v>
      </c>
      <c r="I43" s="3">
        <v>819</v>
      </c>
      <c r="J43" s="3">
        <v>85788</v>
      </c>
      <c r="K43" s="3">
        <v>68625</v>
      </c>
      <c r="L43" s="3" t="s">
        <v>29</v>
      </c>
      <c r="M43" s="4">
        <v>0.25244444444444447</v>
      </c>
    </row>
    <row r="44" spans="1:42" x14ac:dyDescent="0.3">
      <c r="A44" s="3" t="s">
        <v>256</v>
      </c>
      <c r="B44" s="3" t="s">
        <v>13</v>
      </c>
      <c r="C44" s="2">
        <v>45445</v>
      </c>
      <c r="D44" s="3" t="s">
        <v>27</v>
      </c>
      <c r="E44" s="3" t="s">
        <v>355</v>
      </c>
      <c r="F44" s="3">
        <v>14199</v>
      </c>
      <c r="G44" s="3">
        <v>1206</v>
      </c>
      <c r="H44" s="3">
        <v>954</v>
      </c>
      <c r="I44" s="3">
        <v>2009</v>
      </c>
      <c r="J44" s="3">
        <v>8</v>
      </c>
      <c r="K44" s="3">
        <v>65537</v>
      </c>
      <c r="L44" s="3" t="s">
        <v>25</v>
      </c>
      <c r="M44" s="4">
        <v>0.24961472145505592</v>
      </c>
    </row>
    <row r="45" spans="1:42" x14ac:dyDescent="0.3">
      <c r="A45" s="3" t="s">
        <v>256</v>
      </c>
      <c r="B45" s="3" t="s">
        <v>13</v>
      </c>
      <c r="C45" s="2">
        <v>45445</v>
      </c>
      <c r="D45" s="3" t="s">
        <v>27</v>
      </c>
      <c r="E45" s="3" t="s">
        <v>356</v>
      </c>
      <c r="F45" s="3">
        <v>14199</v>
      </c>
      <c r="G45" s="3">
        <v>1206</v>
      </c>
      <c r="H45" s="3">
        <v>954</v>
      </c>
      <c r="I45" s="3">
        <v>2009</v>
      </c>
      <c r="J45" s="3">
        <v>8</v>
      </c>
      <c r="K45" s="3">
        <v>65537</v>
      </c>
      <c r="L45" s="3" t="s">
        <v>25</v>
      </c>
      <c r="M45" s="4">
        <v>0.24961472145505592</v>
      </c>
    </row>
    <row r="46" spans="1:42" x14ac:dyDescent="0.3">
      <c r="A46" s="3" t="s">
        <v>54</v>
      </c>
      <c r="B46" s="3" t="s">
        <v>40</v>
      </c>
      <c r="C46" s="2">
        <v>45908</v>
      </c>
      <c r="D46" s="3" t="s">
        <v>34</v>
      </c>
      <c r="E46" s="3" t="s">
        <v>367</v>
      </c>
      <c r="F46" s="3">
        <v>22309</v>
      </c>
      <c r="G46" s="3">
        <v>773</v>
      </c>
      <c r="H46" s="3">
        <v>854</v>
      </c>
      <c r="I46" s="3">
        <v>2387</v>
      </c>
      <c r="J46" s="3">
        <v>72396</v>
      </c>
      <c r="K46" s="3">
        <v>97056</v>
      </c>
      <c r="L46" s="3" t="s">
        <v>20</v>
      </c>
      <c r="M46" s="4">
        <v>0.24662050774810418</v>
      </c>
    </row>
    <row r="47" spans="1:42" x14ac:dyDescent="0.3">
      <c r="A47" s="3" t="s">
        <v>54</v>
      </c>
      <c r="B47" s="3" t="s">
        <v>40</v>
      </c>
      <c r="C47" s="2">
        <v>45908</v>
      </c>
      <c r="D47" s="3" t="s">
        <v>34</v>
      </c>
      <c r="E47" s="3" t="s">
        <v>32</v>
      </c>
      <c r="F47" s="3">
        <v>22309</v>
      </c>
      <c r="G47" s="3">
        <v>773</v>
      </c>
      <c r="H47" s="3">
        <v>854</v>
      </c>
      <c r="I47" s="3">
        <v>2387</v>
      </c>
      <c r="J47" s="3">
        <v>72396</v>
      </c>
      <c r="K47" s="3">
        <v>97056</v>
      </c>
      <c r="L47" s="3" t="s">
        <v>20</v>
      </c>
      <c r="M47" s="4">
        <v>0.24662050774810418</v>
      </c>
    </row>
    <row r="48" spans="1:42" x14ac:dyDescent="0.3">
      <c r="A48" s="3" t="s">
        <v>280</v>
      </c>
      <c r="B48" s="3" t="s">
        <v>22</v>
      </c>
      <c r="C48" s="2">
        <v>45913</v>
      </c>
      <c r="D48" s="3" t="s">
        <v>27</v>
      </c>
      <c r="E48" s="3" t="s">
        <v>367</v>
      </c>
      <c r="F48" s="3">
        <v>15046</v>
      </c>
      <c r="G48" s="3">
        <v>281</v>
      </c>
      <c r="H48" s="3">
        <v>515</v>
      </c>
      <c r="I48" s="3">
        <v>550</v>
      </c>
      <c r="J48" s="3">
        <v>22583</v>
      </c>
      <c r="K48" s="3">
        <v>64596</v>
      </c>
      <c r="L48" s="3" t="s">
        <v>20</v>
      </c>
      <c r="M48" s="4">
        <v>0.24524738373893121</v>
      </c>
    </row>
    <row r="49" spans="1:13" x14ac:dyDescent="0.3">
      <c r="A49" s="3" t="s">
        <v>280</v>
      </c>
      <c r="B49" s="3" t="s">
        <v>22</v>
      </c>
      <c r="C49" s="2">
        <v>45913</v>
      </c>
      <c r="D49" s="3" t="s">
        <v>27</v>
      </c>
      <c r="E49" s="3" t="s">
        <v>32</v>
      </c>
      <c r="F49" s="3">
        <v>15046</v>
      </c>
      <c r="G49" s="3">
        <v>281</v>
      </c>
      <c r="H49" s="3">
        <v>515</v>
      </c>
      <c r="I49" s="3">
        <v>550</v>
      </c>
      <c r="J49" s="3">
        <v>22583</v>
      </c>
      <c r="K49" s="3">
        <v>64596</v>
      </c>
      <c r="L49" s="3" t="s">
        <v>20</v>
      </c>
      <c r="M49" s="4">
        <v>0.24524738373893121</v>
      </c>
    </row>
    <row r="50" spans="1:13" x14ac:dyDescent="0.3">
      <c r="A50" s="3" t="s">
        <v>111</v>
      </c>
      <c r="B50" s="3" t="s">
        <v>40</v>
      </c>
      <c r="C50" s="2">
        <v>45603</v>
      </c>
      <c r="D50" s="3" t="s">
        <v>34</v>
      </c>
      <c r="E50" s="3" t="s">
        <v>32</v>
      </c>
      <c r="F50" s="3">
        <v>17254</v>
      </c>
      <c r="G50" s="3">
        <v>246</v>
      </c>
      <c r="H50" s="3">
        <v>952</v>
      </c>
      <c r="I50" s="3">
        <v>871</v>
      </c>
      <c r="J50" s="3">
        <v>14957</v>
      </c>
      <c r="K50" s="3">
        <v>75946</v>
      </c>
      <c r="L50" s="3" t="s">
        <v>45</v>
      </c>
      <c r="M50" s="4">
        <v>0.24296210465330631</v>
      </c>
    </row>
    <row r="51" spans="1:13" x14ac:dyDescent="0.3">
      <c r="A51" s="3" t="s">
        <v>252</v>
      </c>
      <c r="B51" s="3" t="s">
        <v>22</v>
      </c>
      <c r="C51" s="2">
        <v>45502</v>
      </c>
      <c r="D51" s="3" t="s">
        <v>23</v>
      </c>
      <c r="E51" s="3" t="s">
        <v>353</v>
      </c>
      <c r="F51" s="3">
        <v>22590</v>
      </c>
      <c r="G51" s="3">
        <v>1462</v>
      </c>
      <c r="H51" s="3">
        <v>966</v>
      </c>
      <c r="I51" s="3">
        <v>2463</v>
      </c>
      <c r="J51" s="3">
        <v>29689</v>
      </c>
      <c r="K51" s="3">
        <v>103449</v>
      </c>
      <c r="L51" s="3" t="s">
        <v>25</v>
      </c>
      <c r="M51" s="4">
        <v>0.24183897379385011</v>
      </c>
    </row>
    <row r="52" spans="1:13" x14ac:dyDescent="0.3">
      <c r="A52" s="3" t="s">
        <v>252</v>
      </c>
      <c r="B52" s="3" t="s">
        <v>22</v>
      </c>
      <c r="C52" s="2">
        <v>45502</v>
      </c>
      <c r="D52" s="3" t="s">
        <v>23</v>
      </c>
      <c r="E52" s="3" t="s">
        <v>354</v>
      </c>
      <c r="F52" s="3">
        <v>22590</v>
      </c>
      <c r="G52" s="3">
        <v>1462</v>
      </c>
      <c r="H52" s="3">
        <v>966</v>
      </c>
      <c r="I52" s="3">
        <v>2463</v>
      </c>
      <c r="J52" s="3">
        <v>29689</v>
      </c>
      <c r="K52" s="3">
        <v>103449</v>
      </c>
      <c r="L52" s="3" t="s">
        <v>25</v>
      </c>
      <c r="M52" s="4">
        <v>0.24183897379385011</v>
      </c>
    </row>
    <row r="53" spans="1:13" x14ac:dyDescent="0.3">
      <c r="A53" s="3" t="s">
        <v>86</v>
      </c>
      <c r="B53" s="3" t="s">
        <v>13</v>
      </c>
      <c r="C53" s="2">
        <v>45456</v>
      </c>
      <c r="D53" s="3" t="s">
        <v>34</v>
      </c>
      <c r="E53" s="3" t="s">
        <v>363</v>
      </c>
      <c r="F53" s="3">
        <v>23164</v>
      </c>
      <c r="G53" s="3">
        <v>1122</v>
      </c>
      <c r="H53" s="3">
        <v>900</v>
      </c>
      <c r="I53" s="3">
        <v>888</v>
      </c>
      <c r="J53" s="3">
        <v>36938</v>
      </c>
      <c r="K53" s="3">
        <v>104674</v>
      </c>
      <c r="L53" s="3" t="s">
        <v>16</v>
      </c>
      <c r="M53" s="4">
        <v>0.24061371496264594</v>
      </c>
    </row>
    <row r="54" spans="1:13" x14ac:dyDescent="0.3">
      <c r="A54" s="3" t="s">
        <v>86</v>
      </c>
      <c r="B54" s="3" t="s">
        <v>13</v>
      </c>
      <c r="C54" s="2">
        <v>45456</v>
      </c>
      <c r="D54" s="3" t="s">
        <v>34</v>
      </c>
      <c r="E54" s="3" t="s">
        <v>364</v>
      </c>
      <c r="F54" s="3">
        <v>23164</v>
      </c>
      <c r="G54" s="3">
        <v>1122</v>
      </c>
      <c r="H54" s="3">
        <v>900</v>
      </c>
      <c r="I54" s="3">
        <v>888</v>
      </c>
      <c r="J54" s="3">
        <v>36938</v>
      </c>
      <c r="K54" s="3">
        <v>104674</v>
      </c>
      <c r="L54" s="3" t="s">
        <v>16</v>
      </c>
      <c r="M54" s="4">
        <v>0.24061371496264594</v>
      </c>
    </row>
    <row r="55" spans="1:13" x14ac:dyDescent="0.3">
      <c r="A55" s="3" t="s">
        <v>31</v>
      </c>
      <c r="B55" s="3" t="s">
        <v>18</v>
      </c>
      <c r="C55" s="2">
        <v>45905</v>
      </c>
      <c r="D55" s="3" t="s">
        <v>14</v>
      </c>
      <c r="E55" s="3" t="s">
        <v>32</v>
      </c>
      <c r="F55" s="3">
        <v>14677</v>
      </c>
      <c r="G55" s="3">
        <v>533</v>
      </c>
      <c r="H55" s="3">
        <v>759</v>
      </c>
      <c r="I55" s="3">
        <v>753</v>
      </c>
      <c r="J55" s="3">
        <v>23275</v>
      </c>
      <c r="K55" s="3">
        <v>66958</v>
      </c>
      <c r="L55" s="3" t="s">
        <v>20</v>
      </c>
      <c r="M55" s="4">
        <v>0.23849278652289496</v>
      </c>
    </row>
    <row r="56" spans="1:13" x14ac:dyDescent="0.3">
      <c r="A56" s="3" t="s">
        <v>325</v>
      </c>
      <c r="B56" s="3" t="s">
        <v>22</v>
      </c>
      <c r="C56" s="2">
        <v>45624</v>
      </c>
      <c r="D56" s="3" t="s">
        <v>34</v>
      </c>
      <c r="E56" s="3" t="s">
        <v>361</v>
      </c>
      <c r="F56" s="3">
        <v>18644</v>
      </c>
      <c r="G56" s="3">
        <v>1369</v>
      </c>
      <c r="H56" s="3">
        <v>887</v>
      </c>
      <c r="I56" s="3">
        <v>1256</v>
      </c>
      <c r="J56" s="3">
        <v>43415</v>
      </c>
      <c r="K56" s="3">
        <v>88368</v>
      </c>
      <c r="L56" s="3" t="s">
        <v>25</v>
      </c>
      <c r="M56" s="4">
        <v>0.23651095419156257</v>
      </c>
    </row>
    <row r="57" spans="1:13" x14ac:dyDescent="0.3">
      <c r="A57" s="3" t="s">
        <v>325</v>
      </c>
      <c r="B57" s="3" t="s">
        <v>22</v>
      </c>
      <c r="C57" s="2">
        <v>45624</v>
      </c>
      <c r="D57" s="3" t="s">
        <v>34</v>
      </c>
      <c r="E57" s="3" t="s">
        <v>362</v>
      </c>
      <c r="F57" s="3">
        <v>18644</v>
      </c>
      <c r="G57" s="3">
        <v>1369</v>
      </c>
      <c r="H57" s="3">
        <v>887</v>
      </c>
      <c r="I57" s="3">
        <v>1256</v>
      </c>
      <c r="J57" s="3">
        <v>43415</v>
      </c>
      <c r="K57" s="3">
        <v>88368</v>
      </c>
      <c r="L57" s="3" t="s">
        <v>25</v>
      </c>
      <c r="M57" s="4">
        <v>0.23651095419156257</v>
      </c>
    </row>
    <row r="58" spans="1:13" x14ac:dyDescent="0.3">
      <c r="A58" s="3" t="s">
        <v>222</v>
      </c>
      <c r="B58" s="3" t="s">
        <v>22</v>
      </c>
      <c r="C58" s="2">
        <v>45528</v>
      </c>
      <c r="D58" s="3" t="s">
        <v>27</v>
      </c>
      <c r="E58" s="3" t="s">
        <v>357</v>
      </c>
      <c r="F58" s="3">
        <v>24890</v>
      </c>
      <c r="G58" s="3">
        <v>217</v>
      </c>
      <c r="H58" s="3">
        <v>178</v>
      </c>
      <c r="I58" s="3">
        <v>906</v>
      </c>
      <c r="J58" s="3">
        <v>54826</v>
      </c>
      <c r="K58" s="3">
        <v>107203</v>
      </c>
      <c r="L58" s="3" t="s">
        <v>25</v>
      </c>
      <c r="M58" s="4">
        <v>0.23586093672751696</v>
      </c>
    </row>
    <row r="59" spans="1:13" x14ac:dyDescent="0.3">
      <c r="A59" s="3" t="s">
        <v>222</v>
      </c>
      <c r="B59" s="3" t="s">
        <v>22</v>
      </c>
      <c r="C59" s="2">
        <v>45528</v>
      </c>
      <c r="D59" s="3" t="s">
        <v>27</v>
      </c>
      <c r="E59" s="3" t="s">
        <v>358</v>
      </c>
      <c r="F59" s="3">
        <v>24890</v>
      </c>
      <c r="G59" s="3">
        <v>217</v>
      </c>
      <c r="H59" s="3">
        <v>178</v>
      </c>
      <c r="I59" s="3">
        <v>906</v>
      </c>
      <c r="J59" s="3">
        <v>54826</v>
      </c>
      <c r="K59" s="3">
        <v>107203</v>
      </c>
      <c r="L59" s="3" t="s">
        <v>25</v>
      </c>
      <c r="M59" s="4">
        <v>0.23586093672751696</v>
      </c>
    </row>
    <row r="60" spans="1:13" x14ac:dyDescent="0.3">
      <c r="A60" s="3" t="s">
        <v>96</v>
      </c>
      <c r="B60" s="3" t="s">
        <v>13</v>
      </c>
      <c r="C60" s="2">
        <v>45540</v>
      </c>
      <c r="D60" s="3" t="s">
        <v>34</v>
      </c>
      <c r="E60" s="3" t="s">
        <v>64</v>
      </c>
      <c r="F60" s="3">
        <v>16489</v>
      </c>
      <c r="G60" s="3">
        <v>395</v>
      </c>
      <c r="H60" s="3">
        <v>350</v>
      </c>
      <c r="I60" s="3">
        <v>2364</v>
      </c>
      <c r="J60" s="3">
        <v>43239</v>
      </c>
      <c r="K60" s="3">
        <v>73397</v>
      </c>
      <c r="L60" s="3" t="s">
        <v>45</v>
      </c>
      <c r="M60" s="4">
        <v>0.23480523727127811</v>
      </c>
    </row>
    <row r="61" spans="1:13" x14ac:dyDescent="0.3">
      <c r="A61" s="3" t="s">
        <v>322</v>
      </c>
      <c r="B61" s="3" t="s">
        <v>13</v>
      </c>
      <c r="C61" s="2">
        <v>45919</v>
      </c>
      <c r="D61" s="3" t="s">
        <v>23</v>
      </c>
      <c r="E61" s="3" t="s">
        <v>363</v>
      </c>
      <c r="F61" s="3">
        <v>22128</v>
      </c>
      <c r="G61" s="3">
        <v>1004</v>
      </c>
      <c r="H61" s="3">
        <v>690</v>
      </c>
      <c r="I61" s="3">
        <v>2048</v>
      </c>
      <c r="J61" s="3">
        <v>19443</v>
      </c>
      <c r="K61" s="3">
        <v>103646</v>
      </c>
      <c r="L61" s="3" t="s">
        <v>20</v>
      </c>
      <c r="M61" s="4">
        <v>0.22984003241803833</v>
      </c>
    </row>
    <row r="62" spans="1:13" x14ac:dyDescent="0.3">
      <c r="A62" s="3" t="s">
        <v>322</v>
      </c>
      <c r="B62" s="3" t="s">
        <v>13</v>
      </c>
      <c r="C62" s="2">
        <v>45919</v>
      </c>
      <c r="D62" s="3" t="s">
        <v>23</v>
      </c>
      <c r="E62" s="3" t="s">
        <v>364</v>
      </c>
      <c r="F62" s="3">
        <v>22128</v>
      </c>
      <c r="G62" s="3">
        <v>1004</v>
      </c>
      <c r="H62" s="3">
        <v>690</v>
      </c>
      <c r="I62" s="3">
        <v>2048</v>
      </c>
      <c r="J62" s="3">
        <v>19443</v>
      </c>
      <c r="K62" s="3">
        <v>103646</v>
      </c>
      <c r="L62" s="3" t="s">
        <v>20</v>
      </c>
      <c r="M62" s="4">
        <v>0.22984003241803833</v>
      </c>
    </row>
    <row r="63" spans="1:13" x14ac:dyDescent="0.3">
      <c r="A63" s="3" t="s">
        <v>141</v>
      </c>
      <c r="B63" s="3" t="s">
        <v>40</v>
      </c>
      <c r="C63" s="2">
        <v>45457</v>
      </c>
      <c r="D63" s="3" t="s">
        <v>34</v>
      </c>
      <c r="E63" s="3" t="s">
        <v>365</v>
      </c>
      <c r="F63" s="3">
        <v>21856</v>
      </c>
      <c r="G63" s="3">
        <v>1203</v>
      </c>
      <c r="H63" s="3">
        <v>634</v>
      </c>
      <c r="I63" s="3">
        <v>2807</v>
      </c>
      <c r="J63" s="3">
        <v>3647</v>
      </c>
      <c r="K63" s="3">
        <v>104178</v>
      </c>
      <c r="L63" s="3" t="s">
        <v>29</v>
      </c>
      <c r="M63" s="4">
        <v>0.22742805582752595</v>
      </c>
    </row>
    <row r="64" spans="1:13" x14ac:dyDescent="0.3">
      <c r="A64" s="3" t="s">
        <v>141</v>
      </c>
      <c r="B64" s="3" t="s">
        <v>40</v>
      </c>
      <c r="C64" s="2">
        <v>45457</v>
      </c>
      <c r="D64" s="3" t="s">
        <v>34</v>
      </c>
      <c r="E64" s="3" t="s">
        <v>359</v>
      </c>
      <c r="F64" s="3">
        <v>21856</v>
      </c>
      <c r="G64" s="3">
        <v>1203</v>
      </c>
      <c r="H64" s="3">
        <v>634</v>
      </c>
      <c r="I64" s="3">
        <v>2807</v>
      </c>
      <c r="J64" s="3">
        <v>3647</v>
      </c>
      <c r="K64" s="3">
        <v>104178</v>
      </c>
      <c r="L64" s="3" t="s">
        <v>29</v>
      </c>
      <c r="M64" s="4">
        <v>0.22742805582752595</v>
      </c>
    </row>
    <row r="65" spans="1:13" x14ac:dyDescent="0.3">
      <c r="A65" s="3" t="s">
        <v>155</v>
      </c>
      <c r="B65" s="3" t="s">
        <v>18</v>
      </c>
      <c r="C65" s="2">
        <v>45695</v>
      </c>
      <c r="D65" s="3" t="s">
        <v>34</v>
      </c>
      <c r="E65" s="3" t="s">
        <v>368</v>
      </c>
      <c r="F65" s="3">
        <v>20290</v>
      </c>
      <c r="G65" s="3">
        <v>619</v>
      </c>
      <c r="H65" s="3">
        <v>927</v>
      </c>
      <c r="I65" s="3">
        <v>1186</v>
      </c>
      <c r="J65" s="3">
        <v>8924</v>
      </c>
      <c r="K65" s="3">
        <v>96503</v>
      </c>
      <c r="L65" s="3" t="s">
        <v>45</v>
      </c>
      <c r="M65" s="4">
        <v>0.22627275835984373</v>
      </c>
    </row>
    <row r="66" spans="1:13" x14ac:dyDescent="0.3">
      <c r="A66" s="3" t="s">
        <v>155</v>
      </c>
      <c r="B66" s="3" t="s">
        <v>18</v>
      </c>
      <c r="C66" s="2">
        <v>45695</v>
      </c>
      <c r="D66" s="3" t="s">
        <v>34</v>
      </c>
      <c r="E66" s="3" t="s">
        <v>369</v>
      </c>
      <c r="F66" s="3">
        <v>20290</v>
      </c>
      <c r="G66" s="3">
        <v>619</v>
      </c>
      <c r="H66" s="3">
        <v>927</v>
      </c>
      <c r="I66" s="3">
        <v>1186</v>
      </c>
      <c r="J66" s="3">
        <v>8924</v>
      </c>
      <c r="K66" s="3">
        <v>96503</v>
      </c>
      <c r="L66" s="3" t="s">
        <v>45</v>
      </c>
      <c r="M66" s="4">
        <v>0.22627275835984373</v>
      </c>
    </row>
    <row r="67" spans="1:13" x14ac:dyDescent="0.3">
      <c r="A67" s="3" t="s">
        <v>206</v>
      </c>
      <c r="B67" s="3" t="s">
        <v>40</v>
      </c>
      <c r="C67" s="2">
        <v>45775</v>
      </c>
      <c r="D67" s="3" t="s">
        <v>34</v>
      </c>
      <c r="E67" s="3" t="s">
        <v>367</v>
      </c>
      <c r="F67" s="3">
        <v>15013</v>
      </c>
      <c r="G67" s="3">
        <v>1286</v>
      </c>
      <c r="H67" s="3">
        <v>599</v>
      </c>
      <c r="I67" s="3">
        <v>2001</v>
      </c>
      <c r="J67" s="3">
        <v>67839</v>
      </c>
      <c r="K67" s="3">
        <v>76059</v>
      </c>
      <c r="L67" s="3" t="s">
        <v>16</v>
      </c>
      <c r="M67" s="4">
        <v>0.22216963147030594</v>
      </c>
    </row>
    <row r="68" spans="1:13" x14ac:dyDescent="0.3">
      <c r="A68" s="3" t="s">
        <v>206</v>
      </c>
      <c r="B68" s="3" t="s">
        <v>40</v>
      </c>
      <c r="C68" s="2">
        <v>45775</v>
      </c>
      <c r="D68" s="3" t="s">
        <v>34</v>
      </c>
      <c r="E68" s="3" t="s">
        <v>32</v>
      </c>
      <c r="F68" s="3">
        <v>15013</v>
      </c>
      <c r="G68" s="3">
        <v>1286</v>
      </c>
      <c r="H68" s="3">
        <v>599</v>
      </c>
      <c r="I68" s="3">
        <v>2001</v>
      </c>
      <c r="J68" s="3">
        <v>67839</v>
      </c>
      <c r="K68" s="3">
        <v>76059</v>
      </c>
      <c r="L68" s="3" t="s">
        <v>16</v>
      </c>
      <c r="M68" s="4">
        <v>0.22216963147030594</v>
      </c>
    </row>
    <row r="69" spans="1:13" x14ac:dyDescent="0.3">
      <c r="A69" s="3" t="s">
        <v>81</v>
      </c>
      <c r="B69" s="3" t="s">
        <v>18</v>
      </c>
      <c r="C69" s="2">
        <v>45779</v>
      </c>
      <c r="D69" s="3" t="s">
        <v>23</v>
      </c>
      <c r="E69" s="3" t="s">
        <v>359</v>
      </c>
      <c r="F69" s="3">
        <v>17444</v>
      </c>
      <c r="G69" s="3">
        <v>1402</v>
      </c>
      <c r="H69" s="3">
        <v>218</v>
      </c>
      <c r="I69" s="3">
        <v>725</v>
      </c>
      <c r="J69" s="3">
        <v>8710</v>
      </c>
      <c r="K69" s="3">
        <v>85893</v>
      </c>
      <c r="L69" s="3" t="s">
        <v>45</v>
      </c>
      <c r="M69" s="4">
        <v>0.22195056640238436</v>
      </c>
    </row>
    <row r="70" spans="1:13" x14ac:dyDescent="0.3">
      <c r="A70" s="3" t="s">
        <v>81</v>
      </c>
      <c r="B70" s="3" t="s">
        <v>18</v>
      </c>
      <c r="C70" s="2">
        <v>45779</v>
      </c>
      <c r="D70" s="3" t="s">
        <v>23</v>
      </c>
      <c r="E70" s="3" t="s">
        <v>366</v>
      </c>
      <c r="F70" s="3">
        <v>17444</v>
      </c>
      <c r="G70" s="3">
        <v>1402</v>
      </c>
      <c r="H70" s="3">
        <v>218</v>
      </c>
      <c r="I70" s="3">
        <v>725</v>
      </c>
      <c r="J70" s="3">
        <v>8710</v>
      </c>
      <c r="K70" s="3">
        <v>85893</v>
      </c>
      <c r="L70" s="3" t="s">
        <v>45</v>
      </c>
      <c r="M70" s="4">
        <v>0.22195056640238436</v>
      </c>
    </row>
    <row r="71" spans="1:13" x14ac:dyDescent="0.3">
      <c r="A71" s="3" t="s">
        <v>223</v>
      </c>
      <c r="B71" s="3" t="s">
        <v>40</v>
      </c>
      <c r="C71" s="2">
        <v>45648</v>
      </c>
      <c r="D71" s="3" t="s">
        <v>23</v>
      </c>
      <c r="E71" s="3" t="s">
        <v>368</v>
      </c>
      <c r="F71" s="3">
        <v>7870</v>
      </c>
      <c r="G71" s="3">
        <v>968</v>
      </c>
      <c r="H71" s="3">
        <v>626</v>
      </c>
      <c r="I71" s="3">
        <v>465</v>
      </c>
      <c r="J71" s="3">
        <v>27184</v>
      </c>
      <c r="K71" s="3">
        <v>44114</v>
      </c>
      <c r="L71" s="3" t="s">
        <v>45</v>
      </c>
      <c r="M71" s="4">
        <v>0.2145350682323072</v>
      </c>
    </row>
    <row r="72" spans="1:13" x14ac:dyDescent="0.3">
      <c r="A72" s="3" t="s">
        <v>223</v>
      </c>
      <c r="B72" s="3" t="s">
        <v>40</v>
      </c>
      <c r="C72" s="2">
        <v>45648</v>
      </c>
      <c r="D72" s="3" t="s">
        <v>23</v>
      </c>
      <c r="E72" s="3" t="s">
        <v>369</v>
      </c>
      <c r="F72" s="3">
        <v>7870</v>
      </c>
      <c r="G72" s="3">
        <v>968</v>
      </c>
      <c r="H72" s="3">
        <v>626</v>
      </c>
      <c r="I72" s="3">
        <v>465</v>
      </c>
      <c r="J72" s="3">
        <v>27184</v>
      </c>
      <c r="K72" s="3">
        <v>44114</v>
      </c>
      <c r="L72" s="3" t="s">
        <v>45</v>
      </c>
      <c r="M72" s="4">
        <v>0.2145350682323072</v>
      </c>
    </row>
    <row r="73" spans="1:13" x14ac:dyDescent="0.3">
      <c r="A73" s="3" t="s">
        <v>226</v>
      </c>
      <c r="B73" s="3" t="s">
        <v>40</v>
      </c>
      <c r="C73" s="2">
        <v>45569</v>
      </c>
      <c r="D73" s="3" t="s">
        <v>14</v>
      </c>
      <c r="E73" s="3" t="s">
        <v>361</v>
      </c>
      <c r="F73" s="3">
        <v>21729</v>
      </c>
      <c r="G73" s="3">
        <v>1209</v>
      </c>
      <c r="H73" s="3">
        <v>897</v>
      </c>
      <c r="I73" s="3">
        <v>1624</v>
      </c>
      <c r="J73" s="3">
        <v>38771</v>
      </c>
      <c r="K73" s="3">
        <v>113297</v>
      </c>
      <c r="L73" s="3" t="s">
        <v>29</v>
      </c>
      <c r="M73" s="4">
        <v>0.21037626768581694</v>
      </c>
    </row>
    <row r="74" spans="1:13" x14ac:dyDescent="0.3">
      <c r="A74" s="3" t="s">
        <v>226</v>
      </c>
      <c r="B74" s="3" t="s">
        <v>40</v>
      </c>
      <c r="C74" s="2">
        <v>45569</v>
      </c>
      <c r="D74" s="3" t="s">
        <v>14</v>
      </c>
      <c r="E74" s="3" t="s">
        <v>362</v>
      </c>
      <c r="F74" s="3">
        <v>21729</v>
      </c>
      <c r="G74" s="3">
        <v>1209</v>
      </c>
      <c r="H74" s="3">
        <v>897</v>
      </c>
      <c r="I74" s="3">
        <v>1624</v>
      </c>
      <c r="J74" s="3">
        <v>38771</v>
      </c>
      <c r="K74" s="3">
        <v>113297</v>
      </c>
      <c r="L74" s="3" t="s">
        <v>29</v>
      </c>
      <c r="M74" s="4">
        <v>0.21037626768581694</v>
      </c>
    </row>
    <row r="75" spans="1:13" x14ac:dyDescent="0.3">
      <c r="A75" s="3" t="s">
        <v>287</v>
      </c>
      <c r="B75" s="3" t="s">
        <v>40</v>
      </c>
      <c r="C75" s="2">
        <v>45915</v>
      </c>
      <c r="D75" s="3" t="s">
        <v>14</v>
      </c>
      <c r="E75" s="3" t="s">
        <v>361</v>
      </c>
      <c r="F75" s="3">
        <v>18389</v>
      </c>
      <c r="G75" s="3">
        <v>670</v>
      </c>
      <c r="H75" s="3">
        <v>655</v>
      </c>
      <c r="I75" s="3">
        <v>321</v>
      </c>
      <c r="J75" s="3">
        <v>21869</v>
      </c>
      <c r="K75" s="3">
        <v>96088</v>
      </c>
      <c r="L75" s="3" t="s">
        <v>20</v>
      </c>
      <c r="M75" s="4">
        <v>0.2051660977437349</v>
      </c>
    </row>
    <row r="76" spans="1:13" x14ac:dyDescent="0.3">
      <c r="A76" s="3" t="s">
        <v>287</v>
      </c>
      <c r="B76" s="3" t="s">
        <v>40</v>
      </c>
      <c r="C76" s="2">
        <v>45915</v>
      </c>
      <c r="D76" s="3" t="s">
        <v>14</v>
      </c>
      <c r="E76" s="3" t="s">
        <v>362</v>
      </c>
      <c r="F76" s="3">
        <v>18389</v>
      </c>
      <c r="G76" s="3">
        <v>670</v>
      </c>
      <c r="H76" s="3">
        <v>655</v>
      </c>
      <c r="I76" s="3">
        <v>321</v>
      </c>
      <c r="J76" s="3">
        <v>21869</v>
      </c>
      <c r="K76" s="3">
        <v>96088</v>
      </c>
      <c r="L76" s="3" t="s">
        <v>20</v>
      </c>
      <c r="M76" s="4">
        <v>0.2051660977437349</v>
      </c>
    </row>
    <row r="77" spans="1:13" x14ac:dyDescent="0.3">
      <c r="A77" s="3" t="s">
        <v>109</v>
      </c>
      <c r="B77" s="3" t="s">
        <v>40</v>
      </c>
      <c r="C77" s="2">
        <v>45593</v>
      </c>
      <c r="D77" s="3" t="s">
        <v>34</v>
      </c>
      <c r="E77" s="3" t="s">
        <v>359</v>
      </c>
      <c r="F77" s="3">
        <v>21198</v>
      </c>
      <c r="G77" s="3">
        <v>1484</v>
      </c>
      <c r="H77" s="3">
        <v>174</v>
      </c>
      <c r="I77" s="3">
        <v>1293</v>
      </c>
      <c r="J77" s="3">
        <v>16330</v>
      </c>
      <c r="K77" s="3">
        <v>111635</v>
      </c>
      <c r="L77" s="3" t="s">
        <v>29</v>
      </c>
      <c r="M77" s="4">
        <v>0.20473865723115511</v>
      </c>
    </row>
    <row r="78" spans="1:13" x14ac:dyDescent="0.3">
      <c r="A78" s="3" t="s">
        <v>109</v>
      </c>
      <c r="B78" s="3" t="s">
        <v>40</v>
      </c>
      <c r="C78" s="2">
        <v>45593</v>
      </c>
      <c r="D78" s="3" t="s">
        <v>34</v>
      </c>
      <c r="E78" s="3" t="s">
        <v>360</v>
      </c>
      <c r="F78" s="3">
        <v>21198</v>
      </c>
      <c r="G78" s="3">
        <v>1484</v>
      </c>
      <c r="H78" s="3">
        <v>174</v>
      </c>
      <c r="I78" s="3">
        <v>1293</v>
      </c>
      <c r="J78" s="3">
        <v>16330</v>
      </c>
      <c r="K78" s="3">
        <v>111635</v>
      </c>
      <c r="L78" s="3" t="s">
        <v>29</v>
      </c>
      <c r="M78" s="4">
        <v>0.20473865723115511</v>
      </c>
    </row>
    <row r="79" spans="1:13" x14ac:dyDescent="0.3">
      <c r="A79" s="3" t="s">
        <v>77</v>
      </c>
      <c r="B79" s="3" t="s">
        <v>13</v>
      </c>
      <c r="C79" s="2">
        <v>45721</v>
      </c>
      <c r="D79" s="3" t="s">
        <v>34</v>
      </c>
      <c r="E79" s="3" t="s">
        <v>359</v>
      </c>
      <c r="F79" s="3">
        <v>12916</v>
      </c>
      <c r="G79" s="3">
        <v>1262</v>
      </c>
      <c r="H79" s="3">
        <v>772</v>
      </c>
      <c r="I79" s="3">
        <v>856</v>
      </c>
      <c r="J79" s="3">
        <v>11496</v>
      </c>
      <c r="K79" s="3">
        <v>75046</v>
      </c>
      <c r="L79" s="3" t="s">
        <v>25</v>
      </c>
      <c r="M79" s="4">
        <v>0.19921115049436347</v>
      </c>
    </row>
    <row r="80" spans="1:13" x14ac:dyDescent="0.3">
      <c r="A80" s="3" t="s">
        <v>77</v>
      </c>
      <c r="B80" s="3" t="s">
        <v>13</v>
      </c>
      <c r="C80" s="2">
        <v>45721</v>
      </c>
      <c r="D80" s="3" t="s">
        <v>34</v>
      </c>
      <c r="E80" s="3" t="s">
        <v>366</v>
      </c>
      <c r="F80" s="3">
        <v>12916</v>
      </c>
      <c r="G80" s="3">
        <v>1262</v>
      </c>
      <c r="H80" s="3">
        <v>772</v>
      </c>
      <c r="I80" s="3">
        <v>856</v>
      </c>
      <c r="J80" s="3">
        <v>11496</v>
      </c>
      <c r="K80" s="3">
        <v>75046</v>
      </c>
      <c r="L80" s="3" t="s">
        <v>25</v>
      </c>
      <c r="M80" s="4">
        <v>0.19921115049436347</v>
      </c>
    </row>
    <row r="81" spans="1:13" x14ac:dyDescent="0.3">
      <c r="A81" s="3" t="s">
        <v>282</v>
      </c>
      <c r="B81" s="3" t="s">
        <v>40</v>
      </c>
      <c r="C81" s="2">
        <v>45576</v>
      </c>
      <c r="D81" s="3" t="s">
        <v>34</v>
      </c>
      <c r="E81" s="3" t="s">
        <v>365</v>
      </c>
      <c r="F81" s="3">
        <v>19447</v>
      </c>
      <c r="G81" s="3">
        <v>1014</v>
      </c>
      <c r="H81" s="3">
        <v>256</v>
      </c>
      <c r="I81" s="3">
        <v>2354</v>
      </c>
      <c r="J81" s="3">
        <v>5472</v>
      </c>
      <c r="K81" s="3">
        <v>104106</v>
      </c>
      <c r="L81" s="3" t="s">
        <v>16</v>
      </c>
      <c r="M81" s="4">
        <v>0.19899909707413599</v>
      </c>
    </row>
    <row r="82" spans="1:13" x14ac:dyDescent="0.3">
      <c r="A82" s="3" t="s">
        <v>282</v>
      </c>
      <c r="B82" s="3" t="s">
        <v>40</v>
      </c>
      <c r="C82" s="2">
        <v>45576</v>
      </c>
      <c r="D82" s="3" t="s">
        <v>34</v>
      </c>
      <c r="E82" s="3" t="s">
        <v>359</v>
      </c>
      <c r="F82" s="3">
        <v>19447</v>
      </c>
      <c r="G82" s="3">
        <v>1014</v>
      </c>
      <c r="H82" s="3">
        <v>256</v>
      </c>
      <c r="I82" s="3">
        <v>2354</v>
      </c>
      <c r="J82" s="3">
        <v>5472</v>
      </c>
      <c r="K82" s="3">
        <v>104106</v>
      </c>
      <c r="L82" s="3" t="s">
        <v>16</v>
      </c>
      <c r="M82" s="4">
        <v>0.19899909707413599</v>
      </c>
    </row>
    <row r="83" spans="1:13" x14ac:dyDescent="0.3">
      <c r="A83" s="3" t="s">
        <v>296</v>
      </c>
      <c r="B83" s="3" t="s">
        <v>13</v>
      </c>
      <c r="C83" s="2">
        <v>45700</v>
      </c>
      <c r="D83" s="3" t="s">
        <v>27</v>
      </c>
      <c r="E83" s="3" t="s">
        <v>355</v>
      </c>
      <c r="F83" s="3">
        <v>15234</v>
      </c>
      <c r="G83" s="3">
        <v>1276</v>
      </c>
      <c r="H83" s="3">
        <v>670</v>
      </c>
      <c r="I83" s="3">
        <v>1860</v>
      </c>
      <c r="J83" s="3">
        <v>60397</v>
      </c>
      <c r="K83" s="3">
        <v>86413</v>
      </c>
      <c r="L83" s="3" t="s">
        <v>45</v>
      </c>
      <c r="M83" s="4">
        <v>0.19881267864788862</v>
      </c>
    </row>
    <row r="84" spans="1:13" x14ac:dyDescent="0.3">
      <c r="A84" s="3" t="s">
        <v>296</v>
      </c>
      <c r="B84" s="3" t="s">
        <v>13</v>
      </c>
      <c r="C84" s="2">
        <v>45700</v>
      </c>
      <c r="D84" s="3" t="s">
        <v>27</v>
      </c>
      <c r="E84" s="3" t="s">
        <v>356</v>
      </c>
      <c r="F84" s="3">
        <v>15234</v>
      </c>
      <c r="G84" s="3">
        <v>1276</v>
      </c>
      <c r="H84" s="3">
        <v>670</v>
      </c>
      <c r="I84" s="3">
        <v>1860</v>
      </c>
      <c r="J84" s="3">
        <v>60397</v>
      </c>
      <c r="K84" s="3">
        <v>86413</v>
      </c>
      <c r="L84" s="3" t="s">
        <v>45</v>
      </c>
      <c r="M84" s="4">
        <v>0.19881267864788862</v>
      </c>
    </row>
    <row r="85" spans="1:13" x14ac:dyDescent="0.3">
      <c r="A85" s="3" t="s">
        <v>129</v>
      </c>
      <c r="B85" s="3" t="s">
        <v>40</v>
      </c>
      <c r="C85" s="2">
        <v>45637</v>
      </c>
      <c r="D85" s="3" t="s">
        <v>34</v>
      </c>
      <c r="E85" s="3" t="s">
        <v>365</v>
      </c>
      <c r="F85" s="3">
        <v>22645</v>
      </c>
      <c r="G85" s="3">
        <v>545</v>
      </c>
      <c r="H85" s="3">
        <v>972</v>
      </c>
      <c r="I85" s="3">
        <v>321</v>
      </c>
      <c r="J85" s="3">
        <v>8396</v>
      </c>
      <c r="K85" s="3">
        <v>121537</v>
      </c>
      <c r="L85" s="3" t="s">
        <v>45</v>
      </c>
      <c r="M85" s="4">
        <v>0.19880365649966678</v>
      </c>
    </row>
    <row r="86" spans="1:13" x14ac:dyDescent="0.3">
      <c r="A86" s="3" t="s">
        <v>129</v>
      </c>
      <c r="B86" s="3" t="s">
        <v>40</v>
      </c>
      <c r="C86" s="2">
        <v>45637</v>
      </c>
      <c r="D86" s="3" t="s">
        <v>34</v>
      </c>
      <c r="E86" s="3" t="s">
        <v>359</v>
      </c>
      <c r="F86" s="3">
        <v>22645</v>
      </c>
      <c r="G86" s="3">
        <v>545</v>
      </c>
      <c r="H86" s="3">
        <v>972</v>
      </c>
      <c r="I86" s="3">
        <v>321</v>
      </c>
      <c r="J86" s="3">
        <v>8396</v>
      </c>
      <c r="K86" s="3">
        <v>121537</v>
      </c>
      <c r="L86" s="3" t="s">
        <v>45</v>
      </c>
      <c r="M86" s="4">
        <v>0.19880365649966678</v>
      </c>
    </row>
    <row r="87" spans="1:13" x14ac:dyDescent="0.3">
      <c r="A87" s="3" t="s">
        <v>199</v>
      </c>
      <c r="B87" s="3" t="s">
        <v>18</v>
      </c>
      <c r="C87" s="2">
        <v>45755</v>
      </c>
      <c r="D87" s="3" t="s">
        <v>27</v>
      </c>
      <c r="E87" s="3" t="s">
        <v>353</v>
      </c>
      <c r="F87" s="3">
        <v>15568</v>
      </c>
      <c r="G87" s="3">
        <v>1166</v>
      </c>
      <c r="H87" s="3">
        <v>546</v>
      </c>
      <c r="I87" s="3">
        <v>826</v>
      </c>
      <c r="J87" s="3">
        <v>21836</v>
      </c>
      <c r="K87" s="3">
        <v>87055</v>
      </c>
      <c r="L87" s="3" t="s">
        <v>16</v>
      </c>
      <c r="M87" s="4">
        <v>0.19849520418126471</v>
      </c>
    </row>
    <row r="88" spans="1:13" x14ac:dyDescent="0.3">
      <c r="A88" s="3" t="s">
        <v>199</v>
      </c>
      <c r="B88" s="3" t="s">
        <v>18</v>
      </c>
      <c r="C88" s="2">
        <v>45755</v>
      </c>
      <c r="D88" s="3" t="s">
        <v>27</v>
      </c>
      <c r="E88" s="3" t="s">
        <v>354</v>
      </c>
      <c r="F88" s="3">
        <v>15568</v>
      </c>
      <c r="G88" s="3">
        <v>1166</v>
      </c>
      <c r="H88" s="3">
        <v>546</v>
      </c>
      <c r="I88" s="3">
        <v>826</v>
      </c>
      <c r="J88" s="3">
        <v>21836</v>
      </c>
      <c r="K88" s="3">
        <v>87055</v>
      </c>
      <c r="L88" s="3" t="s">
        <v>16</v>
      </c>
      <c r="M88" s="4">
        <v>0.19849520418126471</v>
      </c>
    </row>
    <row r="89" spans="1:13" x14ac:dyDescent="0.3">
      <c r="A89" s="3" t="s">
        <v>336</v>
      </c>
      <c r="B89" s="3" t="s">
        <v>18</v>
      </c>
      <c r="C89" s="2">
        <v>45926</v>
      </c>
      <c r="D89" s="3" t="s">
        <v>27</v>
      </c>
      <c r="E89" s="3" t="s">
        <v>365</v>
      </c>
      <c r="F89" s="3">
        <v>21216</v>
      </c>
      <c r="G89" s="3">
        <v>226</v>
      </c>
      <c r="H89" s="3">
        <v>187</v>
      </c>
      <c r="I89" s="3">
        <v>1573</v>
      </c>
      <c r="J89" s="3">
        <v>62688</v>
      </c>
      <c r="K89" s="3">
        <v>111031</v>
      </c>
      <c r="L89" s="3" t="s">
        <v>20</v>
      </c>
      <c r="M89" s="4">
        <v>0.19480145184678152</v>
      </c>
    </row>
    <row r="90" spans="1:13" x14ac:dyDescent="0.3">
      <c r="A90" s="3" t="s">
        <v>336</v>
      </c>
      <c r="B90" s="3" t="s">
        <v>18</v>
      </c>
      <c r="C90" s="2">
        <v>45926</v>
      </c>
      <c r="D90" s="3" t="s">
        <v>27</v>
      </c>
      <c r="E90" s="3" t="s">
        <v>359</v>
      </c>
      <c r="F90" s="3">
        <v>21216</v>
      </c>
      <c r="G90" s="3">
        <v>226</v>
      </c>
      <c r="H90" s="3">
        <v>187</v>
      </c>
      <c r="I90" s="3">
        <v>1573</v>
      </c>
      <c r="J90" s="3">
        <v>62688</v>
      </c>
      <c r="K90" s="3">
        <v>111031</v>
      </c>
      <c r="L90" s="3" t="s">
        <v>20</v>
      </c>
      <c r="M90" s="4">
        <v>0.19480145184678152</v>
      </c>
    </row>
    <row r="91" spans="1:13" x14ac:dyDescent="0.3">
      <c r="A91" s="3" t="s">
        <v>103</v>
      </c>
      <c r="B91" s="3" t="s">
        <v>22</v>
      </c>
      <c r="C91" s="2">
        <v>45634</v>
      </c>
      <c r="D91" s="3" t="s">
        <v>27</v>
      </c>
      <c r="E91" s="3" t="s">
        <v>355</v>
      </c>
      <c r="F91" s="3">
        <v>10427</v>
      </c>
      <c r="G91" s="3">
        <v>1014</v>
      </c>
      <c r="H91" s="3">
        <v>166</v>
      </c>
      <c r="I91" s="3">
        <v>1649</v>
      </c>
      <c r="J91" s="3">
        <v>15145</v>
      </c>
      <c r="K91" s="3">
        <v>59816</v>
      </c>
      <c r="L91" s="3" t="s">
        <v>25</v>
      </c>
      <c r="M91" s="4">
        <v>0.19404507155276179</v>
      </c>
    </row>
    <row r="92" spans="1:13" x14ac:dyDescent="0.3">
      <c r="A92" s="3" t="s">
        <v>103</v>
      </c>
      <c r="B92" s="3" t="s">
        <v>22</v>
      </c>
      <c r="C92" s="2">
        <v>45634</v>
      </c>
      <c r="D92" s="3" t="s">
        <v>27</v>
      </c>
      <c r="E92" s="3" t="s">
        <v>356</v>
      </c>
      <c r="F92" s="3">
        <v>10427</v>
      </c>
      <c r="G92" s="3">
        <v>1014</v>
      </c>
      <c r="H92" s="3">
        <v>166</v>
      </c>
      <c r="I92" s="3">
        <v>1649</v>
      </c>
      <c r="J92" s="3">
        <v>15145</v>
      </c>
      <c r="K92" s="3">
        <v>59816</v>
      </c>
      <c r="L92" s="3" t="s">
        <v>25</v>
      </c>
      <c r="M92" s="4">
        <v>0.19404507155276179</v>
      </c>
    </row>
    <row r="93" spans="1:13" x14ac:dyDescent="0.3">
      <c r="A93" s="3" t="s">
        <v>162</v>
      </c>
      <c r="B93" s="3" t="s">
        <v>18</v>
      </c>
      <c r="C93" s="2">
        <v>45744</v>
      </c>
      <c r="D93" s="3" t="s">
        <v>14</v>
      </c>
      <c r="E93" s="3" t="s">
        <v>363</v>
      </c>
      <c r="F93" s="3">
        <v>13637</v>
      </c>
      <c r="G93" s="3">
        <v>1135</v>
      </c>
      <c r="H93" s="3">
        <v>540</v>
      </c>
      <c r="I93" s="3">
        <v>1288</v>
      </c>
      <c r="J93" s="3">
        <v>45183</v>
      </c>
      <c r="K93" s="3">
        <v>79062</v>
      </c>
      <c r="L93" s="3" t="s">
        <v>45</v>
      </c>
      <c r="M93" s="4">
        <v>0.19367079001290127</v>
      </c>
    </row>
    <row r="94" spans="1:13" x14ac:dyDescent="0.3">
      <c r="A94" s="3" t="s">
        <v>162</v>
      </c>
      <c r="B94" s="3" t="s">
        <v>18</v>
      </c>
      <c r="C94" s="2">
        <v>45744</v>
      </c>
      <c r="D94" s="3" t="s">
        <v>14</v>
      </c>
      <c r="E94" s="3" t="s">
        <v>364</v>
      </c>
      <c r="F94" s="3">
        <v>13637</v>
      </c>
      <c r="G94" s="3">
        <v>1135</v>
      </c>
      <c r="H94" s="3">
        <v>540</v>
      </c>
      <c r="I94" s="3">
        <v>1288</v>
      </c>
      <c r="J94" s="3">
        <v>45183</v>
      </c>
      <c r="K94" s="3">
        <v>79062</v>
      </c>
      <c r="L94" s="3" t="s">
        <v>45</v>
      </c>
      <c r="M94" s="4">
        <v>0.19367079001290127</v>
      </c>
    </row>
    <row r="95" spans="1:13" x14ac:dyDescent="0.3">
      <c r="A95" s="3" t="s">
        <v>165</v>
      </c>
      <c r="B95" s="3" t="s">
        <v>18</v>
      </c>
      <c r="C95" s="2">
        <v>45494</v>
      </c>
      <c r="D95" s="3" t="s">
        <v>14</v>
      </c>
      <c r="E95" s="3" t="s">
        <v>359</v>
      </c>
      <c r="F95" s="3">
        <v>11911</v>
      </c>
      <c r="G95" s="3">
        <v>1360</v>
      </c>
      <c r="H95" s="3">
        <v>778</v>
      </c>
      <c r="I95" s="3">
        <v>1168</v>
      </c>
      <c r="J95" s="3">
        <v>16483</v>
      </c>
      <c r="K95" s="3">
        <v>72556</v>
      </c>
      <c r="L95" s="3" t="s">
        <v>25</v>
      </c>
      <c r="M95" s="4">
        <v>0.19362974805667346</v>
      </c>
    </row>
    <row r="96" spans="1:13" x14ac:dyDescent="0.3">
      <c r="A96" s="3" t="s">
        <v>165</v>
      </c>
      <c r="B96" s="3" t="s">
        <v>18</v>
      </c>
      <c r="C96" s="2">
        <v>45494</v>
      </c>
      <c r="D96" s="3" t="s">
        <v>14</v>
      </c>
      <c r="E96" s="3" t="s">
        <v>360</v>
      </c>
      <c r="F96" s="3">
        <v>11911</v>
      </c>
      <c r="G96" s="3">
        <v>1360</v>
      </c>
      <c r="H96" s="3">
        <v>778</v>
      </c>
      <c r="I96" s="3">
        <v>1168</v>
      </c>
      <c r="J96" s="3">
        <v>16483</v>
      </c>
      <c r="K96" s="3">
        <v>72556</v>
      </c>
      <c r="L96" s="3" t="s">
        <v>25</v>
      </c>
      <c r="M96" s="4">
        <v>0.19362974805667346</v>
      </c>
    </row>
    <row r="97" spans="1:13" x14ac:dyDescent="0.3">
      <c r="A97" s="3" t="s">
        <v>133</v>
      </c>
      <c r="B97" s="3" t="s">
        <v>40</v>
      </c>
      <c r="C97" s="2">
        <v>45517</v>
      </c>
      <c r="D97" s="3" t="s">
        <v>34</v>
      </c>
      <c r="E97" s="3" t="s">
        <v>368</v>
      </c>
      <c r="F97" s="3">
        <v>6854</v>
      </c>
      <c r="G97" s="3">
        <v>417</v>
      </c>
      <c r="H97" s="3">
        <v>467</v>
      </c>
      <c r="I97" s="3">
        <v>1003</v>
      </c>
      <c r="J97" s="3">
        <v>61333</v>
      </c>
      <c r="K97" s="3">
        <v>40281</v>
      </c>
      <c r="L97" s="3" t="s">
        <v>16</v>
      </c>
      <c r="M97" s="4">
        <v>0.19210049402944315</v>
      </c>
    </row>
    <row r="98" spans="1:13" x14ac:dyDescent="0.3">
      <c r="A98" s="3" t="s">
        <v>133</v>
      </c>
      <c r="B98" s="3" t="s">
        <v>40</v>
      </c>
      <c r="C98" s="2">
        <v>45517</v>
      </c>
      <c r="D98" s="3" t="s">
        <v>34</v>
      </c>
      <c r="E98" s="3" t="s">
        <v>369</v>
      </c>
      <c r="F98" s="3">
        <v>6854</v>
      </c>
      <c r="G98" s="3">
        <v>417</v>
      </c>
      <c r="H98" s="3">
        <v>467</v>
      </c>
      <c r="I98" s="3">
        <v>1003</v>
      </c>
      <c r="J98" s="3">
        <v>61333</v>
      </c>
      <c r="K98" s="3">
        <v>40281</v>
      </c>
      <c r="L98" s="3" t="s">
        <v>16</v>
      </c>
      <c r="M98" s="4">
        <v>0.19210049402944315</v>
      </c>
    </row>
    <row r="99" spans="1:13" x14ac:dyDescent="0.3">
      <c r="A99" s="3" t="s">
        <v>82</v>
      </c>
      <c r="B99" s="3" t="s">
        <v>18</v>
      </c>
      <c r="C99" s="2">
        <v>45712</v>
      </c>
      <c r="D99" s="3" t="s">
        <v>23</v>
      </c>
      <c r="E99" s="3" t="s">
        <v>365</v>
      </c>
      <c r="F99" s="3">
        <v>24984</v>
      </c>
      <c r="G99" s="3">
        <v>753</v>
      </c>
      <c r="H99" s="3">
        <v>461</v>
      </c>
      <c r="I99" s="3">
        <v>2710</v>
      </c>
      <c r="J99" s="3">
        <v>20792</v>
      </c>
      <c r="K99" s="3">
        <v>141520</v>
      </c>
      <c r="L99" s="3" t="s">
        <v>25</v>
      </c>
      <c r="M99" s="4">
        <v>0.18511871113623515</v>
      </c>
    </row>
    <row r="100" spans="1:13" x14ac:dyDescent="0.3">
      <c r="A100" s="3" t="s">
        <v>82</v>
      </c>
      <c r="B100" s="3" t="s">
        <v>18</v>
      </c>
      <c r="C100" s="2">
        <v>45712</v>
      </c>
      <c r="D100" s="3" t="s">
        <v>23</v>
      </c>
      <c r="E100" s="3" t="s">
        <v>359</v>
      </c>
      <c r="F100" s="3">
        <v>24984</v>
      </c>
      <c r="G100" s="3">
        <v>753</v>
      </c>
      <c r="H100" s="3">
        <v>461</v>
      </c>
      <c r="I100" s="3">
        <v>2710</v>
      </c>
      <c r="J100" s="3">
        <v>20792</v>
      </c>
      <c r="K100" s="3">
        <v>141520</v>
      </c>
      <c r="L100" s="3" t="s">
        <v>25</v>
      </c>
      <c r="M100" s="4">
        <v>0.18511871113623515</v>
      </c>
    </row>
    <row r="101" spans="1:13" x14ac:dyDescent="0.3">
      <c r="A101" s="3" t="s">
        <v>188</v>
      </c>
      <c r="B101" s="3" t="s">
        <v>13</v>
      </c>
      <c r="C101" s="2">
        <v>45934</v>
      </c>
      <c r="D101" s="3" t="s">
        <v>27</v>
      </c>
      <c r="E101" s="3" t="s">
        <v>368</v>
      </c>
      <c r="F101" s="3">
        <v>12488</v>
      </c>
      <c r="G101" s="3">
        <v>1403</v>
      </c>
      <c r="H101" s="3">
        <v>247</v>
      </c>
      <c r="I101" s="3">
        <v>1350</v>
      </c>
      <c r="J101" s="3">
        <v>28370</v>
      </c>
      <c r="K101" s="3">
        <v>76487</v>
      </c>
      <c r="L101" s="3" t="s">
        <v>20</v>
      </c>
      <c r="M101" s="4">
        <v>0.18484186855282597</v>
      </c>
    </row>
    <row r="102" spans="1:13" x14ac:dyDescent="0.3">
      <c r="A102" s="3" t="s">
        <v>188</v>
      </c>
      <c r="B102" s="3" t="s">
        <v>13</v>
      </c>
      <c r="C102" s="2">
        <v>45934</v>
      </c>
      <c r="D102" s="3" t="s">
        <v>27</v>
      </c>
      <c r="E102" s="3" t="s">
        <v>369</v>
      </c>
      <c r="F102" s="3">
        <v>12488</v>
      </c>
      <c r="G102" s="3">
        <v>1403</v>
      </c>
      <c r="H102" s="3">
        <v>247</v>
      </c>
      <c r="I102" s="3">
        <v>1350</v>
      </c>
      <c r="J102" s="3">
        <v>28370</v>
      </c>
      <c r="K102" s="3">
        <v>76487</v>
      </c>
      <c r="L102" s="3" t="s">
        <v>20</v>
      </c>
      <c r="M102" s="4">
        <v>0.18484186855282597</v>
      </c>
    </row>
    <row r="103" spans="1:13" x14ac:dyDescent="0.3">
      <c r="A103" s="3" t="s">
        <v>266</v>
      </c>
      <c r="B103" s="3" t="s">
        <v>22</v>
      </c>
      <c r="C103" s="2">
        <v>45488</v>
      </c>
      <c r="D103" s="3" t="s">
        <v>27</v>
      </c>
      <c r="E103" s="3" t="s">
        <v>32</v>
      </c>
      <c r="F103" s="3">
        <v>12554</v>
      </c>
      <c r="G103" s="3">
        <v>381</v>
      </c>
      <c r="H103" s="3">
        <v>211</v>
      </c>
      <c r="I103" s="3">
        <v>2286</v>
      </c>
      <c r="J103" s="3">
        <v>50567</v>
      </c>
      <c r="K103" s="3">
        <v>72779</v>
      </c>
      <c r="L103" s="3" t="s">
        <v>16</v>
      </c>
      <c r="M103" s="4">
        <v>0.18062902760411656</v>
      </c>
    </row>
    <row r="104" spans="1:13" x14ac:dyDescent="0.3">
      <c r="A104" s="3" t="s">
        <v>184</v>
      </c>
      <c r="B104" s="3" t="s">
        <v>13</v>
      </c>
      <c r="C104" s="2">
        <v>45762</v>
      </c>
      <c r="D104" s="3" t="s">
        <v>27</v>
      </c>
      <c r="E104" s="3" t="s">
        <v>365</v>
      </c>
      <c r="F104" s="3">
        <v>20977</v>
      </c>
      <c r="G104" s="3">
        <v>1402</v>
      </c>
      <c r="H104" s="3">
        <v>301</v>
      </c>
      <c r="I104" s="3">
        <v>1284</v>
      </c>
      <c r="J104" s="3">
        <v>24620</v>
      </c>
      <c r="K104" s="3">
        <v>128009</v>
      </c>
      <c r="L104" s="3" t="s">
        <v>16</v>
      </c>
      <c r="M104" s="4">
        <v>0.17717504237983267</v>
      </c>
    </row>
    <row r="105" spans="1:13" x14ac:dyDescent="0.3">
      <c r="A105" s="3" t="s">
        <v>184</v>
      </c>
      <c r="B105" s="3" t="s">
        <v>13</v>
      </c>
      <c r="C105" s="2">
        <v>45762</v>
      </c>
      <c r="D105" s="3" t="s">
        <v>27</v>
      </c>
      <c r="E105" s="3" t="s">
        <v>359</v>
      </c>
      <c r="F105" s="3">
        <v>20977</v>
      </c>
      <c r="G105" s="3">
        <v>1402</v>
      </c>
      <c r="H105" s="3">
        <v>301</v>
      </c>
      <c r="I105" s="3">
        <v>1284</v>
      </c>
      <c r="J105" s="3">
        <v>24620</v>
      </c>
      <c r="K105" s="3">
        <v>128009</v>
      </c>
      <c r="L105" s="3" t="s">
        <v>16</v>
      </c>
      <c r="M105" s="4">
        <v>0.17717504237983267</v>
      </c>
    </row>
    <row r="106" spans="1:13" x14ac:dyDescent="0.3">
      <c r="A106" s="3" t="s">
        <v>175</v>
      </c>
      <c r="B106" s="3" t="s">
        <v>13</v>
      </c>
      <c r="C106" s="2">
        <v>45594</v>
      </c>
      <c r="D106" s="3" t="s">
        <v>23</v>
      </c>
      <c r="E106" s="3" t="s">
        <v>359</v>
      </c>
      <c r="F106" s="3">
        <v>23969</v>
      </c>
      <c r="G106" s="3">
        <v>1433</v>
      </c>
      <c r="H106" s="3">
        <v>372</v>
      </c>
      <c r="I106" s="3">
        <v>1092</v>
      </c>
      <c r="J106" s="3">
        <v>32147</v>
      </c>
      <c r="K106" s="3">
        <v>145823</v>
      </c>
      <c r="L106" s="3" t="s">
        <v>25</v>
      </c>
      <c r="M106" s="4">
        <v>0.17674852389540743</v>
      </c>
    </row>
    <row r="107" spans="1:13" x14ac:dyDescent="0.3">
      <c r="A107" s="3" t="s">
        <v>175</v>
      </c>
      <c r="B107" s="3" t="s">
        <v>13</v>
      </c>
      <c r="C107" s="2">
        <v>45594</v>
      </c>
      <c r="D107" s="3" t="s">
        <v>23</v>
      </c>
      <c r="E107" s="3" t="s">
        <v>366</v>
      </c>
      <c r="F107" s="3">
        <v>23969</v>
      </c>
      <c r="G107" s="3">
        <v>1433</v>
      </c>
      <c r="H107" s="3">
        <v>372</v>
      </c>
      <c r="I107" s="3">
        <v>1092</v>
      </c>
      <c r="J107" s="3">
        <v>32147</v>
      </c>
      <c r="K107" s="3">
        <v>145823</v>
      </c>
      <c r="L107" s="3" t="s">
        <v>25</v>
      </c>
      <c r="M107" s="4">
        <v>0.17674852389540743</v>
      </c>
    </row>
    <row r="108" spans="1:13" x14ac:dyDescent="0.3">
      <c r="A108" s="3" t="s">
        <v>57</v>
      </c>
      <c r="B108" s="3" t="s">
        <v>40</v>
      </c>
      <c r="C108" s="2">
        <v>45602</v>
      </c>
      <c r="D108" s="3" t="s">
        <v>34</v>
      </c>
      <c r="E108" s="3" t="s">
        <v>359</v>
      </c>
      <c r="F108" s="3">
        <v>8938</v>
      </c>
      <c r="G108" s="3">
        <v>800</v>
      </c>
      <c r="H108" s="3">
        <v>842</v>
      </c>
      <c r="I108" s="3">
        <v>2072</v>
      </c>
      <c r="J108" s="3">
        <v>31736</v>
      </c>
      <c r="K108" s="3">
        <v>59975</v>
      </c>
      <c r="L108" s="3" t="s">
        <v>29</v>
      </c>
      <c r="M108" s="4">
        <v>0.17640683618174238</v>
      </c>
    </row>
    <row r="109" spans="1:13" x14ac:dyDescent="0.3">
      <c r="A109" s="3" t="s">
        <v>57</v>
      </c>
      <c r="B109" s="3" t="s">
        <v>40</v>
      </c>
      <c r="C109" s="2">
        <v>45602</v>
      </c>
      <c r="D109" s="3" t="s">
        <v>34</v>
      </c>
      <c r="E109" s="3" t="s">
        <v>366</v>
      </c>
      <c r="F109" s="3">
        <v>8938</v>
      </c>
      <c r="G109" s="3">
        <v>800</v>
      </c>
      <c r="H109" s="3">
        <v>842</v>
      </c>
      <c r="I109" s="3">
        <v>2072</v>
      </c>
      <c r="J109" s="3">
        <v>31736</v>
      </c>
      <c r="K109" s="3">
        <v>59975</v>
      </c>
      <c r="L109" s="3" t="s">
        <v>29</v>
      </c>
      <c r="M109" s="4">
        <v>0.17640683618174238</v>
      </c>
    </row>
    <row r="110" spans="1:13" x14ac:dyDescent="0.3">
      <c r="A110" s="3" t="s">
        <v>161</v>
      </c>
      <c r="B110" s="3" t="s">
        <v>22</v>
      </c>
      <c r="C110" s="2">
        <v>45543</v>
      </c>
      <c r="D110" s="3" t="s">
        <v>34</v>
      </c>
      <c r="E110" s="3" t="s">
        <v>353</v>
      </c>
      <c r="F110" s="3">
        <v>8090</v>
      </c>
      <c r="G110" s="3">
        <v>570</v>
      </c>
      <c r="H110" s="3">
        <v>399</v>
      </c>
      <c r="I110" s="3">
        <v>1862</v>
      </c>
      <c r="J110" s="3">
        <v>34088</v>
      </c>
      <c r="K110" s="3">
        <v>52115</v>
      </c>
      <c r="L110" s="3" t="s">
        <v>16</v>
      </c>
      <c r="M110" s="4">
        <v>0.17382711311522595</v>
      </c>
    </row>
    <row r="111" spans="1:13" x14ac:dyDescent="0.3">
      <c r="A111" s="3" t="s">
        <v>161</v>
      </c>
      <c r="B111" s="3" t="s">
        <v>22</v>
      </c>
      <c r="C111" s="2">
        <v>45543</v>
      </c>
      <c r="D111" s="3" t="s">
        <v>34</v>
      </c>
      <c r="E111" s="3" t="s">
        <v>354</v>
      </c>
      <c r="F111" s="3">
        <v>8090</v>
      </c>
      <c r="G111" s="3">
        <v>570</v>
      </c>
      <c r="H111" s="3">
        <v>399</v>
      </c>
      <c r="I111" s="3">
        <v>1862</v>
      </c>
      <c r="J111" s="3">
        <v>34088</v>
      </c>
      <c r="K111" s="3">
        <v>52115</v>
      </c>
      <c r="L111" s="3" t="s">
        <v>16</v>
      </c>
      <c r="M111" s="4">
        <v>0.17382711311522595</v>
      </c>
    </row>
    <row r="112" spans="1:13" x14ac:dyDescent="0.3">
      <c r="A112" s="3" t="s">
        <v>127</v>
      </c>
      <c r="B112" s="3" t="s">
        <v>18</v>
      </c>
      <c r="C112" s="2">
        <v>45924</v>
      </c>
      <c r="D112" s="3" t="s">
        <v>23</v>
      </c>
      <c r="E112" s="3" t="s">
        <v>361</v>
      </c>
      <c r="F112" s="3">
        <v>12209</v>
      </c>
      <c r="G112" s="3">
        <v>222</v>
      </c>
      <c r="H112" s="3">
        <v>479</v>
      </c>
      <c r="I112" s="3">
        <v>2748</v>
      </c>
      <c r="J112" s="3">
        <v>24615</v>
      </c>
      <c r="K112" s="3">
        <v>74707</v>
      </c>
      <c r="L112" s="3" t="s">
        <v>20</v>
      </c>
      <c r="M112" s="4">
        <v>0.17280843829895459</v>
      </c>
    </row>
    <row r="113" spans="1:13" x14ac:dyDescent="0.3">
      <c r="A113" s="3" t="s">
        <v>127</v>
      </c>
      <c r="B113" s="3" t="s">
        <v>18</v>
      </c>
      <c r="C113" s="2">
        <v>45924</v>
      </c>
      <c r="D113" s="3" t="s">
        <v>23</v>
      </c>
      <c r="E113" s="3" t="s">
        <v>362</v>
      </c>
      <c r="F113" s="3">
        <v>12209</v>
      </c>
      <c r="G113" s="3">
        <v>222</v>
      </c>
      <c r="H113" s="3">
        <v>479</v>
      </c>
      <c r="I113" s="3">
        <v>2748</v>
      </c>
      <c r="J113" s="3">
        <v>24615</v>
      </c>
      <c r="K113" s="3">
        <v>74707</v>
      </c>
      <c r="L113" s="3" t="s">
        <v>20</v>
      </c>
      <c r="M113" s="4">
        <v>0.17280843829895459</v>
      </c>
    </row>
    <row r="114" spans="1:13" x14ac:dyDescent="0.3">
      <c r="A114" s="3" t="s">
        <v>79</v>
      </c>
      <c r="B114" s="3" t="s">
        <v>18</v>
      </c>
      <c r="C114" s="2">
        <v>45718</v>
      </c>
      <c r="D114" s="3" t="s">
        <v>27</v>
      </c>
      <c r="E114" s="3" t="s">
        <v>367</v>
      </c>
      <c r="F114" s="3">
        <v>22562</v>
      </c>
      <c r="G114" s="3">
        <v>778</v>
      </c>
      <c r="H114" s="3">
        <v>907</v>
      </c>
      <c r="I114" s="3">
        <v>1354</v>
      </c>
      <c r="J114" s="3">
        <v>34475</v>
      </c>
      <c r="K114" s="3">
        <v>141459</v>
      </c>
      <c r="L114" s="3" t="s">
        <v>29</v>
      </c>
      <c r="M114" s="4">
        <v>0.17140655596321194</v>
      </c>
    </row>
    <row r="115" spans="1:13" x14ac:dyDescent="0.3">
      <c r="A115" s="3" t="s">
        <v>79</v>
      </c>
      <c r="B115" s="3" t="s">
        <v>18</v>
      </c>
      <c r="C115" s="2">
        <v>45718</v>
      </c>
      <c r="D115" s="3" t="s">
        <v>27</v>
      </c>
      <c r="E115" s="3" t="s">
        <v>32</v>
      </c>
      <c r="F115" s="3">
        <v>22562</v>
      </c>
      <c r="G115" s="3">
        <v>778</v>
      </c>
      <c r="H115" s="3">
        <v>907</v>
      </c>
      <c r="I115" s="3">
        <v>1354</v>
      </c>
      <c r="J115" s="3">
        <v>34475</v>
      </c>
      <c r="K115" s="3">
        <v>141459</v>
      </c>
      <c r="L115" s="3" t="s">
        <v>29</v>
      </c>
      <c r="M115" s="4">
        <v>0.17140655596321194</v>
      </c>
    </row>
    <row r="116" spans="1:13" x14ac:dyDescent="0.3">
      <c r="A116" s="3" t="s">
        <v>312</v>
      </c>
      <c r="B116" s="3" t="s">
        <v>18</v>
      </c>
      <c r="C116" s="2">
        <v>45450</v>
      </c>
      <c r="D116" s="3" t="s">
        <v>27</v>
      </c>
      <c r="E116" s="3" t="s">
        <v>359</v>
      </c>
      <c r="F116" s="3">
        <v>8233</v>
      </c>
      <c r="G116" s="3">
        <v>436</v>
      </c>
      <c r="H116" s="3">
        <v>269</v>
      </c>
      <c r="I116" s="3">
        <v>2037</v>
      </c>
      <c r="J116" s="3">
        <v>8875</v>
      </c>
      <c r="K116" s="3">
        <v>52289</v>
      </c>
      <c r="L116" s="3" t="s">
        <v>16</v>
      </c>
      <c r="M116" s="4">
        <v>0.17093461339861157</v>
      </c>
    </row>
    <row r="117" spans="1:13" x14ac:dyDescent="0.3">
      <c r="A117" s="3" t="s">
        <v>312</v>
      </c>
      <c r="B117" s="3" t="s">
        <v>18</v>
      </c>
      <c r="C117" s="2">
        <v>45450</v>
      </c>
      <c r="D117" s="3" t="s">
        <v>27</v>
      </c>
      <c r="E117" s="3" t="s">
        <v>360</v>
      </c>
      <c r="F117" s="3">
        <v>8233</v>
      </c>
      <c r="G117" s="3">
        <v>436</v>
      </c>
      <c r="H117" s="3">
        <v>269</v>
      </c>
      <c r="I117" s="3">
        <v>2037</v>
      </c>
      <c r="J117" s="3">
        <v>8875</v>
      </c>
      <c r="K117" s="3">
        <v>52289</v>
      </c>
      <c r="L117" s="3" t="s">
        <v>16</v>
      </c>
      <c r="M117" s="4">
        <v>0.17093461339861157</v>
      </c>
    </row>
    <row r="118" spans="1:13" x14ac:dyDescent="0.3">
      <c r="A118" s="3" t="s">
        <v>196</v>
      </c>
      <c r="B118" s="3" t="s">
        <v>18</v>
      </c>
      <c r="C118" s="2">
        <v>45528</v>
      </c>
      <c r="D118" s="3" t="s">
        <v>23</v>
      </c>
      <c r="E118" s="3" t="s">
        <v>367</v>
      </c>
      <c r="F118" s="3">
        <v>22527</v>
      </c>
      <c r="G118" s="3">
        <v>865</v>
      </c>
      <c r="H118" s="3">
        <v>646</v>
      </c>
      <c r="I118" s="3">
        <v>992</v>
      </c>
      <c r="J118" s="3">
        <v>18654</v>
      </c>
      <c r="K118" s="3">
        <v>141376</v>
      </c>
      <c r="L118" s="3" t="s">
        <v>45</v>
      </c>
      <c r="M118" s="4">
        <v>0.17002885921231325</v>
      </c>
    </row>
    <row r="119" spans="1:13" x14ac:dyDescent="0.3">
      <c r="A119" s="3" t="s">
        <v>196</v>
      </c>
      <c r="B119" s="3" t="s">
        <v>18</v>
      </c>
      <c r="C119" s="2">
        <v>45528</v>
      </c>
      <c r="D119" s="3" t="s">
        <v>23</v>
      </c>
      <c r="E119" s="3" t="s">
        <v>32</v>
      </c>
      <c r="F119" s="3">
        <v>22527</v>
      </c>
      <c r="G119" s="3">
        <v>865</v>
      </c>
      <c r="H119" s="3">
        <v>646</v>
      </c>
      <c r="I119" s="3">
        <v>992</v>
      </c>
      <c r="J119" s="3">
        <v>18654</v>
      </c>
      <c r="K119" s="3">
        <v>141376</v>
      </c>
      <c r="L119" s="3" t="s">
        <v>45</v>
      </c>
      <c r="M119" s="4">
        <v>0.17002885921231325</v>
      </c>
    </row>
    <row r="120" spans="1:13" x14ac:dyDescent="0.3">
      <c r="A120" s="3" t="s">
        <v>194</v>
      </c>
      <c r="B120" s="3" t="s">
        <v>40</v>
      </c>
      <c r="C120" s="2">
        <v>45515</v>
      </c>
      <c r="D120" s="3" t="s">
        <v>34</v>
      </c>
      <c r="E120" s="3" t="s">
        <v>355</v>
      </c>
      <c r="F120" s="3">
        <v>14394</v>
      </c>
      <c r="G120" s="3">
        <v>1202</v>
      </c>
      <c r="H120" s="3">
        <v>188</v>
      </c>
      <c r="I120" s="3">
        <v>1259</v>
      </c>
      <c r="J120" s="3">
        <v>21925</v>
      </c>
      <c r="K120" s="3">
        <v>94061</v>
      </c>
      <c r="L120" s="3" t="s">
        <v>29</v>
      </c>
      <c r="M120" s="4">
        <v>0.1678059982351878</v>
      </c>
    </row>
    <row r="121" spans="1:13" x14ac:dyDescent="0.3">
      <c r="A121" s="3" t="s">
        <v>194</v>
      </c>
      <c r="B121" s="3" t="s">
        <v>40</v>
      </c>
      <c r="C121" s="2">
        <v>45515</v>
      </c>
      <c r="D121" s="3" t="s">
        <v>34</v>
      </c>
      <c r="E121" s="3" t="s">
        <v>356</v>
      </c>
      <c r="F121" s="3">
        <v>14394</v>
      </c>
      <c r="G121" s="3">
        <v>1202</v>
      </c>
      <c r="H121" s="3">
        <v>188</v>
      </c>
      <c r="I121" s="3">
        <v>1259</v>
      </c>
      <c r="J121" s="3">
        <v>21925</v>
      </c>
      <c r="K121" s="3">
        <v>94061</v>
      </c>
      <c r="L121" s="3" t="s">
        <v>29</v>
      </c>
      <c r="M121" s="4">
        <v>0.1678059982351878</v>
      </c>
    </row>
    <row r="122" spans="1:13" x14ac:dyDescent="0.3">
      <c r="A122" s="3" t="s">
        <v>238</v>
      </c>
      <c r="B122" s="3" t="s">
        <v>18</v>
      </c>
      <c r="C122" s="2">
        <v>45921</v>
      </c>
      <c r="D122" s="3" t="s">
        <v>14</v>
      </c>
      <c r="E122" s="3" t="s">
        <v>368</v>
      </c>
      <c r="F122" s="3">
        <v>19680</v>
      </c>
      <c r="G122" s="3">
        <v>999</v>
      </c>
      <c r="H122" s="3">
        <v>838</v>
      </c>
      <c r="I122" s="3">
        <v>891</v>
      </c>
      <c r="J122" s="3">
        <v>29576</v>
      </c>
      <c r="K122" s="3">
        <v>129152</v>
      </c>
      <c r="L122" s="3" t="s">
        <v>20</v>
      </c>
      <c r="M122" s="4">
        <v>0.16660214321110009</v>
      </c>
    </row>
    <row r="123" spans="1:13" x14ac:dyDescent="0.3">
      <c r="A123" s="3" t="s">
        <v>238</v>
      </c>
      <c r="B123" s="3" t="s">
        <v>18</v>
      </c>
      <c r="C123" s="2">
        <v>45921</v>
      </c>
      <c r="D123" s="3" t="s">
        <v>14</v>
      </c>
      <c r="E123" s="3" t="s">
        <v>369</v>
      </c>
      <c r="F123" s="3">
        <v>19680</v>
      </c>
      <c r="G123" s="3">
        <v>999</v>
      </c>
      <c r="H123" s="3">
        <v>838</v>
      </c>
      <c r="I123" s="3">
        <v>891</v>
      </c>
      <c r="J123" s="3">
        <v>29576</v>
      </c>
      <c r="K123" s="3">
        <v>129152</v>
      </c>
      <c r="L123" s="3" t="s">
        <v>20</v>
      </c>
      <c r="M123" s="4">
        <v>0.16660214321110009</v>
      </c>
    </row>
    <row r="124" spans="1:13" x14ac:dyDescent="0.3">
      <c r="A124" s="3" t="s">
        <v>108</v>
      </c>
      <c r="B124" s="3" t="s">
        <v>22</v>
      </c>
      <c r="C124" s="2">
        <v>45921</v>
      </c>
      <c r="D124" s="3" t="s">
        <v>27</v>
      </c>
      <c r="E124" s="3" t="s">
        <v>353</v>
      </c>
      <c r="F124" s="3">
        <v>23103</v>
      </c>
      <c r="G124" s="3">
        <v>1380</v>
      </c>
      <c r="H124" s="3">
        <v>191</v>
      </c>
      <c r="I124" s="3">
        <v>1547</v>
      </c>
      <c r="J124" s="3">
        <v>77798</v>
      </c>
      <c r="K124" s="3">
        <v>148856</v>
      </c>
      <c r="L124" s="3" t="s">
        <v>20</v>
      </c>
      <c r="M124" s="4">
        <v>0.16575751061428495</v>
      </c>
    </row>
    <row r="125" spans="1:13" x14ac:dyDescent="0.3">
      <c r="A125" s="3" t="s">
        <v>108</v>
      </c>
      <c r="B125" s="3" t="s">
        <v>22</v>
      </c>
      <c r="C125" s="2">
        <v>45921</v>
      </c>
      <c r="D125" s="3" t="s">
        <v>27</v>
      </c>
      <c r="E125" s="3" t="s">
        <v>354</v>
      </c>
      <c r="F125" s="3">
        <v>23103</v>
      </c>
      <c r="G125" s="3">
        <v>1380</v>
      </c>
      <c r="H125" s="3">
        <v>191</v>
      </c>
      <c r="I125" s="3">
        <v>1547</v>
      </c>
      <c r="J125" s="3">
        <v>77798</v>
      </c>
      <c r="K125" s="3">
        <v>148856</v>
      </c>
      <c r="L125" s="3" t="s">
        <v>20</v>
      </c>
      <c r="M125" s="4">
        <v>0.16575751061428495</v>
      </c>
    </row>
    <row r="126" spans="1:13" x14ac:dyDescent="0.3">
      <c r="A126" s="3" t="s">
        <v>257</v>
      </c>
      <c r="B126" s="3" t="s">
        <v>13</v>
      </c>
      <c r="C126" s="2">
        <v>45739</v>
      </c>
      <c r="D126" s="3" t="s">
        <v>34</v>
      </c>
      <c r="E126" s="3" t="s">
        <v>361</v>
      </c>
      <c r="F126" s="3">
        <v>17728</v>
      </c>
      <c r="G126" s="3">
        <v>1487</v>
      </c>
      <c r="H126" s="3">
        <v>210</v>
      </c>
      <c r="I126" s="3">
        <v>2469</v>
      </c>
      <c r="J126" s="3">
        <v>30565</v>
      </c>
      <c r="K126" s="3">
        <v>117576</v>
      </c>
      <c r="L126" s="3" t="s">
        <v>16</v>
      </c>
      <c r="M126" s="4">
        <v>0.16521228822208614</v>
      </c>
    </row>
    <row r="127" spans="1:13" x14ac:dyDescent="0.3">
      <c r="A127" s="3" t="s">
        <v>257</v>
      </c>
      <c r="B127" s="3" t="s">
        <v>13</v>
      </c>
      <c r="C127" s="2">
        <v>45739</v>
      </c>
      <c r="D127" s="3" t="s">
        <v>34</v>
      </c>
      <c r="E127" s="3" t="s">
        <v>362</v>
      </c>
      <c r="F127" s="3">
        <v>17728</v>
      </c>
      <c r="G127" s="3">
        <v>1487</v>
      </c>
      <c r="H127" s="3">
        <v>210</v>
      </c>
      <c r="I127" s="3">
        <v>2469</v>
      </c>
      <c r="J127" s="3">
        <v>30565</v>
      </c>
      <c r="K127" s="3">
        <v>117576</v>
      </c>
      <c r="L127" s="3" t="s">
        <v>16</v>
      </c>
      <c r="M127" s="4">
        <v>0.16521228822208614</v>
      </c>
    </row>
    <row r="128" spans="1:13" x14ac:dyDescent="0.3">
      <c r="A128" s="3" t="s">
        <v>321</v>
      </c>
      <c r="B128" s="3" t="s">
        <v>40</v>
      </c>
      <c r="C128" s="2">
        <v>45491</v>
      </c>
      <c r="D128" s="3" t="s">
        <v>27</v>
      </c>
      <c r="E128" s="3" t="s">
        <v>353</v>
      </c>
      <c r="F128" s="3">
        <v>16594</v>
      </c>
      <c r="G128" s="3">
        <v>809</v>
      </c>
      <c r="H128" s="3">
        <v>784</v>
      </c>
      <c r="I128" s="3">
        <v>1655</v>
      </c>
      <c r="J128" s="3">
        <v>35505</v>
      </c>
      <c r="K128" s="3">
        <v>112588</v>
      </c>
      <c r="L128" s="3" t="s">
        <v>25</v>
      </c>
      <c r="M128" s="4">
        <v>0.16153586527871533</v>
      </c>
    </row>
    <row r="129" spans="1:13" x14ac:dyDescent="0.3">
      <c r="A129" s="3" t="s">
        <v>321</v>
      </c>
      <c r="B129" s="3" t="s">
        <v>40</v>
      </c>
      <c r="C129" s="2">
        <v>45491</v>
      </c>
      <c r="D129" s="3" t="s">
        <v>27</v>
      </c>
      <c r="E129" s="3" t="s">
        <v>354</v>
      </c>
      <c r="F129" s="3">
        <v>16594</v>
      </c>
      <c r="G129" s="3">
        <v>809</v>
      </c>
      <c r="H129" s="3">
        <v>784</v>
      </c>
      <c r="I129" s="3">
        <v>1655</v>
      </c>
      <c r="J129" s="3">
        <v>35505</v>
      </c>
      <c r="K129" s="3">
        <v>112588</v>
      </c>
      <c r="L129" s="3" t="s">
        <v>25</v>
      </c>
      <c r="M129" s="4">
        <v>0.16153586527871533</v>
      </c>
    </row>
    <row r="130" spans="1:13" x14ac:dyDescent="0.3">
      <c r="A130" s="3" t="s">
        <v>97</v>
      </c>
      <c r="B130" s="3" t="s">
        <v>13</v>
      </c>
      <c r="C130" s="2">
        <v>45920</v>
      </c>
      <c r="D130" s="3" t="s">
        <v>14</v>
      </c>
      <c r="E130" s="3" t="s">
        <v>359</v>
      </c>
      <c r="F130" s="3">
        <v>18633</v>
      </c>
      <c r="G130" s="3">
        <v>797</v>
      </c>
      <c r="H130" s="3">
        <v>303</v>
      </c>
      <c r="I130" s="3">
        <v>659</v>
      </c>
      <c r="J130" s="3">
        <v>7</v>
      </c>
      <c r="K130" s="3">
        <v>122189</v>
      </c>
      <c r="L130" s="3" t="s">
        <v>20</v>
      </c>
      <c r="M130" s="4">
        <v>0.16149571565361859</v>
      </c>
    </row>
    <row r="131" spans="1:13" x14ac:dyDescent="0.3">
      <c r="A131" s="3" t="s">
        <v>97</v>
      </c>
      <c r="B131" s="3" t="s">
        <v>13</v>
      </c>
      <c r="C131" s="2">
        <v>45920</v>
      </c>
      <c r="D131" s="3" t="s">
        <v>14</v>
      </c>
      <c r="E131" s="3" t="s">
        <v>366</v>
      </c>
      <c r="F131" s="3">
        <v>18633</v>
      </c>
      <c r="G131" s="3">
        <v>797</v>
      </c>
      <c r="H131" s="3">
        <v>303</v>
      </c>
      <c r="I131" s="3">
        <v>659</v>
      </c>
      <c r="J131" s="3">
        <v>7</v>
      </c>
      <c r="K131" s="3">
        <v>122189</v>
      </c>
      <c r="L131" s="3" t="s">
        <v>20</v>
      </c>
      <c r="M131" s="4">
        <v>0.16149571565361859</v>
      </c>
    </row>
    <row r="132" spans="1:13" x14ac:dyDescent="0.3">
      <c r="A132" s="3" t="s">
        <v>110</v>
      </c>
      <c r="B132" s="3" t="s">
        <v>22</v>
      </c>
      <c r="C132" s="2">
        <v>45505</v>
      </c>
      <c r="D132" s="3" t="s">
        <v>14</v>
      </c>
      <c r="E132" s="3" t="s">
        <v>357</v>
      </c>
      <c r="F132" s="3">
        <v>21758</v>
      </c>
      <c r="G132" s="3">
        <v>1380</v>
      </c>
      <c r="H132" s="3">
        <v>188</v>
      </c>
      <c r="I132" s="3">
        <v>1735</v>
      </c>
      <c r="J132" s="3">
        <v>20998</v>
      </c>
      <c r="K132" s="3">
        <v>147803</v>
      </c>
      <c r="L132" s="3" t="s">
        <v>45</v>
      </c>
      <c r="M132" s="4">
        <v>0.15781817689762725</v>
      </c>
    </row>
    <row r="133" spans="1:13" x14ac:dyDescent="0.3">
      <c r="A133" s="3" t="s">
        <v>110</v>
      </c>
      <c r="B133" s="3" t="s">
        <v>22</v>
      </c>
      <c r="C133" s="2">
        <v>45505</v>
      </c>
      <c r="D133" s="3" t="s">
        <v>14</v>
      </c>
      <c r="E133" s="3" t="s">
        <v>358</v>
      </c>
      <c r="F133" s="3">
        <v>21758</v>
      </c>
      <c r="G133" s="3">
        <v>1380</v>
      </c>
      <c r="H133" s="3">
        <v>188</v>
      </c>
      <c r="I133" s="3">
        <v>1735</v>
      </c>
      <c r="J133" s="3">
        <v>20998</v>
      </c>
      <c r="K133" s="3">
        <v>147803</v>
      </c>
      <c r="L133" s="3" t="s">
        <v>45</v>
      </c>
      <c r="M133" s="4">
        <v>0.15781817689762725</v>
      </c>
    </row>
    <row r="134" spans="1:13" x14ac:dyDescent="0.3">
      <c r="A134" s="3" t="s">
        <v>225</v>
      </c>
      <c r="B134" s="3" t="s">
        <v>13</v>
      </c>
      <c r="C134" s="2">
        <v>45740</v>
      </c>
      <c r="D134" s="3" t="s">
        <v>14</v>
      </c>
      <c r="E134" s="3" t="s">
        <v>32</v>
      </c>
      <c r="F134" s="3">
        <v>10172</v>
      </c>
      <c r="G134" s="3">
        <v>1398</v>
      </c>
      <c r="H134" s="3">
        <v>394</v>
      </c>
      <c r="I134" s="3">
        <v>2358</v>
      </c>
      <c r="J134" s="3">
        <v>59610</v>
      </c>
      <c r="K134" s="3">
        <v>76321</v>
      </c>
      <c r="L134" s="3" t="s">
        <v>29</v>
      </c>
      <c r="M134" s="4">
        <v>0.15675895231980713</v>
      </c>
    </row>
    <row r="135" spans="1:13" x14ac:dyDescent="0.3">
      <c r="A135" s="3" t="s">
        <v>85</v>
      </c>
      <c r="B135" s="3" t="s">
        <v>40</v>
      </c>
      <c r="C135" s="2">
        <v>45476</v>
      </c>
      <c r="D135" s="3" t="s">
        <v>23</v>
      </c>
      <c r="E135" s="3" t="s">
        <v>361</v>
      </c>
      <c r="F135" s="3">
        <v>14338</v>
      </c>
      <c r="G135" s="3">
        <v>1454</v>
      </c>
      <c r="H135" s="3">
        <v>697</v>
      </c>
      <c r="I135" s="3">
        <v>2703</v>
      </c>
      <c r="J135" s="3">
        <v>21288</v>
      </c>
      <c r="K135" s="3">
        <v>107649</v>
      </c>
      <c r="L135" s="3" t="s">
        <v>29</v>
      </c>
      <c r="M135" s="4">
        <v>0.1531737405828201</v>
      </c>
    </row>
    <row r="136" spans="1:13" x14ac:dyDescent="0.3">
      <c r="A136" s="3" t="s">
        <v>85</v>
      </c>
      <c r="B136" s="3" t="s">
        <v>40</v>
      </c>
      <c r="C136" s="2">
        <v>45476</v>
      </c>
      <c r="D136" s="3" t="s">
        <v>23</v>
      </c>
      <c r="E136" s="3" t="s">
        <v>362</v>
      </c>
      <c r="F136" s="3">
        <v>14338</v>
      </c>
      <c r="G136" s="3">
        <v>1454</v>
      </c>
      <c r="H136" s="3">
        <v>697</v>
      </c>
      <c r="I136" s="3">
        <v>2703</v>
      </c>
      <c r="J136" s="3">
        <v>21288</v>
      </c>
      <c r="K136" s="3">
        <v>107649</v>
      </c>
      <c r="L136" s="3" t="s">
        <v>29</v>
      </c>
      <c r="M136" s="4">
        <v>0.1531737405828201</v>
      </c>
    </row>
    <row r="137" spans="1:13" x14ac:dyDescent="0.3">
      <c r="A137" s="3" t="s">
        <v>168</v>
      </c>
      <c r="B137" s="3" t="s">
        <v>22</v>
      </c>
      <c r="C137" s="2">
        <v>45720</v>
      </c>
      <c r="D137" s="3" t="s">
        <v>27</v>
      </c>
      <c r="E137" s="3" t="s">
        <v>355</v>
      </c>
      <c r="F137" s="3">
        <v>5266</v>
      </c>
      <c r="G137" s="3">
        <v>316</v>
      </c>
      <c r="H137" s="3">
        <v>837</v>
      </c>
      <c r="I137" s="3">
        <v>2276</v>
      </c>
      <c r="J137" s="3">
        <v>20967</v>
      </c>
      <c r="K137" s="3">
        <v>41969</v>
      </c>
      <c r="L137" s="3" t="s">
        <v>45</v>
      </c>
      <c r="M137" s="4">
        <v>0.1529462222116324</v>
      </c>
    </row>
    <row r="138" spans="1:13" x14ac:dyDescent="0.3">
      <c r="A138" s="3" t="s">
        <v>168</v>
      </c>
      <c r="B138" s="3" t="s">
        <v>22</v>
      </c>
      <c r="C138" s="2">
        <v>45720</v>
      </c>
      <c r="D138" s="3" t="s">
        <v>27</v>
      </c>
      <c r="E138" s="3" t="s">
        <v>356</v>
      </c>
      <c r="F138" s="3">
        <v>5266</v>
      </c>
      <c r="G138" s="3">
        <v>316</v>
      </c>
      <c r="H138" s="3">
        <v>837</v>
      </c>
      <c r="I138" s="3">
        <v>2276</v>
      </c>
      <c r="J138" s="3">
        <v>20967</v>
      </c>
      <c r="K138" s="3">
        <v>41969</v>
      </c>
      <c r="L138" s="3" t="s">
        <v>45</v>
      </c>
      <c r="M138" s="4">
        <v>0.1529462222116324</v>
      </c>
    </row>
    <row r="139" spans="1:13" x14ac:dyDescent="0.3">
      <c r="A139" s="3" t="s">
        <v>75</v>
      </c>
      <c r="B139" s="3" t="s">
        <v>13</v>
      </c>
      <c r="C139" s="2">
        <v>45914</v>
      </c>
      <c r="D139" s="3" t="s">
        <v>34</v>
      </c>
      <c r="E139" s="3" t="s">
        <v>363</v>
      </c>
      <c r="F139" s="3">
        <v>19844</v>
      </c>
      <c r="G139" s="3">
        <v>1020</v>
      </c>
      <c r="H139" s="3">
        <v>247</v>
      </c>
      <c r="I139" s="3">
        <v>2354</v>
      </c>
      <c r="J139" s="3">
        <v>37792</v>
      </c>
      <c r="K139" s="3">
        <v>138317</v>
      </c>
      <c r="L139" s="3" t="s">
        <v>20</v>
      </c>
      <c r="M139" s="4">
        <v>0.15262765965138053</v>
      </c>
    </row>
    <row r="140" spans="1:13" x14ac:dyDescent="0.3">
      <c r="A140" s="3" t="s">
        <v>75</v>
      </c>
      <c r="B140" s="3" t="s">
        <v>13</v>
      </c>
      <c r="C140" s="2">
        <v>45914</v>
      </c>
      <c r="D140" s="3" t="s">
        <v>34</v>
      </c>
      <c r="E140" s="3" t="s">
        <v>364</v>
      </c>
      <c r="F140" s="3">
        <v>19844</v>
      </c>
      <c r="G140" s="3">
        <v>1020</v>
      </c>
      <c r="H140" s="3">
        <v>247</v>
      </c>
      <c r="I140" s="3">
        <v>2354</v>
      </c>
      <c r="J140" s="3">
        <v>37792</v>
      </c>
      <c r="K140" s="3">
        <v>138317</v>
      </c>
      <c r="L140" s="3" t="s">
        <v>20</v>
      </c>
      <c r="M140" s="4">
        <v>0.15262765965138053</v>
      </c>
    </row>
    <row r="141" spans="1:13" x14ac:dyDescent="0.3">
      <c r="A141" s="3" t="s">
        <v>112</v>
      </c>
      <c r="B141" s="3" t="s">
        <v>18</v>
      </c>
      <c r="C141" s="2">
        <v>45720</v>
      </c>
      <c r="D141" s="3" t="s">
        <v>34</v>
      </c>
      <c r="E141" s="3" t="s">
        <v>365</v>
      </c>
      <c r="F141" s="3">
        <v>13470</v>
      </c>
      <c r="G141" s="3">
        <v>523</v>
      </c>
      <c r="H141" s="3">
        <v>280</v>
      </c>
      <c r="I141" s="3">
        <v>2682</v>
      </c>
      <c r="J141" s="3">
        <v>8538</v>
      </c>
      <c r="K141" s="3">
        <v>95204</v>
      </c>
      <c r="L141" s="3" t="s">
        <v>16</v>
      </c>
      <c r="M141" s="4">
        <v>0.14992017142136885</v>
      </c>
    </row>
    <row r="142" spans="1:13" x14ac:dyDescent="0.3">
      <c r="A142" s="3" t="s">
        <v>112</v>
      </c>
      <c r="B142" s="3" t="s">
        <v>18</v>
      </c>
      <c r="C142" s="2">
        <v>45720</v>
      </c>
      <c r="D142" s="3" t="s">
        <v>34</v>
      </c>
      <c r="E142" s="3" t="s">
        <v>359</v>
      </c>
      <c r="F142" s="3">
        <v>13470</v>
      </c>
      <c r="G142" s="3">
        <v>523</v>
      </c>
      <c r="H142" s="3">
        <v>280</v>
      </c>
      <c r="I142" s="3">
        <v>2682</v>
      </c>
      <c r="J142" s="3">
        <v>8538</v>
      </c>
      <c r="K142" s="3">
        <v>95204</v>
      </c>
      <c r="L142" s="3" t="s">
        <v>16</v>
      </c>
      <c r="M142" s="4">
        <v>0.14992017142136885</v>
      </c>
    </row>
    <row r="143" spans="1:13" x14ac:dyDescent="0.3">
      <c r="A143" s="3" t="s">
        <v>300</v>
      </c>
      <c r="B143" s="3" t="s">
        <v>22</v>
      </c>
      <c r="C143" s="2">
        <v>45687</v>
      </c>
      <c r="D143" s="3" t="s">
        <v>23</v>
      </c>
      <c r="E143" s="3" t="s">
        <v>367</v>
      </c>
      <c r="F143" s="3">
        <v>12954</v>
      </c>
      <c r="G143" s="3">
        <v>913</v>
      </c>
      <c r="H143" s="3">
        <v>722</v>
      </c>
      <c r="I143" s="3">
        <v>1049</v>
      </c>
      <c r="J143" s="3">
        <v>475</v>
      </c>
      <c r="K143" s="3">
        <v>97716</v>
      </c>
      <c r="L143" s="3" t="s">
        <v>16</v>
      </c>
      <c r="M143" s="4">
        <v>0.14930001228048631</v>
      </c>
    </row>
    <row r="144" spans="1:13" x14ac:dyDescent="0.3">
      <c r="A144" s="3" t="s">
        <v>300</v>
      </c>
      <c r="B144" s="3" t="s">
        <v>22</v>
      </c>
      <c r="C144" s="2">
        <v>45687</v>
      </c>
      <c r="D144" s="3" t="s">
        <v>23</v>
      </c>
      <c r="E144" s="3" t="s">
        <v>32</v>
      </c>
      <c r="F144" s="3">
        <v>12954</v>
      </c>
      <c r="G144" s="3">
        <v>913</v>
      </c>
      <c r="H144" s="3">
        <v>722</v>
      </c>
      <c r="I144" s="3">
        <v>1049</v>
      </c>
      <c r="J144" s="3">
        <v>475</v>
      </c>
      <c r="K144" s="3">
        <v>97716</v>
      </c>
      <c r="L144" s="3" t="s">
        <v>16</v>
      </c>
      <c r="M144" s="4">
        <v>0.14930001228048631</v>
      </c>
    </row>
    <row r="145" spans="1:13" x14ac:dyDescent="0.3">
      <c r="A145" s="3" t="s">
        <v>144</v>
      </c>
      <c r="B145" s="3" t="s">
        <v>18</v>
      </c>
      <c r="C145" s="2">
        <v>45928</v>
      </c>
      <c r="D145" s="3" t="s">
        <v>34</v>
      </c>
      <c r="E145" s="3" t="s">
        <v>363</v>
      </c>
      <c r="F145" s="3">
        <v>21963</v>
      </c>
      <c r="G145" s="3">
        <v>1356</v>
      </c>
      <c r="H145" s="3">
        <v>349</v>
      </c>
      <c r="I145" s="3">
        <v>1206</v>
      </c>
      <c r="J145" s="3">
        <v>51755</v>
      </c>
      <c r="K145" s="3">
        <v>159273</v>
      </c>
      <c r="L145" s="3" t="s">
        <v>20</v>
      </c>
      <c r="M145" s="4">
        <v>0.14860020216860359</v>
      </c>
    </row>
    <row r="146" spans="1:13" x14ac:dyDescent="0.3">
      <c r="A146" s="3" t="s">
        <v>144</v>
      </c>
      <c r="B146" s="3" t="s">
        <v>18</v>
      </c>
      <c r="C146" s="2">
        <v>45928</v>
      </c>
      <c r="D146" s="3" t="s">
        <v>34</v>
      </c>
      <c r="E146" s="3" t="s">
        <v>364</v>
      </c>
      <c r="F146" s="3">
        <v>21963</v>
      </c>
      <c r="G146" s="3">
        <v>1356</v>
      </c>
      <c r="H146" s="3">
        <v>349</v>
      </c>
      <c r="I146" s="3">
        <v>1206</v>
      </c>
      <c r="J146" s="3">
        <v>51755</v>
      </c>
      <c r="K146" s="3">
        <v>159273</v>
      </c>
      <c r="L146" s="3" t="s">
        <v>20</v>
      </c>
      <c r="M146" s="4">
        <v>0.14860020216860359</v>
      </c>
    </row>
    <row r="147" spans="1:13" x14ac:dyDescent="0.3">
      <c r="A147" s="3" t="s">
        <v>284</v>
      </c>
      <c r="B147" s="3" t="s">
        <v>22</v>
      </c>
      <c r="C147" s="2">
        <v>45914</v>
      </c>
      <c r="D147" s="3" t="s">
        <v>34</v>
      </c>
      <c r="E147" s="3" t="s">
        <v>359</v>
      </c>
      <c r="F147" s="3">
        <v>12787</v>
      </c>
      <c r="G147" s="3">
        <v>945</v>
      </c>
      <c r="H147" s="3">
        <v>974</v>
      </c>
      <c r="I147" s="3">
        <v>1407</v>
      </c>
      <c r="J147" s="3">
        <v>4037</v>
      </c>
      <c r="K147" s="3">
        <v>99182</v>
      </c>
      <c r="L147" s="3" t="s">
        <v>20</v>
      </c>
      <c r="M147" s="4">
        <v>0.14827287209372669</v>
      </c>
    </row>
    <row r="148" spans="1:13" x14ac:dyDescent="0.3">
      <c r="A148" s="3" t="s">
        <v>284</v>
      </c>
      <c r="B148" s="3" t="s">
        <v>22</v>
      </c>
      <c r="C148" s="2">
        <v>45914</v>
      </c>
      <c r="D148" s="3" t="s">
        <v>34</v>
      </c>
      <c r="E148" s="3" t="s">
        <v>366</v>
      </c>
      <c r="F148" s="3">
        <v>12787</v>
      </c>
      <c r="G148" s="3">
        <v>945</v>
      </c>
      <c r="H148" s="3">
        <v>974</v>
      </c>
      <c r="I148" s="3">
        <v>1407</v>
      </c>
      <c r="J148" s="3">
        <v>4037</v>
      </c>
      <c r="K148" s="3">
        <v>99182</v>
      </c>
      <c r="L148" s="3" t="s">
        <v>20</v>
      </c>
      <c r="M148" s="4">
        <v>0.14827287209372669</v>
      </c>
    </row>
    <row r="149" spans="1:13" x14ac:dyDescent="0.3">
      <c r="A149" s="3" t="s">
        <v>140</v>
      </c>
      <c r="B149" s="3" t="s">
        <v>18</v>
      </c>
      <c r="C149" s="2">
        <v>45739</v>
      </c>
      <c r="D149" s="3" t="s">
        <v>14</v>
      </c>
      <c r="E149" s="3" t="s">
        <v>357</v>
      </c>
      <c r="F149" s="3">
        <v>24711</v>
      </c>
      <c r="G149" s="3">
        <v>882</v>
      </c>
      <c r="H149" s="3">
        <v>876</v>
      </c>
      <c r="I149" s="3">
        <v>2728</v>
      </c>
      <c r="J149" s="3">
        <v>32015</v>
      </c>
      <c r="K149" s="3">
        <v>180272</v>
      </c>
      <c r="L149" s="3" t="s">
        <v>29</v>
      </c>
      <c r="M149" s="4">
        <v>0.1468281263867933</v>
      </c>
    </row>
    <row r="150" spans="1:13" x14ac:dyDescent="0.3">
      <c r="A150" s="3" t="s">
        <v>140</v>
      </c>
      <c r="B150" s="3" t="s">
        <v>18</v>
      </c>
      <c r="C150" s="2">
        <v>45739</v>
      </c>
      <c r="D150" s="3" t="s">
        <v>14</v>
      </c>
      <c r="E150" s="3" t="s">
        <v>358</v>
      </c>
      <c r="F150" s="3">
        <v>24711</v>
      </c>
      <c r="G150" s="3">
        <v>882</v>
      </c>
      <c r="H150" s="3">
        <v>876</v>
      </c>
      <c r="I150" s="3">
        <v>2728</v>
      </c>
      <c r="J150" s="3">
        <v>32015</v>
      </c>
      <c r="K150" s="3">
        <v>180272</v>
      </c>
      <c r="L150" s="3" t="s">
        <v>29</v>
      </c>
      <c r="M150" s="4">
        <v>0.1468281263867933</v>
      </c>
    </row>
    <row r="151" spans="1:13" x14ac:dyDescent="0.3">
      <c r="A151" s="3" t="s">
        <v>278</v>
      </c>
      <c r="B151" s="3" t="s">
        <v>13</v>
      </c>
      <c r="C151" s="2">
        <v>45912</v>
      </c>
      <c r="D151" s="3" t="s">
        <v>27</v>
      </c>
      <c r="E151" s="3" t="s">
        <v>361</v>
      </c>
      <c r="F151" s="3">
        <v>15918</v>
      </c>
      <c r="G151" s="3">
        <v>1114</v>
      </c>
      <c r="H151" s="3">
        <v>392</v>
      </c>
      <c r="I151" s="3">
        <v>1641</v>
      </c>
      <c r="J151" s="3">
        <v>28044</v>
      </c>
      <c r="K151" s="3">
        <v>118714</v>
      </c>
      <c r="L151" s="3" t="s">
        <v>20</v>
      </c>
      <c r="M151" s="4">
        <v>0.14677291642097814</v>
      </c>
    </row>
    <row r="152" spans="1:13" x14ac:dyDescent="0.3">
      <c r="A152" s="3" t="s">
        <v>278</v>
      </c>
      <c r="B152" s="3" t="s">
        <v>13</v>
      </c>
      <c r="C152" s="2">
        <v>45912</v>
      </c>
      <c r="D152" s="3" t="s">
        <v>27</v>
      </c>
      <c r="E152" s="3" t="s">
        <v>362</v>
      </c>
      <c r="F152" s="3">
        <v>15918</v>
      </c>
      <c r="G152" s="3">
        <v>1114</v>
      </c>
      <c r="H152" s="3">
        <v>392</v>
      </c>
      <c r="I152" s="3">
        <v>1641</v>
      </c>
      <c r="J152" s="3">
        <v>28044</v>
      </c>
      <c r="K152" s="3">
        <v>118714</v>
      </c>
      <c r="L152" s="3" t="s">
        <v>20</v>
      </c>
      <c r="M152" s="4">
        <v>0.14677291642097814</v>
      </c>
    </row>
    <row r="153" spans="1:13" x14ac:dyDescent="0.3">
      <c r="A153" s="3" t="s">
        <v>191</v>
      </c>
      <c r="B153" s="3" t="s">
        <v>22</v>
      </c>
      <c r="C153" s="2">
        <v>45647</v>
      </c>
      <c r="D153" s="3" t="s">
        <v>14</v>
      </c>
      <c r="E153" s="3" t="s">
        <v>353</v>
      </c>
      <c r="F153" s="3">
        <v>12453</v>
      </c>
      <c r="G153" s="3">
        <v>376</v>
      </c>
      <c r="H153" s="3">
        <v>320</v>
      </c>
      <c r="I153" s="3">
        <v>2546</v>
      </c>
      <c r="J153" s="3">
        <v>22617</v>
      </c>
      <c r="K153" s="3">
        <v>90138</v>
      </c>
      <c r="L153" s="3" t="s">
        <v>25</v>
      </c>
      <c r="M153" s="4">
        <v>0.14587632297144379</v>
      </c>
    </row>
    <row r="154" spans="1:13" x14ac:dyDescent="0.3">
      <c r="A154" s="3" t="s">
        <v>191</v>
      </c>
      <c r="B154" s="3" t="s">
        <v>22</v>
      </c>
      <c r="C154" s="2">
        <v>45647</v>
      </c>
      <c r="D154" s="3" t="s">
        <v>14</v>
      </c>
      <c r="E154" s="3" t="s">
        <v>354</v>
      </c>
      <c r="F154" s="3">
        <v>12453</v>
      </c>
      <c r="G154" s="3">
        <v>376</v>
      </c>
      <c r="H154" s="3">
        <v>320</v>
      </c>
      <c r="I154" s="3">
        <v>2546</v>
      </c>
      <c r="J154" s="3">
        <v>22617</v>
      </c>
      <c r="K154" s="3">
        <v>90138</v>
      </c>
      <c r="L154" s="3" t="s">
        <v>25</v>
      </c>
      <c r="M154" s="4">
        <v>0.14587632297144379</v>
      </c>
    </row>
    <row r="155" spans="1:13" x14ac:dyDescent="0.3">
      <c r="A155" s="3" t="s">
        <v>268</v>
      </c>
      <c r="B155" s="3" t="s">
        <v>18</v>
      </c>
      <c r="C155" s="2">
        <v>45776</v>
      </c>
      <c r="D155" s="3" t="s">
        <v>34</v>
      </c>
      <c r="E155" s="3" t="s">
        <v>363</v>
      </c>
      <c r="F155" s="3">
        <v>16277</v>
      </c>
      <c r="G155" s="3">
        <v>1109</v>
      </c>
      <c r="H155" s="3">
        <v>375</v>
      </c>
      <c r="I155" s="3">
        <v>2225</v>
      </c>
      <c r="J155" s="3">
        <v>1044</v>
      </c>
      <c r="K155" s="3">
        <v>121889</v>
      </c>
      <c r="L155" s="3" t="s">
        <v>29</v>
      </c>
      <c r="M155" s="4">
        <v>0.14571454356012437</v>
      </c>
    </row>
    <row r="156" spans="1:13" x14ac:dyDescent="0.3">
      <c r="A156" s="3" t="s">
        <v>268</v>
      </c>
      <c r="B156" s="3" t="s">
        <v>18</v>
      </c>
      <c r="C156" s="2">
        <v>45776</v>
      </c>
      <c r="D156" s="3" t="s">
        <v>34</v>
      </c>
      <c r="E156" s="3" t="s">
        <v>364</v>
      </c>
      <c r="F156" s="3">
        <v>16277</v>
      </c>
      <c r="G156" s="3">
        <v>1109</v>
      </c>
      <c r="H156" s="3">
        <v>375</v>
      </c>
      <c r="I156" s="3">
        <v>2225</v>
      </c>
      <c r="J156" s="3">
        <v>1044</v>
      </c>
      <c r="K156" s="3">
        <v>121889</v>
      </c>
      <c r="L156" s="3" t="s">
        <v>29</v>
      </c>
      <c r="M156" s="4">
        <v>0.14571454356012437</v>
      </c>
    </row>
    <row r="157" spans="1:13" x14ac:dyDescent="0.3">
      <c r="A157" s="3" t="s">
        <v>260</v>
      </c>
      <c r="B157" s="3" t="s">
        <v>18</v>
      </c>
      <c r="C157" s="2">
        <v>45907</v>
      </c>
      <c r="D157" s="3" t="s">
        <v>23</v>
      </c>
      <c r="E157" s="3" t="s">
        <v>368</v>
      </c>
      <c r="F157" s="3">
        <v>4472</v>
      </c>
      <c r="G157" s="3">
        <v>1301</v>
      </c>
      <c r="H157" s="3">
        <v>956</v>
      </c>
      <c r="I157" s="3">
        <v>1186</v>
      </c>
      <c r="J157" s="3">
        <v>3363</v>
      </c>
      <c r="K157" s="3">
        <v>46471</v>
      </c>
      <c r="L157" s="3" t="s">
        <v>20</v>
      </c>
      <c r="M157" s="4">
        <v>0.14479998278496267</v>
      </c>
    </row>
    <row r="158" spans="1:13" x14ac:dyDescent="0.3">
      <c r="A158" s="3" t="s">
        <v>260</v>
      </c>
      <c r="B158" s="3" t="s">
        <v>18</v>
      </c>
      <c r="C158" s="2">
        <v>45907</v>
      </c>
      <c r="D158" s="3" t="s">
        <v>23</v>
      </c>
      <c r="E158" s="3" t="s">
        <v>369</v>
      </c>
      <c r="F158" s="3">
        <v>4472</v>
      </c>
      <c r="G158" s="3">
        <v>1301</v>
      </c>
      <c r="H158" s="3">
        <v>956</v>
      </c>
      <c r="I158" s="3">
        <v>1186</v>
      </c>
      <c r="J158" s="3">
        <v>3363</v>
      </c>
      <c r="K158" s="3">
        <v>46471</v>
      </c>
      <c r="L158" s="3" t="s">
        <v>20</v>
      </c>
      <c r="M158" s="4">
        <v>0.14479998278496267</v>
      </c>
    </row>
    <row r="159" spans="1:13" x14ac:dyDescent="0.3">
      <c r="A159" s="3" t="s">
        <v>102</v>
      </c>
      <c r="B159" s="3" t="s">
        <v>18</v>
      </c>
      <c r="C159" s="2">
        <v>45745</v>
      </c>
      <c r="D159" s="3" t="s">
        <v>27</v>
      </c>
      <c r="E159" s="3" t="s">
        <v>363</v>
      </c>
      <c r="F159" s="3">
        <v>19461</v>
      </c>
      <c r="G159" s="3">
        <v>1382</v>
      </c>
      <c r="H159" s="3">
        <v>445</v>
      </c>
      <c r="I159" s="3">
        <v>1307</v>
      </c>
      <c r="J159" s="3">
        <v>84691</v>
      </c>
      <c r="K159" s="3">
        <v>151453</v>
      </c>
      <c r="L159" s="3" t="s">
        <v>29</v>
      </c>
      <c r="M159" s="4">
        <v>0.14055845707909384</v>
      </c>
    </row>
    <row r="160" spans="1:13" x14ac:dyDescent="0.3">
      <c r="A160" s="3" t="s">
        <v>102</v>
      </c>
      <c r="B160" s="3" t="s">
        <v>18</v>
      </c>
      <c r="C160" s="2">
        <v>45745</v>
      </c>
      <c r="D160" s="3" t="s">
        <v>27</v>
      </c>
      <c r="E160" s="3" t="s">
        <v>364</v>
      </c>
      <c r="F160" s="3">
        <v>19461</v>
      </c>
      <c r="G160" s="3">
        <v>1382</v>
      </c>
      <c r="H160" s="3">
        <v>445</v>
      </c>
      <c r="I160" s="3">
        <v>1307</v>
      </c>
      <c r="J160" s="3">
        <v>84691</v>
      </c>
      <c r="K160" s="3">
        <v>151453</v>
      </c>
      <c r="L160" s="3" t="s">
        <v>29</v>
      </c>
      <c r="M160" s="4">
        <v>0.14055845707909384</v>
      </c>
    </row>
    <row r="161" spans="1:13" x14ac:dyDescent="0.3">
      <c r="A161" s="3" t="s">
        <v>239</v>
      </c>
      <c r="B161" s="3" t="s">
        <v>13</v>
      </c>
      <c r="C161" s="2">
        <v>45617</v>
      </c>
      <c r="D161" s="3" t="s">
        <v>14</v>
      </c>
      <c r="E161" s="3" t="s">
        <v>363</v>
      </c>
      <c r="F161" s="3">
        <v>8229</v>
      </c>
      <c r="G161" s="3">
        <v>977</v>
      </c>
      <c r="H161" s="3">
        <v>152</v>
      </c>
      <c r="I161" s="3">
        <v>1633</v>
      </c>
      <c r="J161" s="3">
        <v>71447</v>
      </c>
      <c r="K161" s="3">
        <v>67723</v>
      </c>
      <c r="L161" s="3" t="s">
        <v>45</v>
      </c>
      <c r="M161" s="4">
        <v>0.13818052950991538</v>
      </c>
    </row>
    <row r="162" spans="1:13" x14ac:dyDescent="0.3">
      <c r="A162" s="3" t="s">
        <v>239</v>
      </c>
      <c r="B162" s="3" t="s">
        <v>13</v>
      </c>
      <c r="C162" s="2">
        <v>45617</v>
      </c>
      <c r="D162" s="3" t="s">
        <v>14</v>
      </c>
      <c r="E162" s="3" t="s">
        <v>364</v>
      </c>
      <c r="F162" s="3">
        <v>8229</v>
      </c>
      <c r="G162" s="3">
        <v>977</v>
      </c>
      <c r="H162" s="3">
        <v>152</v>
      </c>
      <c r="I162" s="3">
        <v>1633</v>
      </c>
      <c r="J162" s="3">
        <v>71447</v>
      </c>
      <c r="K162" s="3">
        <v>67723</v>
      </c>
      <c r="L162" s="3" t="s">
        <v>45</v>
      </c>
      <c r="M162" s="4">
        <v>0.13818052950991538</v>
      </c>
    </row>
    <row r="163" spans="1:13" x14ac:dyDescent="0.3">
      <c r="A163" s="3" t="s">
        <v>220</v>
      </c>
      <c r="B163" s="3" t="s">
        <v>13</v>
      </c>
      <c r="C163" s="2">
        <v>45943</v>
      </c>
      <c r="D163" s="3" t="s">
        <v>27</v>
      </c>
      <c r="E163" s="3" t="s">
        <v>359</v>
      </c>
      <c r="F163" s="3">
        <v>19302</v>
      </c>
      <c r="G163" s="3">
        <v>1367</v>
      </c>
      <c r="H163" s="3">
        <v>188</v>
      </c>
      <c r="I163" s="3">
        <v>637</v>
      </c>
      <c r="J163" s="3">
        <v>31404</v>
      </c>
      <c r="K163" s="3">
        <v>154044</v>
      </c>
      <c r="L163" s="3" t="s">
        <v>20</v>
      </c>
      <c r="M163" s="4">
        <v>0.13539638025499209</v>
      </c>
    </row>
    <row r="164" spans="1:13" x14ac:dyDescent="0.3">
      <c r="A164" s="3" t="s">
        <v>220</v>
      </c>
      <c r="B164" s="3" t="s">
        <v>13</v>
      </c>
      <c r="C164" s="2">
        <v>45943</v>
      </c>
      <c r="D164" s="3" t="s">
        <v>27</v>
      </c>
      <c r="E164" s="3" t="s">
        <v>366</v>
      </c>
      <c r="F164" s="3">
        <v>19302</v>
      </c>
      <c r="G164" s="3">
        <v>1367</v>
      </c>
      <c r="H164" s="3">
        <v>188</v>
      </c>
      <c r="I164" s="3">
        <v>637</v>
      </c>
      <c r="J164" s="3">
        <v>31404</v>
      </c>
      <c r="K164" s="3">
        <v>154044</v>
      </c>
      <c r="L164" s="3" t="s">
        <v>20</v>
      </c>
      <c r="M164" s="4">
        <v>0.13539638025499209</v>
      </c>
    </row>
    <row r="165" spans="1:13" x14ac:dyDescent="0.3">
      <c r="A165" s="3" t="s">
        <v>124</v>
      </c>
      <c r="B165" s="3" t="s">
        <v>22</v>
      </c>
      <c r="C165" s="2">
        <v>45480</v>
      </c>
      <c r="D165" s="3" t="s">
        <v>23</v>
      </c>
      <c r="E165" s="3" t="s">
        <v>355</v>
      </c>
      <c r="F165" s="3">
        <v>24625</v>
      </c>
      <c r="G165" s="3">
        <v>749</v>
      </c>
      <c r="H165" s="3">
        <v>193</v>
      </c>
      <c r="I165" s="3">
        <v>1340</v>
      </c>
      <c r="J165" s="3">
        <v>4890</v>
      </c>
      <c r="K165" s="3">
        <v>189381</v>
      </c>
      <c r="L165" s="3" t="s">
        <v>16</v>
      </c>
      <c r="M165" s="4">
        <v>0.13500298340382616</v>
      </c>
    </row>
    <row r="166" spans="1:13" x14ac:dyDescent="0.3">
      <c r="A166" s="3" t="s">
        <v>124</v>
      </c>
      <c r="B166" s="3" t="s">
        <v>22</v>
      </c>
      <c r="C166" s="2">
        <v>45480</v>
      </c>
      <c r="D166" s="3" t="s">
        <v>23</v>
      </c>
      <c r="E166" s="3" t="s">
        <v>356</v>
      </c>
      <c r="F166" s="3">
        <v>24625</v>
      </c>
      <c r="G166" s="3">
        <v>749</v>
      </c>
      <c r="H166" s="3">
        <v>193</v>
      </c>
      <c r="I166" s="3">
        <v>1340</v>
      </c>
      <c r="J166" s="3">
        <v>4890</v>
      </c>
      <c r="K166" s="3">
        <v>189381</v>
      </c>
      <c r="L166" s="3" t="s">
        <v>16</v>
      </c>
      <c r="M166" s="4">
        <v>0.13500298340382616</v>
      </c>
    </row>
    <row r="167" spans="1:13" x14ac:dyDescent="0.3">
      <c r="A167" s="3" t="s">
        <v>74</v>
      </c>
      <c r="B167" s="3" t="s">
        <v>22</v>
      </c>
      <c r="C167" s="2">
        <v>45913</v>
      </c>
      <c r="D167" s="3" t="s">
        <v>34</v>
      </c>
      <c r="E167" s="3" t="s">
        <v>361</v>
      </c>
      <c r="F167" s="3">
        <v>17106</v>
      </c>
      <c r="G167" s="3">
        <v>702</v>
      </c>
      <c r="H167" s="3">
        <v>459</v>
      </c>
      <c r="I167" s="3">
        <v>999</v>
      </c>
      <c r="J167" s="3">
        <v>59627</v>
      </c>
      <c r="K167" s="3">
        <v>136059</v>
      </c>
      <c r="L167" s="3" t="s">
        <v>20</v>
      </c>
      <c r="M167" s="4">
        <v>0.13425793222058077</v>
      </c>
    </row>
    <row r="168" spans="1:13" x14ac:dyDescent="0.3">
      <c r="A168" s="3" t="s">
        <v>74</v>
      </c>
      <c r="B168" s="3" t="s">
        <v>22</v>
      </c>
      <c r="C168" s="2">
        <v>45913</v>
      </c>
      <c r="D168" s="3" t="s">
        <v>34</v>
      </c>
      <c r="E168" s="3" t="s">
        <v>362</v>
      </c>
      <c r="F168" s="3">
        <v>17106</v>
      </c>
      <c r="G168" s="3">
        <v>702</v>
      </c>
      <c r="H168" s="3">
        <v>459</v>
      </c>
      <c r="I168" s="3">
        <v>999</v>
      </c>
      <c r="J168" s="3">
        <v>59627</v>
      </c>
      <c r="K168" s="3">
        <v>136059</v>
      </c>
      <c r="L168" s="3" t="s">
        <v>20</v>
      </c>
      <c r="M168" s="4">
        <v>0.13425793222058077</v>
      </c>
    </row>
    <row r="169" spans="1:13" x14ac:dyDescent="0.3">
      <c r="A169" s="3" t="s">
        <v>204</v>
      </c>
      <c r="B169" s="3" t="s">
        <v>13</v>
      </c>
      <c r="C169" s="2">
        <v>45608</v>
      </c>
      <c r="D169" s="3" t="s">
        <v>14</v>
      </c>
      <c r="E169" s="3" t="s">
        <v>355</v>
      </c>
      <c r="F169" s="3">
        <v>19022</v>
      </c>
      <c r="G169" s="3">
        <v>541</v>
      </c>
      <c r="H169" s="3">
        <v>575</v>
      </c>
      <c r="I169" s="3">
        <v>2063</v>
      </c>
      <c r="J169" s="3">
        <v>42743</v>
      </c>
      <c r="K169" s="3">
        <v>150169</v>
      </c>
      <c r="L169" s="3" t="s">
        <v>16</v>
      </c>
      <c r="M169" s="4">
        <v>0.13410224480418728</v>
      </c>
    </row>
    <row r="170" spans="1:13" x14ac:dyDescent="0.3">
      <c r="A170" s="3" t="s">
        <v>204</v>
      </c>
      <c r="B170" s="3" t="s">
        <v>13</v>
      </c>
      <c r="C170" s="2">
        <v>45608</v>
      </c>
      <c r="D170" s="3" t="s">
        <v>14</v>
      </c>
      <c r="E170" s="3" t="s">
        <v>356</v>
      </c>
      <c r="F170" s="3">
        <v>19022</v>
      </c>
      <c r="G170" s="3">
        <v>541</v>
      </c>
      <c r="H170" s="3">
        <v>575</v>
      </c>
      <c r="I170" s="3">
        <v>2063</v>
      </c>
      <c r="J170" s="3">
        <v>42743</v>
      </c>
      <c r="K170" s="3">
        <v>150169</v>
      </c>
      <c r="L170" s="3" t="s">
        <v>16</v>
      </c>
      <c r="M170" s="4">
        <v>0.13410224480418728</v>
      </c>
    </row>
    <row r="171" spans="1:13" x14ac:dyDescent="0.3">
      <c r="A171" s="3" t="s">
        <v>95</v>
      </c>
      <c r="B171" s="3" t="s">
        <v>22</v>
      </c>
      <c r="C171" s="2">
        <v>45685</v>
      </c>
      <c r="D171" s="3" t="s">
        <v>23</v>
      </c>
      <c r="E171" s="3" t="s">
        <v>363</v>
      </c>
      <c r="F171" s="3">
        <v>9239</v>
      </c>
      <c r="G171" s="3">
        <v>1477</v>
      </c>
      <c r="H171" s="3">
        <v>631</v>
      </c>
      <c r="I171" s="3">
        <v>1556</v>
      </c>
      <c r="J171" s="3">
        <v>11580</v>
      </c>
      <c r="K171" s="3">
        <v>84738</v>
      </c>
      <c r="L171" s="3" t="s">
        <v>25</v>
      </c>
      <c r="M171" s="4">
        <v>0.13390686586891359</v>
      </c>
    </row>
    <row r="172" spans="1:13" x14ac:dyDescent="0.3">
      <c r="A172" s="3" t="s">
        <v>95</v>
      </c>
      <c r="B172" s="3" t="s">
        <v>22</v>
      </c>
      <c r="C172" s="2">
        <v>45685</v>
      </c>
      <c r="D172" s="3" t="s">
        <v>23</v>
      </c>
      <c r="E172" s="3" t="s">
        <v>364</v>
      </c>
      <c r="F172" s="3">
        <v>9239</v>
      </c>
      <c r="G172" s="3">
        <v>1477</v>
      </c>
      <c r="H172" s="3">
        <v>631</v>
      </c>
      <c r="I172" s="3">
        <v>1556</v>
      </c>
      <c r="J172" s="3">
        <v>11580</v>
      </c>
      <c r="K172" s="3">
        <v>84738</v>
      </c>
      <c r="L172" s="3" t="s">
        <v>25</v>
      </c>
      <c r="M172" s="4">
        <v>0.13390686586891359</v>
      </c>
    </row>
    <row r="173" spans="1:13" x14ac:dyDescent="0.3">
      <c r="A173" s="3" t="s">
        <v>183</v>
      </c>
      <c r="B173" s="3" t="s">
        <v>13</v>
      </c>
      <c r="C173" s="2">
        <v>45586</v>
      </c>
      <c r="D173" s="3" t="s">
        <v>23</v>
      </c>
      <c r="E173" s="3" t="s">
        <v>365</v>
      </c>
      <c r="F173" s="3">
        <v>20777</v>
      </c>
      <c r="G173" s="3">
        <v>962</v>
      </c>
      <c r="H173" s="3">
        <v>308</v>
      </c>
      <c r="I173" s="3">
        <v>2777</v>
      </c>
      <c r="J173" s="3">
        <v>25529</v>
      </c>
      <c r="K173" s="3">
        <v>165354</v>
      </c>
      <c r="L173" s="3" t="s">
        <v>16</v>
      </c>
      <c r="M173" s="4">
        <v>0.13333212380710477</v>
      </c>
    </row>
    <row r="174" spans="1:13" x14ac:dyDescent="0.3">
      <c r="A174" s="3" t="s">
        <v>183</v>
      </c>
      <c r="B174" s="3" t="s">
        <v>13</v>
      </c>
      <c r="C174" s="2">
        <v>45586</v>
      </c>
      <c r="D174" s="3" t="s">
        <v>23</v>
      </c>
      <c r="E174" s="3" t="s">
        <v>359</v>
      </c>
      <c r="F174" s="3">
        <v>20777</v>
      </c>
      <c r="G174" s="3">
        <v>962</v>
      </c>
      <c r="H174" s="3">
        <v>308</v>
      </c>
      <c r="I174" s="3">
        <v>2777</v>
      </c>
      <c r="J174" s="3">
        <v>25529</v>
      </c>
      <c r="K174" s="3">
        <v>165354</v>
      </c>
      <c r="L174" s="3" t="s">
        <v>16</v>
      </c>
      <c r="M174" s="4">
        <v>0.13333212380710477</v>
      </c>
    </row>
    <row r="175" spans="1:13" x14ac:dyDescent="0.3">
      <c r="A175" s="3" t="s">
        <v>107</v>
      </c>
      <c r="B175" s="3" t="s">
        <v>40</v>
      </c>
      <c r="C175" s="2">
        <v>45719</v>
      </c>
      <c r="D175" s="3" t="s">
        <v>34</v>
      </c>
      <c r="E175" s="3" t="s">
        <v>359</v>
      </c>
      <c r="F175" s="3">
        <v>24928</v>
      </c>
      <c r="G175" s="3">
        <v>214</v>
      </c>
      <c r="H175" s="3">
        <v>765</v>
      </c>
      <c r="I175" s="3">
        <v>1556</v>
      </c>
      <c r="J175" s="3">
        <v>5239</v>
      </c>
      <c r="K175" s="3">
        <v>194571</v>
      </c>
      <c r="L175" s="3" t="s">
        <v>45</v>
      </c>
      <c r="M175" s="4">
        <v>0.13314933880177415</v>
      </c>
    </row>
    <row r="176" spans="1:13" x14ac:dyDescent="0.3">
      <c r="A176" s="3" t="s">
        <v>107</v>
      </c>
      <c r="B176" s="3" t="s">
        <v>40</v>
      </c>
      <c r="C176" s="2">
        <v>45719</v>
      </c>
      <c r="D176" s="3" t="s">
        <v>34</v>
      </c>
      <c r="E176" s="3" t="s">
        <v>366</v>
      </c>
      <c r="F176" s="3">
        <v>24928</v>
      </c>
      <c r="G176" s="3">
        <v>214</v>
      </c>
      <c r="H176" s="3">
        <v>765</v>
      </c>
      <c r="I176" s="3">
        <v>1556</v>
      </c>
      <c r="J176" s="3">
        <v>5239</v>
      </c>
      <c r="K176" s="3">
        <v>194571</v>
      </c>
      <c r="L176" s="3" t="s">
        <v>45</v>
      </c>
      <c r="M176" s="4">
        <v>0.13314933880177415</v>
      </c>
    </row>
    <row r="177" spans="1:13" x14ac:dyDescent="0.3">
      <c r="A177" s="3" t="s">
        <v>301</v>
      </c>
      <c r="B177" s="3" t="s">
        <v>13</v>
      </c>
      <c r="C177" s="2">
        <v>45708</v>
      </c>
      <c r="D177" s="3" t="s">
        <v>34</v>
      </c>
      <c r="E177" s="3" t="s">
        <v>365</v>
      </c>
      <c r="F177" s="3">
        <v>15703</v>
      </c>
      <c r="G177" s="3">
        <v>1381</v>
      </c>
      <c r="H177" s="3">
        <v>639</v>
      </c>
      <c r="I177" s="3">
        <v>984</v>
      </c>
      <c r="J177" s="3">
        <v>10967</v>
      </c>
      <c r="K177" s="3">
        <v>133747</v>
      </c>
      <c r="L177" s="3" t="s">
        <v>45</v>
      </c>
      <c r="M177" s="4">
        <v>0.13251138343289942</v>
      </c>
    </row>
    <row r="178" spans="1:13" x14ac:dyDescent="0.3">
      <c r="A178" s="3" t="s">
        <v>301</v>
      </c>
      <c r="B178" s="3" t="s">
        <v>13</v>
      </c>
      <c r="C178" s="2">
        <v>45708</v>
      </c>
      <c r="D178" s="3" t="s">
        <v>34</v>
      </c>
      <c r="E178" s="3" t="s">
        <v>359</v>
      </c>
      <c r="F178" s="3">
        <v>15703</v>
      </c>
      <c r="G178" s="3">
        <v>1381</v>
      </c>
      <c r="H178" s="3">
        <v>639</v>
      </c>
      <c r="I178" s="3">
        <v>984</v>
      </c>
      <c r="J178" s="3">
        <v>10967</v>
      </c>
      <c r="K178" s="3">
        <v>133747</v>
      </c>
      <c r="L178" s="3" t="s">
        <v>45</v>
      </c>
      <c r="M178" s="4">
        <v>0.13251138343289942</v>
      </c>
    </row>
    <row r="179" spans="1:13" x14ac:dyDescent="0.3">
      <c r="A179" s="3" t="s">
        <v>33</v>
      </c>
      <c r="B179" s="3" t="s">
        <v>22</v>
      </c>
      <c r="C179" s="2">
        <v>45467</v>
      </c>
      <c r="D179" s="3" t="s">
        <v>34</v>
      </c>
      <c r="E179" s="3" t="s">
        <v>361</v>
      </c>
      <c r="F179" s="3">
        <v>7713</v>
      </c>
      <c r="G179" s="3">
        <v>575</v>
      </c>
      <c r="H179" s="3">
        <v>417</v>
      </c>
      <c r="I179" s="3">
        <v>336</v>
      </c>
      <c r="J179" s="3">
        <v>61660</v>
      </c>
      <c r="K179" s="3">
        <v>66017</v>
      </c>
      <c r="L179" s="3" t="s">
        <v>29</v>
      </c>
      <c r="M179" s="4">
        <v>0.13185997546086614</v>
      </c>
    </row>
    <row r="180" spans="1:13" x14ac:dyDescent="0.3">
      <c r="A180" s="3" t="s">
        <v>33</v>
      </c>
      <c r="B180" s="3" t="s">
        <v>22</v>
      </c>
      <c r="C180" s="2">
        <v>45467</v>
      </c>
      <c r="D180" s="3" t="s">
        <v>34</v>
      </c>
      <c r="E180" s="3" t="s">
        <v>362</v>
      </c>
      <c r="F180" s="3">
        <v>7713</v>
      </c>
      <c r="G180" s="3">
        <v>575</v>
      </c>
      <c r="H180" s="3">
        <v>417</v>
      </c>
      <c r="I180" s="3">
        <v>336</v>
      </c>
      <c r="J180" s="3">
        <v>61660</v>
      </c>
      <c r="K180" s="3">
        <v>66017</v>
      </c>
      <c r="L180" s="3" t="s">
        <v>29</v>
      </c>
      <c r="M180" s="4">
        <v>0.13185997546086614</v>
      </c>
    </row>
    <row r="181" spans="1:13" x14ac:dyDescent="0.3">
      <c r="A181" s="3" t="s">
        <v>136</v>
      </c>
      <c r="B181" s="3" t="s">
        <v>22</v>
      </c>
      <c r="C181" s="2">
        <v>45925</v>
      </c>
      <c r="D181" s="3" t="s">
        <v>14</v>
      </c>
      <c r="E181" s="3" t="s">
        <v>32</v>
      </c>
      <c r="F181" s="3">
        <v>20564</v>
      </c>
      <c r="G181" s="3">
        <v>1433</v>
      </c>
      <c r="H181" s="3">
        <v>488</v>
      </c>
      <c r="I181" s="3">
        <v>1015</v>
      </c>
      <c r="J181" s="3">
        <v>24333</v>
      </c>
      <c r="K181" s="3">
        <v>172130</v>
      </c>
      <c r="L181" s="3" t="s">
        <v>20</v>
      </c>
      <c r="M181" s="4">
        <v>0.13062801371056759</v>
      </c>
    </row>
    <row r="182" spans="1:13" x14ac:dyDescent="0.3">
      <c r="A182" s="3" t="s">
        <v>330</v>
      </c>
      <c r="B182" s="3" t="s">
        <v>40</v>
      </c>
      <c r="C182" s="2">
        <v>45462</v>
      </c>
      <c r="D182" s="3" t="s">
        <v>34</v>
      </c>
      <c r="E182" s="3" t="s">
        <v>367</v>
      </c>
      <c r="F182" s="3">
        <v>20444</v>
      </c>
      <c r="G182" s="3">
        <v>233</v>
      </c>
      <c r="H182" s="3">
        <v>189</v>
      </c>
      <c r="I182" s="3">
        <v>2879</v>
      </c>
      <c r="J182" s="3">
        <v>28185</v>
      </c>
      <c r="K182" s="3">
        <v>159891</v>
      </c>
      <c r="L182" s="3" t="s">
        <v>29</v>
      </c>
      <c r="M182" s="4">
        <v>0.13050140408153055</v>
      </c>
    </row>
    <row r="183" spans="1:13" x14ac:dyDescent="0.3">
      <c r="A183" s="3" t="s">
        <v>330</v>
      </c>
      <c r="B183" s="3" t="s">
        <v>40</v>
      </c>
      <c r="C183" s="2">
        <v>45462</v>
      </c>
      <c r="D183" s="3" t="s">
        <v>34</v>
      </c>
      <c r="E183" s="3" t="s">
        <v>32</v>
      </c>
      <c r="F183" s="3">
        <v>20444</v>
      </c>
      <c r="G183" s="3">
        <v>233</v>
      </c>
      <c r="H183" s="3">
        <v>189</v>
      </c>
      <c r="I183" s="3">
        <v>2879</v>
      </c>
      <c r="J183" s="3">
        <v>28185</v>
      </c>
      <c r="K183" s="3">
        <v>159891</v>
      </c>
      <c r="L183" s="3" t="s">
        <v>29</v>
      </c>
      <c r="M183" s="4">
        <v>0.13050140408153055</v>
      </c>
    </row>
    <row r="184" spans="1:13" x14ac:dyDescent="0.3">
      <c r="A184" s="3" t="s">
        <v>12</v>
      </c>
      <c r="B184" s="3" t="s">
        <v>13</v>
      </c>
      <c r="C184" s="2">
        <v>45649</v>
      </c>
      <c r="D184" s="3" t="s">
        <v>14</v>
      </c>
      <c r="E184" s="3" t="s">
        <v>353</v>
      </c>
      <c r="F184" s="3">
        <v>24516</v>
      </c>
      <c r="G184" s="3">
        <v>976</v>
      </c>
      <c r="H184" s="3">
        <v>974</v>
      </c>
      <c r="I184" s="3">
        <v>2675</v>
      </c>
      <c r="J184" s="3">
        <v>23275</v>
      </c>
      <c r="K184" s="3">
        <v>202932</v>
      </c>
      <c r="L184" s="3" t="s">
        <v>16</v>
      </c>
      <c r="M184" s="4">
        <v>0.13041807107799658</v>
      </c>
    </row>
    <row r="185" spans="1:13" x14ac:dyDescent="0.3">
      <c r="A185" s="3" t="s">
        <v>12</v>
      </c>
      <c r="B185" s="3" t="s">
        <v>13</v>
      </c>
      <c r="C185" s="2">
        <v>45649</v>
      </c>
      <c r="D185" s="3" t="s">
        <v>14</v>
      </c>
      <c r="E185" s="3" t="s">
        <v>354</v>
      </c>
      <c r="F185" s="3">
        <v>24516</v>
      </c>
      <c r="G185" s="3">
        <v>976</v>
      </c>
      <c r="H185" s="3">
        <v>974</v>
      </c>
      <c r="I185" s="3">
        <v>2675</v>
      </c>
      <c r="J185" s="3">
        <v>23275</v>
      </c>
      <c r="K185" s="3">
        <v>202932</v>
      </c>
      <c r="L185" s="3" t="s">
        <v>16</v>
      </c>
      <c r="M185" s="4">
        <v>0.13041807107799658</v>
      </c>
    </row>
    <row r="186" spans="1:13" x14ac:dyDescent="0.3">
      <c r="A186" s="3" t="s">
        <v>120</v>
      </c>
      <c r="B186" s="3" t="s">
        <v>18</v>
      </c>
      <c r="C186" s="2">
        <v>45635</v>
      </c>
      <c r="D186" s="3" t="s">
        <v>14</v>
      </c>
      <c r="E186" s="3" t="s">
        <v>355</v>
      </c>
      <c r="F186" s="3">
        <v>15051</v>
      </c>
      <c r="G186" s="3">
        <v>268</v>
      </c>
      <c r="H186" s="3">
        <v>251</v>
      </c>
      <c r="I186" s="3">
        <v>783</v>
      </c>
      <c r="J186" s="3">
        <v>34154</v>
      </c>
      <c r="K186" s="3">
        <v>119671</v>
      </c>
      <c r="L186" s="3" t="s">
        <v>29</v>
      </c>
      <c r="M186" s="4">
        <v>0.13010670922779954</v>
      </c>
    </row>
    <row r="187" spans="1:13" x14ac:dyDescent="0.3">
      <c r="A187" s="3" t="s">
        <v>120</v>
      </c>
      <c r="B187" s="3" t="s">
        <v>18</v>
      </c>
      <c r="C187" s="2">
        <v>45635</v>
      </c>
      <c r="D187" s="3" t="s">
        <v>14</v>
      </c>
      <c r="E187" s="3" t="s">
        <v>356</v>
      </c>
      <c r="F187" s="3">
        <v>15051</v>
      </c>
      <c r="G187" s="3">
        <v>268</v>
      </c>
      <c r="H187" s="3">
        <v>251</v>
      </c>
      <c r="I187" s="3">
        <v>783</v>
      </c>
      <c r="J187" s="3">
        <v>34154</v>
      </c>
      <c r="K187" s="3">
        <v>119671</v>
      </c>
      <c r="L187" s="3" t="s">
        <v>29</v>
      </c>
      <c r="M187" s="4">
        <v>0.13010670922779954</v>
      </c>
    </row>
    <row r="188" spans="1:13" x14ac:dyDescent="0.3">
      <c r="A188" s="3" t="s">
        <v>88</v>
      </c>
      <c r="B188" s="3" t="s">
        <v>13</v>
      </c>
      <c r="C188" s="2">
        <v>45712</v>
      </c>
      <c r="D188" s="3" t="s">
        <v>14</v>
      </c>
      <c r="E188" s="3" t="s">
        <v>359</v>
      </c>
      <c r="F188" s="3">
        <v>23949</v>
      </c>
      <c r="G188" s="3">
        <v>356</v>
      </c>
      <c r="H188" s="3">
        <v>616</v>
      </c>
      <c r="I188" s="3">
        <v>1847</v>
      </c>
      <c r="J188" s="3">
        <v>3144</v>
      </c>
      <c r="K188" s="3">
        <v>192999</v>
      </c>
      <c r="L188" s="3" t="s">
        <v>29</v>
      </c>
      <c r="M188" s="4">
        <v>0.12912502137316773</v>
      </c>
    </row>
    <row r="189" spans="1:13" x14ac:dyDescent="0.3">
      <c r="A189" s="3" t="s">
        <v>88</v>
      </c>
      <c r="B189" s="3" t="s">
        <v>13</v>
      </c>
      <c r="C189" s="2">
        <v>45712</v>
      </c>
      <c r="D189" s="3" t="s">
        <v>14</v>
      </c>
      <c r="E189" s="3" t="s">
        <v>366</v>
      </c>
      <c r="F189" s="3">
        <v>23949</v>
      </c>
      <c r="G189" s="3">
        <v>356</v>
      </c>
      <c r="H189" s="3">
        <v>616</v>
      </c>
      <c r="I189" s="3">
        <v>1847</v>
      </c>
      <c r="J189" s="3">
        <v>3144</v>
      </c>
      <c r="K189" s="3">
        <v>192999</v>
      </c>
      <c r="L189" s="3" t="s">
        <v>29</v>
      </c>
      <c r="M189" s="4">
        <v>0.12912502137316773</v>
      </c>
    </row>
    <row r="190" spans="1:13" x14ac:dyDescent="0.3">
      <c r="A190" s="3" t="s">
        <v>174</v>
      </c>
      <c r="B190" s="3" t="s">
        <v>22</v>
      </c>
      <c r="C190" s="2">
        <v>45745</v>
      </c>
      <c r="D190" s="3" t="s">
        <v>34</v>
      </c>
      <c r="E190" s="3" t="s">
        <v>357</v>
      </c>
      <c r="F190" s="3">
        <v>23508</v>
      </c>
      <c r="G190" s="3">
        <v>585</v>
      </c>
      <c r="H190" s="3">
        <v>743</v>
      </c>
      <c r="I190" s="3">
        <v>2155</v>
      </c>
      <c r="J190" s="3">
        <v>3704</v>
      </c>
      <c r="K190" s="3">
        <v>194268</v>
      </c>
      <c r="L190" s="3" t="s">
        <v>29</v>
      </c>
      <c r="M190" s="4">
        <v>0.1278440093067309</v>
      </c>
    </row>
    <row r="191" spans="1:13" x14ac:dyDescent="0.3">
      <c r="A191" s="3" t="s">
        <v>174</v>
      </c>
      <c r="B191" s="3" t="s">
        <v>22</v>
      </c>
      <c r="C191" s="2">
        <v>45745</v>
      </c>
      <c r="D191" s="3" t="s">
        <v>34</v>
      </c>
      <c r="E191" s="3" t="s">
        <v>358</v>
      </c>
      <c r="F191" s="3">
        <v>23508</v>
      </c>
      <c r="G191" s="3">
        <v>585</v>
      </c>
      <c r="H191" s="3">
        <v>743</v>
      </c>
      <c r="I191" s="3">
        <v>2155</v>
      </c>
      <c r="J191" s="3">
        <v>3704</v>
      </c>
      <c r="K191" s="3">
        <v>194268</v>
      </c>
      <c r="L191" s="3" t="s">
        <v>29</v>
      </c>
      <c r="M191" s="4">
        <v>0.1278440093067309</v>
      </c>
    </row>
    <row r="192" spans="1:13" x14ac:dyDescent="0.3">
      <c r="A192" s="3" t="s">
        <v>230</v>
      </c>
      <c r="B192" s="3" t="s">
        <v>13</v>
      </c>
      <c r="C192" s="2">
        <v>45567</v>
      </c>
      <c r="D192" s="3" t="s">
        <v>27</v>
      </c>
      <c r="E192" s="3" t="s">
        <v>361</v>
      </c>
      <c r="F192" s="3">
        <v>5086</v>
      </c>
      <c r="G192" s="3">
        <v>1336</v>
      </c>
      <c r="H192" s="3">
        <v>897</v>
      </c>
      <c r="I192" s="3">
        <v>1715</v>
      </c>
      <c r="J192" s="3">
        <v>60592</v>
      </c>
      <c r="K192" s="3">
        <v>57772</v>
      </c>
      <c r="L192" s="3" t="s">
        <v>25</v>
      </c>
      <c r="M192" s="4">
        <v>0.12668766876687668</v>
      </c>
    </row>
    <row r="193" spans="1:13" x14ac:dyDescent="0.3">
      <c r="A193" s="3" t="s">
        <v>230</v>
      </c>
      <c r="B193" s="3" t="s">
        <v>13</v>
      </c>
      <c r="C193" s="2">
        <v>45567</v>
      </c>
      <c r="D193" s="3" t="s">
        <v>27</v>
      </c>
      <c r="E193" s="3" t="s">
        <v>362</v>
      </c>
      <c r="F193" s="3">
        <v>5086</v>
      </c>
      <c r="G193" s="3">
        <v>1336</v>
      </c>
      <c r="H193" s="3">
        <v>897</v>
      </c>
      <c r="I193" s="3">
        <v>1715</v>
      </c>
      <c r="J193" s="3">
        <v>60592</v>
      </c>
      <c r="K193" s="3">
        <v>57772</v>
      </c>
      <c r="L193" s="3" t="s">
        <v>25</v>
      </c>
      <c r="M193" s="4">
        <v>0.12668766876687668</v>
      </c>
    </row>
    <row r="194" spans="1:13" x14ac:dyDescent="0.3">
      <c r="A194" s="3" t="s">
        <v>171</v>
      </c>
      <c r="B194" s="3" t="s">
        <v>13</v>
      </c>
      <c r="C194" s="2">
        <v>45624</v>
      </c>
      <c r="D194" s="3" t="s">
        <v>34</v>
      </c>
      <c r="E194" s="3" t="s">
        <v>365</v>
      </c>
      <c r="F194" s="3">
        <v>19055</v>
      </c>
      <c r="G194" s="3">
        <v>443</v>
      </c>
      <c r="H194" s="3">
        <v>976</v>
      </c>
      <c r="I194" s="3">
        <v>869</v>
      </c>
      <c r="J194" s="3">
        <v>75437</v>
      </c>
      <c r="K194" s="3">
        <v>161863</v>
      </c>
      <c r="L194" s="3" t="s">
        <v>25</v>
      </c>
      <c r="M194" s="4">
        <v>0.12648968572187591</v>
      </c>
    </row>
    <row r="195" spans="1:13" x14ac:dyDescent="0.3">
      <c r="A195" s="3" t="s">
        <v>171</v>
      </c>
      <c r="B195" s="3" t="s">
        <v>13</v>
      </c>
      <c r="C195" s="2">
        <v>45624</v>
      </c>
      <c r="D195" s="3" t="s">
        <v>34</v>
      </c>
      <c r="E195" s="3" t="s">
        <v>359</v>
      </c>
      <c r="F195" s="3">
        <v>19055</v>
      </c>
      <c r="G195" s="3">
        <v>443</v>
      </c>
      <c r="H195" s="3">
        <v>976</v>
      </c>
      <c r="I195" s="3">
        <v>869</v>
      </c>
      <c r="J195" s="3">
        <v>75437</v>
      </c>
      <c r="K195" s="3">
        <v>161863</v>
      </c>
      <c r="L195" s="3" t="s">
        <v>25</v>
      </c>
      <c r="M195" s="4">
        <v>0.12648968572187591</v>
      </c>
    </row>
    <row r="196" spans="1:13" x14ac:dyDescent="0.3">
      <c r="A196" s="3" t="s">
        <v>241</v>
      </c>
      <c r="B196" s="3" t="s">
        <v>18</v>
      </c>
      <c r="C196" s="2">
        <v>45923</v>
      </c>
      <c r="D196" s="3" t="s">
        <v>23</v>
      </c>
      <c r="E196" s="3" t="s">
        <v>359</v>
      </c>
      <c r="F196" s="3">
        <v>17147</v>
      </c>
      <c r="G196" s="3">
        <v>286</v>
      </c>
      <c r="H196" s="3">
        <v>291</v>
      </c>
      <c r="I196" s="3">
        <v>2439</v>
      </c>
      <c r="J196" s="3">
        <v>45631</v>
      </c>
      <c r="K196" s="3">
        <v>140494</v>
      </c>
      <c r="L196" s="3" t="s">
        <v>20</v>
      </c>
      <c r="M196" s="4">
        <v>0.12615485358805359</v>
      </c>
    </row>
    <row r="197" spans="1:13" x14ac:dyDescent="0.3">
      <c r="A197" s="3" t="s">
        <v>241</v>
      </c>
      <c r="B197" s="3" t="s">
        <v>18</v>
      </c>
      <c r="C197" s="2">
        <v>45923</v>
      </c>
      <c r="D197" s="3" t="s">
        <v>23</v>
      </c>
      <c r="E197" s="3" t="s">
        <v>366</v>
      </c>
      <c r="F197" s="3">
        <v>17147</v>
      </c>
      <c r="G197" s="3">
        <v>286</v>
      </c>
      <c r="H197" s="3">
        <v>291</v>
      </c>
      <c r="I197" s="3">
        <v>2439</v>
      </c>
      <c r="J197" s="3">
        <v>45631</v>
      </c>
      <c r="K197" s="3">
        <v>140494</v>
      </c>
      <c r="L197" s="3" t="s">
        <v>20</v>
      </c>
      <c r="M197" s="4">
        <v>0.12615485358805359</v>
      </c>
    </row>
    <row r="198" spans="1:13" x14ac:dyDescent="0.3">
      <c r="A198" s="3" t="s">
        <v>58</v>
      </c>
      <c r="B198" s="3" t="s">
        <v>18</v>
      </c>
      <c r="C198" s="2">
        <v>45680</v>
      </c>
      <c r="D198" s="3" t="s">
        <v>27</v>
      </c>
      <c r="E198" s="3" t="s">
        <v>365</v>
      </c>
      <c r="F198" s="3">
        <v>23168</v>
      </c>
      <c r="G198" s="3">
        <v>1265</v>
      </c>
      <c r="H198" s="3">
        <v>441</v>
      </c>
      <c r="I198" s="3">
        <v>1612</v>
      </c>
      <c r="J198" s="3">
        <v>66615</v>
      </c>
      <c r="K198" s="3">
        <v>197795</v>
      </c>
      <c r="L198" s="3" t="s">
        <v>29</v>
      </c>
      <c r="M198" s="4">
        <v>0.12575646502692181</v>
      </c>
    </row>
    <row r="199" spans="1:13" x14ac:dyDescent="0.3">
      <c r="A199" s="3" t="s">
        <v>58</v>
      </c>
      <c r="B199" s="3" t="s">
        <v>18</v>
      </c>
      <c r="C199" s="2">
        <v>45680</v>
      </c>
      <c r="D199" s="3" t="s">
        <v>27</v>
      </c>
      <c r="E199" s="3" t="s">
        <v>359</v>
      </c>
      <c r="F199" s="3">
        <v>23168</v>
      </c>
      <c r="G199" s="3">
        <v>1265</v>
      </c>
      <c r="H199" s="3">
        <v>441</v>
      </c>
      <c r="I199" s="3">
        <v>1612</v>
      </c>
      <c r="J199" s="3">
        <v>66615</v>
      </c>
      <c r="K199" s="3">
        <v>197795</v>
      </c>
      <c r="L199" s="3" t="s">
        <v>29</v>
      </c>
      <c r="M199" s="4">
        <v>0.12575646502692181</v>
      </c>
    </row>
    <row r="200" spans="1:13" x14ac:dyDescent="0.3">
      <c r="A200" s="3" t="s">
        <v>307</v>
      </c>
      <c r="B200" s="3" t="s">
        <v>40</v>
      </c>
      <c r="C200" s="2">
        <v>45582</v>
      </c>
      <c r="D200" s="3" t="s">
        <v>27</v>
      </c>
      <c r="E200" s="3" t="s">
        <v>357</v>
      </c>
      <c r="F200" s="3">
        <v>18608</v>
      </c>
      <c r="G200" s="3">
        <v>1338</v>
      </c>
      <c r="H200" s="3">
        <v>365</v>
      </c>
      <c r="I200" s="3">
        <v>2289</v>
      </c>
      <c r="J200" s="3">
        <v>20785</v>
      </c>
      <c r="K200" s="3">
        <v>161999</v>
      </c>
      <c r="L200" s="3" t="s">
        <v>16</v>
      </c>
      <c r="M200" s="4">
        <v>0.12537731714393299</v>
      </c>
    </row>
    <row r="201" spans="1:13" x14ac:dyDescent="0.3">
      <c r="A201" s="3" t="s">
        <v>307</v>
      </c>
      <c r="B201" s="3" t="s">
        <v>40</v>
      </c>
      <c r="C201" s="2">
        <v>45582</v>
      </c>
      <c r="D201" s="3" t="s">
        <v>27</v>
      </c>
      <c r="E201" s="3" t="s">
        <v>358</v>
      </c>
      <c r="F201" s="3">
        <v>18608</v>
      </c>
      <c r="G201" s="3">
        <v>1338</v>
      </c>
      <c r="H201" s="3">
        <v>365</v>
      </c>
      <c r="I201" s="3">
        <v>2289</v>
      </c>
      <c r="J201" s="3">
        <v>20785</v>
      </c>
      <c r="K201" s="3">
        <v>161999</v>
      </c>
      <c r="L201" s="3" t="s">
        <v>16</v>
      </c>
      <c r="M201" s="4">
        <v>0.12537731714393299</v>
      </c>
    </row>
    <row r="202" spans="1:13" x14ac:dyDescent="0.3">
      <c r="A202" s="3" t="s">
        <v>167</v>
      </c>
      <c r="B202" s="3" t="s">
        <v>18</v>
      </c>
      <c r="C202" s="2">
        <v>45586</v>
      </c>
      <c r="D202" s="3" t="s">
        <v>14</v>
      </c>
      <c r="E202" s="3" t="s">
        <v>365</v>
      </c>
      <c r="F202" s="3">
        <v>20271</v>
      </c>
      <c r="G202" s="3">
        <v>512</v>
      </c>
      <c r="H202" s="3">
        <v>286</v>
      </c>
      <c r="I202" s="3">
        <v>1982</v>
      </c>
      <c r="J202" s="3">
        <v>43225</v>
      </c>
      <c r="K202" s="3">
        <v>168335</v>
      </c>
      <c r="L202" s="3" t="s">
        <v>29</v>
      </c>
      <c r="M202" s="4">
        <v>0.12516113701844536</v>
      </c>
    </row>
    <row r="203" spans="1:13" x14ac:dyDescent="0.3">
      <c r="A203" s="3" t="s">
        <v>167</v>
      </c>
      <c r="B203" s="3" t="s">
        <v>18</v>
      </c>
      <c r="C203" s="2">
        <v>45586</v>
      </c>
      <c r="D203" s="3" t="s">
        <v>14</v>
      </c>
      <c r="E203" s="3" t="s">
        <v>359</v>
      </c>
      <c r="F203" s="3">
        <v>20271</v>
      </c>
      <c r="G203" s="3">
        <v>512</v>
      </c>
      <c r="H203" s="3">
        <v>286</v>
      </c>
      <c r="I203" s="3">
        <v>1982</v>
      </c>
      <c r="J203" s="3">
        <v>43225</v>
      </c>
      <c r="K203" s="3">
        <v>168335</v>
      </c>
      <c r="L203" s="3" t="s">
        <v>29</v>
      </c>
      <c r="M203" s="4">
        <v>0.12516113701844536</v>
      </c>
    </row>
    <row r="204" spans="1:13" x14ac:dyDescent="0.3">
      <c r="A204" s="3" t="s">
        <v>71</v>
      </c>
      <c r="B204" s="3" t="s">
        <v>22</v>
      </c>
      <c r="C204" s="2">
        <v>45766</v>
      </c>
      <c r="D204" s="3" t="s">
        <v>34</v>
      </c>
      <c r="E204" s="3" t="s">
        <v>64</v>
      </c>
      <c r="F204" s="3">
        <v>20384</v>
      </c>
      <c r="G204" s="3">
        <v>344</v>
      </c>
      <c r="H204" s="3">
        <v>956</v>
      </c>
      <c r="I204" s="3">
        <v>655</v>
      </c>
      <c r="J204" s="3">
        <v>67621</v>
      </c>
      <c r="K204" s="3">
        <v>175720</v>
      </c>
      <c r="L204" s="3" t="s">
        <v>25</v>
      </c>
      <c r="M204" s="4">
        <v>0.12340086501251991</v>
      </c>
    </row>
    <row r="205" spans="1:13" x14ac:dyDescent="0.3">
      <c r="A205" s="3" t="s">
        <v>180</v>
      </c>
      <c r="B205" s="3" t="s">
        <v>18</v>
      </c>
      <c r="C205" s="2">
        <v>45593</v>
      </c>
      <c r="D205" s="3" t="s">
        <v>34</v>
      </c>
      <c r="E205" s="3" t="s">
        <v>367</v>
      </c>
      <c r="F205" s="3">
        <v>8981</v>
      </c>
      <c r="G205" s="3">
        <v>1138</v>
      </c>
      <c r="H205" s="3">
        <v>764</v>
      </c>
      <c r="I205" s="3">
        <v>2555</v>
      </c>
      <c r="J205" s="3">
        <v>92810</v>
      </c>
      <c r="K205" s="3">
        <v>88320</v>
      </c>
      <c r="L205" s="3" t="s">
        <v>45</v>
      </c>
      <c r="M205" s="4">
        <v>0.1232223731884058</v>
      </c>
    </row>
    <row r="206" spans="1:13" x14ac:dyDescent="0.3">
      <c r="A206" s="3" t="s">
        <v>180</v>
      </c>
      <c r="B206" s="3" t="s">
        <v>18</v>
      </c>
      <c r="C206" s="2">
        <v>45593</v>
      </c>
      <c r="D206" s="3" t="s">
        <v>34</v>
      </c>
      <c r="E206" s="3" t="s">
        <v>32</v>
      </c>
      <c r="F206" s="3">
        <v>8981</v>
      </c>
      <c r="G206" s="3">
        <v>1138</v>
      </c>
      <c r="H206" s="3">
        <v>764</v>
      </c>
      <c r="I206" s="3">
        <v>2555</v>
      </c>
      <c r="J206" s="3">
        <v>92810</v>
      </c>
      <c r="K206" s="3">
        <v>88320</v>
      </c>
      <c r="L206" s="3" t="s">
        <v>45</v>
      </c>
      <c r="M206" s="4">
        <v>0.1232223731884058</v>
      </c>
    </row>
    <row r="207" spans="1:13" x14ac:dyDescent="0.3">
      <c r="A207" s="3" t="s">
        <v>193</v>
      </c>
      <c r="B207" s="3" t="s">
        <v>13</v>
      </c>
      <c r="C207" s="2">
        <v>45496</v>
      </c>
      <c r="D207" s="3" t="s">
        <v>27</v>
      </c>
      <c r="E207" s="3" t="s">
        <v>367</v>
      </c>
      <c r="F207" s="3">
        <v>24877</v>
      </c>
      <c r="G207" s="3">
        <v>262</v>
      </c>
      <c r="H207" s="3">
        <v>513</v>
      </c>
      <c r="I207" s="3">
        <v>648</v>
      </c>
      <c r="J207" s="3">
        <v>47544</v>
      </c>
      <c r="K207" s="3">
        <v>208280</v>
      </c>
      <c r="L207" s="3" t="s">
        <v>25</v>
      </c>
      <c r="M207" s="4">
        <v>0.12316112924908777</v>
      </c>
    </row>
    <row r="208" spans="1:13" x14ac:dyDescent="0.3">
      <c r="A208" s="3" t="s">
        <v>193</v>
      </c>
      <c r="B208" s="3" t="s">
        <v>13</v>
      </c>
      <c r="C208" s="2">
        <v>45496</v>
      </c>
      <c r="D208" s="3" t="s">
        <v>27</v>
      </c>
      <c r="E208" s="3" t="s">
        <v>32</v>
      </c>
      <c r="F208" s="3">
        <v>24877</v>
      </c>
      <c r="G208" s="3">
        <v>262</v>
      </c>
      <c r="H208" s="3">
        <v>513</v>
      </c>
      <c r="I208" s="3">
        <v>648</v>
      </c>
      <c r="J208" s="3">
        <v>47544</v>
      </c>
      <c r="K208" s="3">
        <v>208280</v>
      </c>
      <c r="L208" s="3" t="s">
        <v>25</v>
      </c>
      <c r="M208" s="4">
        <v>0.12316112924908777</v>
      </c>
    </row>
    <row r="209" spans="1:13" x14ac:dyDescent="0.3">
      <c r="A209" s="3" t="s">
        <v>145</v>
      </c>
      <c r="B209" s="3" t="s">
        <v>40</v>
      </c>
      <c r="C209" s="2">
        <v>45512</v>
      </c>
      <c r="D209" s="3" t="s">
        <v>34</v>
      </c>
      <c r="E209" s="3" t="s">
        <v>363</v>
      </c>
      <c r="F209" s="3">
        <v>24355</v>
      </c>
      <c r="G209" s="3">
        <v>1087</v>
      </c>
      <c r="H209" s="3">
        <v>686</v>
      </c>
      <c r="I209" s="3">
        <v>2426</v>
      </c>
      <c r="J209" s="3">
        <v>24963</v>
      </c>
      <c r="K209" s="3">
        <v>212307</v>
      </c>
      <c r="L209" s="3" t="s">
        <v>16</v>
      </c>
      <c r="M209" s="4">
        <v>0.1230670679723231</v>
      </c>
    </row>
    <row r="210" spans="1:13" x14ac:dyDescent="0.3">
      <c r="A210" s="3" t="s">
        <v>145</v>
      </c>
      <c r="B210" s="3" t="s">
        <v>40</v>
      </c>
      <c r="C210" s="2">
        <v>45512</v>
      </c>
      <c r="D210" s="3" t="s">
        <v>34</v>
      </c>
      <c r="E210" s="3" t="s">
        <v>364</v>
      </c>
      <c r="F210" s="3">
        <v>24355</v>
      </c>
      <c r="G210" s="3">
        <v>1087</v>
      </c>
      <c r="H210" s="3">
        <v>686</v>
      </c>
      <c r="I210" s="3">
        <v>2426</v>
      </c>
      <c r="J210" s="3">
        <v>24963</v>
      </c>
      <c r="K210" s="3">
        <v>212307</v>
      </c>
      <c r="L210" s="3" t="s">
        <v>16</v>
      </c>
      <c r="M210" s="4">
        <v>0.1230670679723231</v>
      </c>
    </row>
    <row r="211" spans="1:13" x14ac:dyDescent="0.3">
      <c r="A211" s="3" t="s">
        <v>253</v>
      </c>
      <c r="B211" s="3" t="s">
        <v>18</v>
      </c>
      <c r="C211" s="2">
        <v>45926</v>
      </c>
      <c r="D211" s="3" t="s">
        <v>34</v>
      </c>
      <c r="E211" s="3" t="s">
        <v>353</v>
      </c>
      <c r="F211" s="3">
        <v>16369</v>
      </c>
      <c r="G211" s="3">
        <v>1452</v>
      </c>
      <c r="H211" s="3">
        <v>493</v>
      </c>
      <c r="I211" s="3">
        <v>1217</v>
      </c>
      <c r="J211" s="3">
        <v>91440</v>
      </c>
      <c r="K211" s="3">
        <v>149834</v>
      </c>
      <c r="L211" s="3" t="s">
        <v>20</v>
      </c>
      <c r="M211" s="4">
        <v>0.12222859965027964</v>
      </c>
    </row>
    <row r="212" spans="1:13" x14ac:dyDescent="0.3">
      <c r="A212" s="3" t="s">
        <v>253</v>
      </c>
      <c r="B212" s="3" t="s">
        <v>18</v>
      </c>
      <c r="C212" s="2">
        <v>45926</v>
      </c>
      <c r="D212" s="3" t="s">
        <v>34</v>
      </c>
      <c r="E212" s="3" t="s">
        <v>354</v>
      </c>
      <c r="F212" s="3">
        <v>16369</v>
      </c>
      <c r="G212" s="3">
        <v>1452</v>
      </c>
      <c r="H212" s="3">
        <v>493</v>
      </c>
      <c r="I212" s="3">
        <v>1217</v>
      </c>
      <c r="J212" s="3">
        <v>91440</v>
      </c>
      <c r="K212" s="3">
        <v>149834</v>
      </c>
      <c r="L212" s="3" t="s">
        <v>20</v>
      </c>
      <c r="M212" s="4">
        <v>0.12222859965027964</v>
      </c>
    </row>
    <row r="213" spans="1:13" x14ac:dyDescent="0.3">
      <c r="A213" s="3" t="s">
        <v>101</v>
      </c>
      <c r="B213" s="3" t="s">
        <v>40</v>
      </c>
      <c r="C213" s="2">
        <v>45499</v>
      </c>
      <c r="D213" s="3" t="s">
        <v>23</v>
      </c>
      <c r="E213" s="3" t="s">
        <v>363</v>
      </c>
      <c r="F213" s="3">
        <v>12176</v>
      </c>
      <c r="G213" s="3">
        <v>1005</v>
      </c>
      <c r="H213" s="3">
        <v>862</v>
      </c>
      <c r="I213" s="3">
        <v>974</v>
      </c>
      <c r="J213" s="3">
        <v>2285</v>
      </c>
      <c r="K213" s="3">
        <v>116619</v>
      </c>
      <c r="L213" s="3" t="s">
        <v>29</v>
      </c>
      <c r="M213" s="4">
        <v>0.12041777068916729</v>
      </c>
    </row>
    <row r="214" spans="1:13" x14ac:dyDescent="0.3">
      <c r="A214" s="3" t="s">
        <v>101</v>
      </c>
      <c r="B214" s="3" t="s">
        <v>40</v>
      </c>
      <c r="C214" s="2">
        <v>45499</v>
      </c>
      <c r="D214" s="3" t="s">
        <v>23</v>
      </c>
      <c r="E214" s="3" t="s">
        <v>364</v>
      </c>
      <c r="F214" s="3">
        <v>12176</v>
      </c>
      <c r="G214" s="3">
        <v>1005</v>
      </c>
      <c r="H214" s="3">
        <v>862</v>
      </c>
      <c r="I214" s="3">
        <v>974</v>
      </c>
      <c r="J214" s="3">
        <v>2285</v>
      </c>
      <c r="K214" s="3">
        <v>116619</v>
      </c>
      <c r="L214" s="3" t="s">
        <v>29</v>
      </c>
      <c r="M214" s="4">
        <v>0.12041777068916729</v>
      </c>
    </row>
    <row r="215" spans="1:13" x14ac:dyDescent="0.3">
      <c r="A215" s="3" t="s">
        <v>264</v>
      </c>
      <c r="B215" s="3" t="s">
        <v>40</v>
      </c>
      <c r="C215" s="2">
        <v>45474</v>
      </c>
      <c r="D215" s="3" t="s">
        <v>27</v>
      </c>
      <c r="E215" s="3" t="s">
        <v>357</v>
      </c>
      <c r="F215" s="3">
        <v>3761</v>
      </c>
      <c r="G215" s="3">
        <v>651</v>
      </c>
      <c r="H215" s="3">
        <v>493</v>
      </c>
      <c r="I215" s="3">
        <v>2294</v>
      </c>
      <c r="J215" s="3">
        <v>71696</v>
      </c>
      <c r="K215" s="3">
        <v>41177</v>
      </c>
      <c r="L215" s="3" t="s">
        <v>16</v>
      </c>
      <c r="M215" s="4">
        <v>0.11911989702989532</v>
      </c>
    </row>
    <row r="216" spans="1:13" x14ac:dyDescent="0.3">
      <c r="A216" s="3" t="s">
        <v>264</v>
      </c>
      <c r="B216" s="3" t="s">
        <v>40</v>
      </c>
      <c r="C216" s="2">
        <v>45474</v>
      </c>
      <c r="D216" s="3" t="s">
        <v>27</v>
      </c>
      <c r="E216" s="3" t="s">
        <v>358</v>
      </c>
      <c r="F216" s="3">
        <v>3761</v>
      </c>
      <c r="G216" s="3">
        <v>651</v>
      </c>
      <c r="H216" s="3">
        <v>493</v>
      </c>
      <c r="I216" s="3">
        <v>2294</v>
      </c>
      <c r="J216" s="3">
        <v>71696</v>
      </c>
      <c r="K216" s="3">
        <v>41177</v>
      </c>
      <c r="L216" s="3" t="s">
        <v>16</v>
      </c>
      <c r="M216" s="4">
        <v>0.11911989702989532</v>
      </c>
    </row>
    <row r="217" spans="1:13" x14ac:dyDescent="0.3">
      <c r="A217" s="3" t="s">
        <v>270</v>
      </c>
      <c r="B217" s="3" t="s">
        <v>18</v>
      </c>
      <c r="C217" s="2">
        <v>45444</v>
      </c>
      <c r="D217" s="3" t="s">
        <v>14</v>
      </c>
      <c r="E217" s="3" t="s">
        <v>361</v>
      </c>
      <c r="F217" s="3">
        <v>19844</v>
      </c>
      <c r="G217" s="3">
        <v>1022</v>
      </c>
      <c r="H217" s="3">
        <v>860</v>
      </c>
      <c r="I217" s="3">
        <v>2570</v>
      </c>
      <c r="J217" s="3">
        <v>23719</v>
      </c>
      <c r="K217" s="3">
        <v>182628</v>
      </c>
      <c r="L217" s="3" t="s">
        <v>25</v>
      </c>
      <c r="M217" s="4">
        <v>0.11896313818253498</v>
      </c>
    </row>
    <row r="218" spans="1:13" x14ac:dyDescent="0.3">
      <c r="A218" s="3" t="s">
        <v>270</v>
      </c>
      <c r="B218" s="3" t="s">
        <v>18</v>
      </c>
      <c r="C218" s="2">
        <v>45444</v>
      </c>
      <c r="D218" s="3" t="s">
        <v>14</v>
      </c>
      <c r="E218" s="3" t="s">
        <v>362</v>
      </c>
      <c r="F218" s="3">
        <v>19844</v>
      </c>
      <c r="G218" s="3">
        <v>1022</v>
      </c>
      <c r="H218" s="3">
        <v>860</v>
      </c>
      <c r="I218" s="3">
        <v>2570</v>
      </c>
      <c r="J218" s="3">
        <v>23719</v>
      </c>
      <c r="K218" s="3">
        <v>182628</v>
      </c>
      <c r="L218" s="3" t="s">
        <v>25</v>
      </c>
      <c r="M218" s="4">
        <v>0.11896313818253498</v>
      </c>
    </row>
    <row r="219" spans="1:13" x14ac:dyDescent="0.3">
      <c r="A219" s="3" t="s">
        <v>143</v>
      </c>
      <c r="B219" s="3" t="s">
        <v>40</v>
      </c>
      <c r="C219" s="2">
        <v>45464</v>
      </c>
      <c r="D219" s="3" t="s">
        <v>27</v>
      </c>
      <c r="E219" s="3" t="s">
        <v>359</v>
      </c>
      <c r="F219" s="3">
        <v>21216</v>
      </c>
      <c r="G219" s="3">
        <v>1207</v>
      </c>
      <c r="H219" s="3">
        <v>859</v>
      </c>
      <c r="I219" s="3">
        <v>328</v>
      </c>
      <c r="J219" s="3">
        <v>91296</v>
      </c>
      <c r="K219" s="3">
        <v>196683</v>
      </c>
      <c r="L219" s="3" t="s">
        <v>25</v>
      </c>
      <c r="M219" s="4">
        <v>0.1183732198512327</v>
      </c>
    </row>
    <row r="220" spans="1:13" x14ac:dyDescent="0.3">
      <c r="A220" s="3" t="s">
        <v>143</v>
      </c>
      <c r="B220" s="3" t="s">
        <v>40</v>
      </c>
      <c r="C220" s="2">
        <v>45464</v>
      </c>
      <c r="D220" s="3" t="s">
        <v>27</v>
      </c>
      <c r="E220" s="3" t="s">
        <v>360</v>
      </c>
      <c r="F220" s="3">
        <v>21216</v>
      </c>
      <c r="G220" s="3">
        <v>1207</v>
      </c>
      <c r="H220" s="3">
        <v>859</v>
      </c>
      <c r="I220" s="3">
        <v>328</v>
      </c>
      <c r="J220" s="3">
        <v>91296</v>
      </c>
      <c r="K220" s="3">
        <v>196683</v>
      </c>
      <c r="L220" s="3" t="s">
        <v>25</v>
      </c>
      <c r="M220" s="4">
        <v>0.1183732198512327</v>
      </c>
    </row>
    <row r="221" spans="1:13" x14ac:dyDescent="0.3">
      <c r="A221" s="3" t="s">
        <v>98</v>
      </c>
      <c r="B221" s="3" t="s">
        <v>22</v>
      </c>
      <c r="C221" s="2">
        <v>45504</v>
      </c>
      <c r="D221" s="3" t="s">
        <v>14</v>
      </c>
      <c r="E221" s="3" t="s">
        <v>353</v>
      </c>
      <c r="F221" s="3">
        <v>12357</v>
      </c>
      <c r="G221" s="3">
        <v>716</v>
      </c>
      <c r="H221" s="3">
        <v>599</v>
      </c>
      <c r="I221" s="3">
        <v>999</v>
      </c>
      <c r="J221" s="3">
        <v>89591</v>
      </c>
      <c r="K221" s="3">
        <v>116367</v>
      </c>
      <c r="L221" s="3" t="s">
        <v>16</v>
      </c>
      <c r="M221" s="4">
        <v>0.11749035379446063</v>
      </c>
    </row>
    <row r="222" spans="1:13" x14ac:dyDescent="0.3">
      <c r="A222" s="3" t="s">
        <v>98</v>
      </c>
      <c r="B222" s="3" t="s">
        <v>22</v>
      </c>
      <c r="C222" s="2">
        <v>45504</v>
      </c>
      <c r="D222" s="3" t="s">
        <v>14</v>
      </c>
      <c r="E222" s="3" t="s">
        <v>354</v>
      </c>
      <c r="F222" s="3">
        <v>12357</v>
      </c>
      <c r="G222" s="3">
        <v>716</v>
      </c>
      <c r="H222" s="3">
        <v>599</v>
      </c>
      <c r="I222" s="3">
        <v>999</v>
      </c>
      <c r="J222" s="3">
        <v>89591</v>
      </c>
      <c r="K222" s="3">
        <v>116367</v>
      </c>
      <c r="L222" s="3" t="s">
        <v>16</v>
      </c>
      <c r="M222" s="4">
        <v>0.11749035379446063</v>
      </c>
    </row>
    <row r="223" spans="1:13" x14ac:dyDescent="0.3">
      <c r="A223" s="3" t="s">
        <v>240</v>
      </c>
      <c r="B223" s="3" t="s">
        <v>22</v>
      </c>
      <c r="C223" s="2">
        <v>45922</v>
      </c>
      <c r="D223" s="3" t="s">
        <v>34</v>
      </c>
      <c r="E223" s="3" t="s">
        <v>32</v>
      </c>
      <c r="F223" s="3">
        <v>18509</v>
      </c>
      <c r="G223" s="3">
        <v>361</v>
      </c>
      <c r="H223" s="3">
        <v>578</v>
      </c>
      <c r="I223" s="3">
        <v>1409</v>
      </c>
      <c r="J223" s="3">
        <v>10569</v>
      </c>
      <c r="K223" s="3">
        <v>166969</v>
      </c>
      <c r="L223" s="3" t="s">
        <v>20</v>
      </c>
      <c r="M223" s="4">
        <v>0.11647671124580011</v>
      </c>
    </row>
    <row r="224" spans="1:13" x14ac:dyDescent="0.3">
      <c r="A224" s="3" t="s">
        <v>286</v>
      </c>
      <c r="B224" s="3" t="s">
        <v>13</v>
      </c>
      <c r="C224" s="2">
        <v>45465</v>
      </c>
      <c r="D224" s="3" t="s">
        <v>23</v>
      </c>
      <c r="E224" s="3" t="s">
        <v>363</v>
      </c>
      <c r="F224" s="3">
        <v>7342</v>
      </c>
      <c r="G224" s="3">
        <v>906</v>
      </c>
      <c r="H224" s="3">
        <v>902</v>
      </c>
      <c r="I224" s="3">
        <v>1199</v>
      </c>
      <c r="J224" s="3">
        <v>68488</v>
      </c>
      <c r="K224" s="3">
        <v>79310</v>
      </c>
      <c r="L224" s="3" t="s">
        <v>16</v>
      </c>
      <c r="M224" s="4">
        <v>0.1153700668263775</v>
      </c>
    </row>
    <row r="225" spans="1:13" x14ac:dyDescent="0.3">
      <c r="A225" s="3" t="s">
        <v>286</v>
      </c>
      <c r="B225" s="3" t="s">
        <v>13</v>
      </c>
      <c r="C225" s="2">
        <v>45465</v>
      </c>
      <c r="D225" s="3" t="s">
        <v>23</v>
      </c>
      <c r="E225" s="3" t="s">
        <v>364</v>
      </c>
      <c r="F225" s="3">
        <v>7342</v>
      </c>
      <c r="G225" s="3">
        <v>906</v>
      </c>
      <c r="H225" s="3">
        <v>902</v>
      </c>
      <c r="I225" s="3">
        <v>1199</v>
      </c>
      <c r="J225" s="3">
        <v>68488</v>
      </c>
      <c r="K225" s="3">
        <v>79310</v>
      </c>
      <c r="L225" s="3" t="s">
        <v>16</v>
      </c>
      <c r="M225" s="4">
        <v>0.1153700668263775</v>
      </c>
    </row>
    <row r="226" spans="1:13" x14ac:dyDescent="0.3">
      <c r="A226" s="3" t="s">
        <v>131</v>
      </c>
      <c r="B226" s="3" t="s">
        <v>40</v>
      </c>
      <c r="C226" s="2">
        <v>45604</v>
      </c>
      <c r="D226" s="3" t="s">
        <v>23</v>
      </c>
      <c r="E226" s="3" t="s">
        <v>359</v>
      </c>
      <c r="F226" s="3">
        <v>23499</v>
      </c>
      <c r="G226" s="3">
        <v>562</v>
      </c>
      <c r="H226" s="3">
        <v>964</v>
      </c>
      <c r="I226" s="3">
        <v>2557</v>
      </c>
      <c r="J226" s="3">
        <v>56890</v>
      </c>
      <c r="K226" s="3">
        <v>218686</v>
      </c>
      <c r="L226" s="3" t="s">
        <v>29</v>
      </c>
      <c r="M226" s="4">
        <v>0.11443347996671026</v>
      </c>
    </row>
    <row r="227" spans="1:13" x14ac:dyDescent="0.3">
      <c r="A227" s="3" t="s">
        <v>131</v>
      </c>
      <c r="B227" s="3" t="s">
        <v>40</v>
      </c>
      <c r="C227" s="2">
        <v>45604</v>
      </c>
      <c r="D227" s="3" t="s">
        <v>23</v>
      </c>
      <c r="E227" s="3" t="s">
        <v>360</v>
      </c>
      <c r="F227" s="3">
        <v>23499</v>
      </c>
      <c r="G227" s="3">
        <v>562</v>
      </c>
      <c r="H227" s="3">
        <v>964</v>
      </c>
      <c r="I227" s="3">
        <v>2557</v>
      </c>
      <c r="J227" s="3">
        <v>56890</v>
      </c>
      <c r="K227" s="3">
        <v>218686</v>
      </c>
      <c r="L227" s="3" t="s">
        <v>29</v>
      </c>
      <c r="M227" s="4">
        <v>0.11443347996671026</v>
      </c>
    </row>
    <row r="228" spans="1:13" x14ac:dyDescent="0.3">
      <c r="A228" s="3" t="s">
        <v>179</v>
      </c>
      <c r="B228" s="3" t="s">
        <v>18</v>
      </c>
      <c r="C228" s="2">
        <v>45567</v>
      </c>
      <c r="D228" s="3" t="s">
        <v>14</v>
      </c>
      <c r="E228" s="3" t="s">
        <v>357</v>
      </c>
      <c r="F228" s="3">
        <v>15716</v>
      </c>
      <c r="G228" s="3">
        <v>839</v>
      </c>
      <c r="H228" s="3">
        <v>639</v>
      </c>
      <c r="I228" s="3">
        <v>2839</v>
      </c>
      <c r="J228" s="3">
        <v>349</v>
      </c>
      <c r="K228" s="3">
        <v>150677</v>
      </c>
      <c r="L228" s="3" t="s">
        <v>25</v>
      </c>
      <c r="M228" s="4">
        <v>0.11411164278556117</v>
      </c>
    </row>
    <row r="229" spans="1:13" x14ac:dyDescent="0.3">
      <c r="A229" s="3" t="s">
        <v>179</v>
      </c>
      <c r="B229" s="3" t="s">
        <v>18</v>
      </c>
      <c r="C229" s="2">
        <v>45567</v>
      </c>
      <c r="D229" s="3" t="s">
        <v>14</v>
      </c>
      <c r="E229" s="3" t="s">
        <v>358</v>
      </c>
      <c r="F229" s="3">
        <v>15716</v>
      </c>
      <c r="G229" s="3">
        <v>839</v>
      </c>
      <c r="H229" s="3">
        <v>639</v>
      </c>
      <c r="I229" s="3">
        <v>2839</v>
      </c>
      <c r="J229" s="3">
        <v>349</v>
      </c>
      <c r="K229" s="3">
        <v>150677</v>
      </c>
      <c r="L229" s="3" t="s">
        <v>25</v>
      </c>
      <c r="M229" s="4">
        <v>0.11411164278556117</v>
      </c>
    </row>
    <row r="230" spans="1:13" x14ac:dyDescent="0.3">
      <c r="A230" s="3" t="s">
        <v>134</v>
      </c>
      <c r="B230" s="3" t="s">
        <v>18</v>
      </c>
      <c r="C230" s="2">
        <v>45453</v>
      </c>
      <c r="D230" s="3" t="s">
        <v>27</v>
      </c>
      <c r="E230" s="3" t="s">
        <v>361</v>
      </c>
      <c r="F230" s="3">
        <v>21561</v>
      </c>
      <c r="G230" s="3">
        <v>340</v>
      </c>
      <c r="H230" s="3">
        <v>741</v>
      </c>
      <c r="I230" s="3">
        <v>986</v>
      </c>
      <c r="J230" s="3">
        <v>24826</v>
      </c>
      <c r="K230" s="3">
        <v>198492</v>
      </c>
      <c r="L230" s="3" t="s">
        <v>16</v>
      </c>
      <c r="M230" s="4">
        <v>0.11407008846704149</v>
      </c>
    </row>
    <row r="231" spans="1:13" x14ac:dyDescent="0.3">
      <c r="A231" s="3" t="s">
        <v>134</v>
      </c>
      <c r="B231" s="3" t="s">
        <v>18</v>
      </c>
      <c r="C231" s="2">
        <v>45453</v>
      </c>
      <c r="D231" s="3" t="s">
        <v>27</v>
      </c>
      <c r="E231" s="3" t="s">
        <v>362</v>
      </c>
      <c r="F231" s="3">
        <v>21561</v>
      </c>
      <c r="G231" s="3">
        <v>340</v>
      </c>
      <c r="H231" s="3">
        <v>741</v>
      </c>
      <c r="I231" s="3">
        <v>986</v>
      </c>
      <c r="J231" s="3">
        <v>24826</v>
      </c>
      <c r="K231" s="3">
        <v>198492</v>
      </c>
      <c r="L231" s="3" t="s">
        <v>16</v>
      </c>
      <c r="M231" s="4">
        <v>0.11407008846704149</v>
      </c>
    </row>
    <row r="232" spans="1:13" x14ac:dyDescent="0.3">
      <c r="A232" s="3" t="s">
        <v>197</v>
      </c>
      <c r="B232" s="3" t="s">
        <v>13</v>
      </c>
      <c r="C232" s="2">
        <v>45936</v>
      </c>
      <c r="D232" s="3" t="s">
        <v>27</v>
      </c>
      <c r="E232" s="3" t="s">
        <v>357</v>
      </c>
      <c r="F232" s="3">
        <v>22028</v>
      </c>
      <c r="G232" s="3">
        <v>355</v>
      </c>
      <c r="H232" s="3">
        <v>665</v>
      </c>
      <c r="I232" s="3">
        <v>1859</v>
      </c>
      <c r="J232" s="3">
        <v>50565</v>
      </c>
      <c r="K232" s="3">
        <v>202962</v>
      </c>
      <c r="L232" s="3" t="s">
        <v>20</v>
      </c>
      <c r="M232" s="4">
        <v>0.11355820301337197</v>
      </c>
    </row>
    <row r="233" spans="1:13" x14ac:dyDescent="0.3">
      <c r="A233" s="3" t="s">
        <v>197</v>
      </c>
      <c r="B233" s="3" t="s">
        <v>13</v>
      </c>
      <c r="C233" s="2">
        <v>45936</v>
      </c>
      <c r="D233" s="3" t="s">
        <v>27</v>
      </c>
      <c r="E233" s="3" t="s">
        <v>358</v>
      </c>
      <c r="F233" s="3">
        <v>22028</v>
      </c>
      <c r="G233" s="3">
        <v>355</v>
      </c>
      <c r="H233" s="3">
        <v>665</v>
      </c>
      <c r="I233" s="3">
        <v>1859</v>
      </c>
      <c r="J233" s="3">
        <v>50565</v>
      </c>
      <c r="K233" s="3">
        <v>202962</v>
      </c>
      <c r="L233" s="3" t="s">
        <v>20</v>
      </c>
      <c r="M233" s="4">
        <v>0.11355820301337197</v>
      </c>
    </row>
    <row r="234" spans="1:13" x14ac:dyDescent="0.3">
      <c r="A234" s="3" t="s">
        <v>61</v>
      </c>
      <c r="B234" s="3" t="s">
        <v>40</v>
      </c>
      <c r="C234" s="2">
        <v>45552</v>
      </c>
      <c r="D234" s="3" t="s">
        <v>23</v>
      </c>
      <c r="E234" s="3" t="s">
        <v>365</v>
      </c>
      <c r="F234" s="3">
        <v>20017</v>
      </c>
      <c r="G234" s="3">
        <v>495</v>
      </c>
      <c r="H234" s="3">
        <v>178</v>
      </c>
      <c r="I234" s="3">
        <v>2683</v>
      </c>
      <c r="J234" s="3">
        <v>32244</v>
      </c>
      <c r="K234" s="3">
        <v>182633</v>
      </c>
      <c r="L234" s="3" t="s">
        <v>16</v>
      </c>
      <c r="M234" s="4">
        <v>0.11328730295182141</v>
      </c>
    </row>
    <row r="235" spans="1:13" x14ac:dyDescent="0.3">
      <c r="A235" s="3" t="s">
        <v>61</v>
      </c>
      <c r="B235" s="3" t="s">
        <v>40</v>
      </c>
      <c r="C235" s="2">
        <v>45552</v>
      </c>
      <c r="D235" s="3" t="s">
        <v>23</v>
      </c>
      <c r="E235" s="3" t="s">
        <v>359</v>
      </c>
      <c r="F235" s="3">
        <v>20017</v>
      </c>
      <c r="G235" s="3">
        <v>495</v>
      </c>
      <c r="H235" s="3">
        <v>178</v>
      </c>
      <c r="I235" s="3">
        <v>2683</v>
      </c>
      <c r="J235" s="3">
        <v>32244</v>
      </c>
      <c r="K235" s="3">
        <v>182633</v>
      </c>
      <c r="L235" s="3" t="s">
        <v>16</v>
      </c>
      <c r="M235" s="4">
        <v>0.11328730295182141</v>
      </c>
    </row>
    <row r="236" spans="1:13" x14ac:dyDescent="0.3">
      <c r="A236" s="3" t="s">
        <v>164</v>
      </c>
      <c r="B236" s="3" t="s">
        <v>22</v>
      </c>
      <c r="C236" s="2">
        <v>45667</v>
      </c>
      <c r="D236" s="3" t="s">
        <v>34</v>
      </c>
      <c r="E236" s="3" t="s">
        <v>367</v>
      </c>
      <c r="F236" s="3">
        <v>14647</v>
      </c>
      <c r="G236" s="3">
        <v>1168</v>
      </c>
      <c r="H236" s="3">
        <v>484</v>
      </c>
      <c r="I236" s="3">
        <v>2650</v>
      </c>
      <c r="J236" s="3">
        <v>27217</v>
      </c>
      <c r="K236" s="3">
        <v>144061</v>
      </c>
      <c r="L236" s="3" t="s">
        <v>29</v>
      </c>
      <c r="M236" s="4">
        <v>0.11313957281984714</v>
      </c>
    </row>
    <row r="237" spans="1:13" x14ac:dyDescent="0.3">
      <c r="A237" s="3" t="s">
        <v>164</v>
      </c>
      <c r="B237" s="3" t="s">
        <v>22</v>
      </c>
      <c r="C237" s="2">
        <v>45667</v>
      </c>
      <c r="D237" s="3" t="s">
        <v>34</v>
      </c>
      <c r="E237" s="3" t="s">
        <v>32</v>
      </c>
      <c r="F237" s="3">
        <v>14647</v>
      </c>
      <c r="G237" s="3">
        <v>1168</v>
      </c>
      <c r="H237" s="3">
        <v>484</v>
      </c>
      <c r="I237" s="3">
        <v>2650</v>
      </c>
      <c r="J237" s="3">
        <v>27217</v>
      </c>
      <c r="K237" s="3">
        <v>144061</v>
      </c>
      <c r="L237" s="3" t="s">
        <v>29</v>
      </c>
      <c r="M237" s="4">
        <v>0.11313957281984714</v>
      </c>
    </row>
    <row r="238" spans="1:13" x14ac:dyDescent="0.3">
      <c r="A238" s="3" t="s">
        <v>195</v>
      </c>
      <c r="B238" s="3" t="s">
        <v>22</v>
      </c>
      <c r="C238" s="2">
        <v>45935</v>
      </c>
      <c r="D238" s="3" t="s">
        <v>23</v>
      </c>
      <c r="E238" s="3" t="s">
        <v>361</v>
      </c>
      <c r="F238" s="3">
        <v>21262</v>
      </c>
      <c r="G238" s="3">
        <v>861</v>
      </c>
      <c r="H238" s="3">
        <v>676</v>
      </c>
      <c r="I238" s="3">
        <v>2263</v>
      </c>
      <c r="J238" s="3">
        <v>12085</v>
      </c>
      <c r="K238" s="3">
        <v>201731</v>
      </c>
      <c r="L238" s="3" t="s">
        <v>20</v>
      </c>
      <c r="M238" s="4">
        <v>0.11301683925623726</v>
      </c>
    </row>
    <row r="239" spans="1:13" x14ac:dyDescent="0.3">
      <c r="A239" s="3" t="s">
        <v>195</v>
      </c>
      <c r="B239" s="3" t="s">
        <v>22</v>
      </c>
      <c r="C239" s="2">
        <v>45935</v>
      </c>
      <c r="D239" s="3" t="s">
        <v>23</v>
      </c>
      <c r="E239" s="3" t="s">
        <v>362</v>
      </c>
      <c r="F239" s="3">
        <v>21262</v>
      </c>
      <c r="G239" s="3">
        <v>861</v>
      </c>
      <c r="H239" s="3">
        <v>676</v>
      </c>
      <c r="I239" s="3">
        <v>2263</v>
      </c>
      <c r="J239" s="3">
        <v>12085</v>
      </c>
      <c r="K239" s="3">
        <v>201731</v>
      </c>
      <c r="L239" s="3" t="s">
        <v>20</v>
      </c>
      <c r="M239" s="4">
        <v>0.11301683925623726</v>
      </c>
    </row>
    <row r="240" spans="1:13" x14ac:dyDescent="0.3">
      <c r="A240" s="3" t="s">
        <v>231</v>
      </c>
      <c r="B240" s="3" t="s">
        <v>13</v>
      </c>
      <c r="C240" s="2">
        <v>45519</v>
      </c>
      <c r="D240" s="3" t="s">
        <v>14</v>
      </c>
      <c r="E240" s="3" t="s">
        <v>365</v>
      </c>
      <c r="F240" s="3">
        <v>15503</v>
      </c>
      <c r="G240" s="3">
        <v>313</v>
      </c>
      <c r="H240" s="3">
        <v>388</v>
      </c>
      <c r="I240" s="3">
        <v>1078</v>
      </c>
      <c r="J240" s="3">
        <v>11500</v>
      </c>
      <c r="K240" s="3">
        <v>143754</v>
      </c>
      <c r="L240" s="3" t="s">
        <v>29</v>
      </c>
      <c r="M240" s="4">
        <v>0.1127203416948398</v>
      </c>
    </row>
    <row r="241" spans="1:13" x14ac:dyDescent="0.3">
      <c r="A241" s="3" t="s">
        <v>231</v>
      </c>
      <c r="B241" s="3" t="s">
        <v>13</v>
      </c>
      <c r="C241" s="2">
        <v>45519</v>
      </c>
      <c r="D241" s="3" t="s">
        <v>14</v>
      </c>
      <c r="E241" s="3" t="s">
        <v>359</v>
      </c>
      <c r="F241" s="3">
        <v>15503</v>
      </c>
      <c r="G241" s="3">
        <v>313</v>
      </c>
      <c r="H241" s="3">
        <v>388</v>
      </c>
      <c r="I241" s="3">
        <v>1078</v>
      </c>
      <c r="J241" s="3">
        <v>11500</v>
      </c>
      <c r="K241" s="3">
        <v>143754</v>
      </c>
      <c r="L241" s="3" t="s">
        <v>29</v>
      </c>
      <c r="M241" s="4">
        <v>0.1127203416948398</v>
      </c>
    </row>
    <row r="242" spans="1:13" x14ac:dyDescent="0.3">
      <c r="A242" s="3" t="s">
        <v>106</v>
      </c>
      <c r="B242" s="3" t="s">
        <v>40</v>
      </c>
      <c r="C242" s="2">
        <v>45537</v>
      </c>
      <c r="D242" s="3" t="s">
        <v>34</v>
      </c>
      <c r="E242" s="3" t="s">
        <v>359</v>
      </c>
      <c r="F242" s="3">
        <v>12040</v>
      </c>
      <c r="G242" s="3">
        <v>1147</v>
      </c>
      <c r="H242" s="3">
        <v>210</v>
      </c>
      <c r="I242" s="3">
        <v>885</v>
      </c>
      <c r="J242" s="3">
        <v>30360</v>
      </c>
      <c r="K242" s="3">
        <v>119530</v>
      </c>
      <c r="L242" s="3" t="s">
        <v>29</v>
      </c>
      <c r="M242" s="4">
        <v>0.1120806492094035</v>
      </c>
    </row>
    <row r="243" spans="1:13" x14ac:dyDescent="0.3">
      <c r="A243" s="3" t="s">
        <v>106</v>
      </c>
      <c r="B243" s="3" t="s">
        <v>40</v>
      </c>
      <c r="C243" s="2">
        <v>45537</v>
      </c>
      <c r="D243" s="3" t="s">
        <v>34</v>
      </c>
      <c r="E243" s="3" t="s">
        <v>360</v>
      </c>
      <c r="F243" s="3">
        <v>12040</v>
      </c>
      <c r="G243" s="3">
        <v>1147</v>
      </c>
      <c r="H243" s="3">
        <v>210</v>
      </c>
      <c r="I243" s="3">
        <v>885</v>
      </c>
      <c r="J243" s="3">
        <v>30360</v>
      </c>
      <c r="K243" s="3">
        <v>119530</v>
      </c>
      <c r="L243" s="3" t="s">
        <v>29</v>
      </c>
      <c r="M243" s="4">
        <v>0.1120806492094035</v>
      </c>
    </row>
    <row r="244" spans="1:13" x14ac:dyDescent="0.3">
      <c r="A244" s="3" t="s">
        <v>128</v>
      </c>
      <c r="B244" s="3" t="s">
        <v>18</v>
      </c>
      <c r="C244" s="2">
        <v>45586</v>
      </c>
      <c r="D244" s="3" t="s">
        <v>23</v>
      </c>
      <c r="E244" s="3" t="s">
        <v>355</v>
      </c>
      <c r="F244" s="3">
        <v>19715</v>
      </c>
      <c r="G244" s="3">
        <v>1014</v>
      </c>
      <c r="H244" s="3">
        <v>718</v>
      </c>
      <c r="I244" s="3">
        <v>1185</v>
      </c>
      <c r="J244" s="3">
        <v>37625</v>
      </c>
      <c r="K244" s="3">
        <v>191409</v>
      </c>
      <c r="L244" s="3" t="s">
        <v>16</v>
      </c>
      <c r="M244" s="4">
        <v>0.11204802282024356</v>
      </c>
    </row>
    <row r="245" spans="1:13" x14ac:dyDescent="0.3">
      <c r="A245" s="3" t="s">
        <v>128</v>
      </c>
      <c r="B245" s="3" t="s">
        <v>18</v>
      </c>
      <c r="C245" s="2">
        <v>45586</v>
      </c>
      <c r="D245" s="3" t="s">
        <v>23</v>
      </c>
      <c r="E245" s="3" t="s">
        <v>356</v>
      </c>
      <c r="F245" s="3">
        <v>19715</v>
      </c>
      <c r="G245" s="3">
        <v>1014</v>
      </c>
      <c r="H245" s="3">
        <v>718</v>
      </c>
      <c r="I245" s="3">
        <v>1185</v>
      </c>
      <c r="J245" s="3">
        <v>37625</v>
      </c>
      <c r="K245" s="3">
        <v>191409</v>
      </c>
      <c r="L245" s="3" t="s">
        <v>16</v>
      </c>
      <c r="M245" s="4">
        <v>0.11204802282024356</v>
      </c>
    </row>
    <row r="246" spans="1:13" x14ac:dyDescent="0.3">
      <c r="A246" s="3" t="s">
        <v>261</v>
      </c>
      <c r="B246" s="3" t="s">
        <v>40</v>
      </c>
      <c r="C246" s="2">
        <v>45463</v>
      </c>
      <c r="D246" s="3" t="s">
        <v>27</v>
      </c>
      <c r="E246" s="3" t="s">
        <v>363</v>
      </c>
      <c r="F246" s="3">
        <v>21123</v>
      </c>
      <c r="G246" s="3">
        <v>1343</v>
      </c>
      <c r="H246" s="3">
        <v>589</v>
      </c>
      <c r="I246" s="3">
        <v>727</v>
      </c>
      <c r="J246" s="3">
        <v>87833</v>
      </c>
      <c r="K246" s="3">
        <v>206703</v>
      </c>
      <c r="L246" s="3" t="s">
        <v>16</v>
      </c>
      <c r="M246" s="4">
        <v>0.11153684271636116</v>
      </c>
    </row>
    <row r="247" spans="1:13" x14ac:dyDescent="0.3">
      <c r="A247" s="3" t="s">
        <v>261</v>
      </c>
      <c r="B247" s="3" t="s">
        <v>40</v>
      </c>
      <c r="C247" s="2">
        <v>45463</v>
      </c>
      <c r="D247" s="3" t="s">
        <v>27</v>
      </c>
      <c r="E247" s="3" t="s">
        <v>364</v>
      </c>
      <c r="F247" s="3">
        <v>21123</v>
      </c>
      <c r="G247" s="3">
        <v>1343</v>
      </c>
      <c r="H247" s="3">
        <v>589</v>
      </c>
      <c r="I247" s="3">
        <v>727</v>
      </c>
      <c r="J247" s="3">
        <v>87833</v>
      </c>
      <c r="K247" s="3">
        <v>206703</v>
      </c>
      <c r="L247" s="3" t="s">
        <v>16</v>
      </c>
      <c r="M247" s="4">
        <v>0.11153684271636116</v>
      </c>
    </row>
    <row r="248" spans="1:13" x14ac:dyDescent="0.3">
      <c r="A248" s="3" t="s">
        <v>52</v>
      </c>
      <c r="B248" s="3" t="s">
        <v>18</v>
      </c>
      <c r="C248" s="2">
        <v>45466</v>
      </c>
      <c r="D248" s="3" t="s">
        <v>23</v>
      </c>
      <c r="E248" s="3" t="s">
        <v>359</v>
      </c>
      <c r="F248" s="3">
        <v>16512</v>
      </c>
      <c r="G248" s="3">
        <v>1050</v>
      </c>
      <c r="H248" s="3">
        <v>971</v>
      </c>
      <c r="I248" s="3">
        <v>1891</v>
      </c>
      <c r="J248" s="3">
        <v>15865</v>
      </c>
      <c r="K248" s="3">
        <v>166503</v>
      </c>
      <c r="L248" s="3" t="s">
        <v>29</v>
      </c>
      <c r="M248" s="4">
        <v>0.1113073037723044</v>
      </c>
    </row>
    <row r="249" spans="1:13" x14ac:dyDescent="0.3">
      <c r="A249" s="3" t="s">
        <v>52</v>
      </c>
      <c r="B249" s="3" t="s">
        <v>18</v>
      </c>
      <c r="C249" s="2">
        <v>45466</v>
      </c>
      <c r="D249" s="3" t="s">
        <v>23</v>
      </c>
      <c r="E249" s="3" t="s">
        <v>366</v>
      </c>
      <c r="F249" s="3">
        <v>16512</v>
      </c>
      <c r="G249" s="3">
        <v>1050</v>
      </c>
      <c r="H249" s="3">
        <v>971</v>
      </c>
      <c r="I249" s="3">
        <v>1891</v>
      </c>
      <c r="J249" s="3">
        <v>15865</v>
      </c>
      <c r="K249" s="3">
        <v>166503</v>
      </c>
      <c r="L249" s="3" t="s">
        <v>29</v>
      </c>
      <c r="M249" s="4">
        <v>0.1113073037723044</v>
      </c>
    </row>
    <row r="250" spans="1:13" x14ac:dyDescent="0.3">
      <c r="A250" s="3" t="s">
        <v>21</v>
      </c>
      <c r="B250" s="3" t="s">
        <v>22</v>
      </c>
      <c r="C250" s="2">
        <v>45789</v>
      </c>
      <c r="D250" s="3" t="s">
        <v>23</v>
      </c>
      <c r="E250" s="3" t="s">
        <v>357</v>
      </c>
      <c r="F250" s="3">
        <v>19308</v>
      </c>
      <c r="G250" s="3">
        <v>1318</v>
      </c>
      <c r="H250" s="3">
        <v>795</v>
      </c>
      <c r="I250" s="3">
        <v>1499</v>
      </c>
      <c r="J250" s="3">
        <v>52307</v>
      </c>
      <c r="K250" s="3">
        <v>193087</v>
      </c>
      <c r="L250" s="3" t="s">
        <v>25</v>
      </c>
      <c r="M250" s="4">
        <v>0.11093962825047776</v>
      </c>
    </row>
    <row r="251" spans="1:13" x14ac:dyDescent="0.3">
      <c r="A251" s="3" t="s">
        <v>21</v>
      </c>
      <c r="B251" s="3" t="s">
        <v>22</v>
      </c>
      <c r="C251" s="2">
        <v>45789</v>
      </c>
      <c r="D251" s="3" t="s">
        <v>23</v>
      </c>
      <c r="E251" s="3" t="s">
        <v>358</v>
      </c>
      <c r="F251" s="3">
        <v>19308</v>
      </c>
      <c r="G251" s="3">
        <v>1318</v>
      </c>
      <c r="H251" s="3">
        <v>795</v>
      </c>
      <c r="I251" s="3">
        <v>1499</v>
      </c>
      <c r="J251" s="3">
        <v>52307</v>
      </c>
      <c r="K251" s="3">
        <v>193087</v>
      </c>
      <c r="L251" s="3" t="s">
        <v>25</v>
      </c>
      <c r="M251" s="4">
        <v>0.11093962825047776</v>
      </c>
    </row>
    <row r="252" spans="1:13" x14ac:dyDescent="0.3">
      <c r="A252" s="3" t="s">
        <v>182</v>
      </c>
      <c r="B252" s="3" t="s">
        <v>13</v>
      </c>
      <c r="C252" s="2">
        <v>45448</v>
      </c>
      <c r="D252" s="3" t="s">
        <v>23</v>
      </c>
      <c r="E252" s="3" t="s">
        <v>367</v>
      </c>
      <c r="F252" s="3">
        <v>18907</v>
      </c>
      <c r="G252" s="3">
        <v>1075</v>
      </c>
      <c r="H252" s="3">
        <v>675</v>
      </c>
      <c r="I252" s="3">
        <v>1383</v>
      </c>
      <c r="J252" s="3">
        <v>17875</v>
      </c>
      <c r="K252" s="3">
        <v>186649</v>
      </c>
      <c r="L252" s="3" t="s">
        <v>16</v>
      </c>
      <c r="M252" s="4">
        <v>0.11067297440650634</v>
      </c>
    </row>
    <row r="253" spans="1:13" x14ac:dyDescent="0.3">
      <c r="A253" s="3" t="s">
        <v>182</v>
      </c>
      <c r="B253" s="3" t="s">
        <v>13</v>
      </c>
      <c r="C253" s="2">
        <v>45448</v>
      </c>
      <c r="D253" s="3" t="s">
        <v>23</v>
      </c>
      <c r="E253" s="3" t="s">
        <v>32</v>
      </c>
      <c r="F253" s="3">
        <v>18907</v>
      </c>
      <c r="G253" s="3">
        <v>1075</v>
      </c>
      <c r="H253" s="3">
        <v>675</v>
      </c>
      <c r="I253" s="3">
        <v>1383</v>
      </c>
      <c r="J253" s="3">
        <v>17875</v>
      </c>
      <c r="K253" s="3">
        <v>186649</v>
      </c>
      <c r="L253" s="3" t="s">
        <v>16</v>
      </c>
      <c r="M253" s="4">
        <v>0.11067297440650634</v>
      </c>
    </row>
    <row r="254" spans="1:13" x14ac:dyDescent="0.3">
      <c r="A254" s="3" t="s">
        <v>320</v>
      </c>
      <c r="B254" s="3" t="s">
        <v>13</v>
      </c>
      <c r="C254" s="2">
        <v>45552</v>
      </c>
      <c r="D254" s="3" t="s">
        <v>27</v>
      </c>
      <c r="E254" s="3" t="s">
        <v>361</v>
      </c>
      <c r="F254" s="3">
        <v>20410</v>
      </c>
      <c r="G254" s="3">
        <v>1332</v>
      </c>
      <c r="H254" s="3">
        <v>472</v>
      </c>
      <c r="I254" s="3">
        <v>1202</v>
      </c>
      <c r="J254" s="3">
        <v>9418</v>
      </c>
      <c r="K254" s="3">
        <v>200806</v>
      </c>
      <c r="L254" s="3" t="s">
        <v>16</v>
      </c>
      <c r="M254" s="4">
        <v>0.11062418453631864</v>
      </c>
    </row>
    <row r="255" spans="1:13" x14ac:dyDescent="0.3">
      <c r="A255" s="3" t="s">
        <v>320</v>
      </c>
      <c r="B255" s="3" t="s">
        <v>13</v>
      </c>
      <c r="C255" s="2">
        <v>45552</v>
      </c>
      <c r="D255" s="3" t="s">
        <v>27</v>
      </c>
      <c r="E255" s="3" t="s">
        <v>362</v>
      </c>
      <c r="F255" s="3">
        <v>20410</v>
      </c>
      <c r="G255" s="3">
        <v>1332</v>
      </c>
      <c r="H255" s="3">
        <v>472</v>
      </c>
      <c r="I255" s="3">
        <v>1202</v>
      </c>
      <c r="J255" s="3">
        <v>9418</v>
      </c>
      <c r="K255" s="3">
        <v>200806</v>
      </c>
      <c r="L255" s="3" t="s">
        <v>16</v>
      </c>
      <c r="M255" s="4">
        <v>0.11062418453631864</v>
      </c>
    </row>
    <row r="256" spans="1:13" x14ac:dyDescent="0.3">
      <c r="A256" s="3" t="s">
        <v>271</v>
      </c>
      <c r="B256" s="3" t="s">
        <v>18</v>
      </c>
      <c r="C256" s="2">
        <v>45648</v>
      </c>
      <c r="D256" s="3" t="s">
        <v>23</v>
      </c>
      <c r="E256" s="3" t="s">
        <v>359</v>
      </c>
      <c r="F256" s="3">
        <v>20117</v>
      </c>
      <c r="G256" s="3">
        <v>1143</v>
      </c>
      <c r="H256" s="3">
        <v>713</v>
      </c>
      <c r="I256" s="3">
        <v>1739</v>
      </c>
      <c r="J256" s="3">
        <v>34444</v>
      </c>
      <c r="K256" s="3">
        <v>198670</v>
      </c>
      <c r="L256" s="3" t="s">
        <v>45</v>
      </c>
      <c r="M256" s="4">
        <v>0.11060049328031409</v>
      </c>
    </row>
    <row r="257" spans="1:13" x14ac:dyDescent="0.3">
      <c r="A257" s="3" t="s">
        <v>271</v>
      </c>
      <c r="B257" s="3" t="s">
        <v>18</v>
      </c>
      <c r="C257" s="2">
        <v>45648</v>
      </c>
      <c r="D257" s="3" t="s">
        <v>23</v>
      </c>
      <c r="E257" s="3" t="s">
        <v>360</v>
      </c>
      <c r="F257" s="3">
        <v>20117</v>
      </c>
      <c r="G257" s="3">
        <v>1143</v>
      </c>
      <c r="H257" s="3">
        <v>713</v>
      </c>
      <c r="I257" s="3">
        <v>1739</v>
      </c>
      <c r="J257" s="3">
        <v>34444</v>
      </c>
      <c r="K257" s="3">
        <v>198670</v>
      </c>
      <c r="L257" s="3" t="s">
        <v>45</v>
      </c>
      <c r="M257" s="4">
        <v>0.11060049328031409</v>
      </c>
    </row>
    <row r="258" spans="1:13" x14ac:dyDescent="0.3">
      <c r="A258" s="3" t="s">
        <v>318</v>
      </c>
      <c r="B258" s="3" t="s">
        <v>18</v>
      </c>
      <c r="C258" s="2">
        <v>45568</v>
      </c>
      <c r="D258" s="3" t="s">
        <v>14</v>
      </c>
      <c r="E258" s="3" t="s">
        <v>359</v>
      </c>
      <c r="F258" s="3">
        <v>22618</v>
      </c>
      <c r="G258" s="3">
        <v>641</v>
      </c>
      <c r="H258" s="3">
        <v>416</v>
      </c>
      <c r="I258" s="3">
        <v>1530</v>
      </c>
      <c r="J258" s="3">
        <v>18395</v>
      </c>
      <c r="K258" s="3">
        <v>215211</v>
      </c>
      <c r="L258" s="3" t="s">
        <v>45</v>
      </c>
      <c r="M258" s="4">
        <v>0.1100083174187193</v>
      </c>
    </row>
    <row r="259" spans="1:13" x14ac:dyDescent="0.3">
      <c r="A259" s="3" t="s">
        <v>318</v>
      </c>
      <c r="B259" s="3" t="s">
        <v>18</v>
      </c>
      <c r="C259" s="2">
        <v>45568</v>
      </c>
      <c r="D259" s="3" t="s">
        <v>14</v>
      </c>
      <c r="E259" s="3" t="s">
        <v>360</v>
      </c>
      <c r="F259" s="3">
        <v>22618</v>
      </c>
      <c r="G259" s="3">
        <v>641</v>
      </c>
      <c r="H259" s="3">
        <v>416</v>
      </c>
      <c r="I259" s="3">
        <v>1530</v>
      </c>
      <c r="J259" s="3">
        <v>18395</v>
      </c>
      <c r="K259" s="3">
        <v>215211</v>
      </c>
      <c r="L259" s="3" t="s">
        <v>45</v>
      </c>
      <c r="M259" s="4">
        <v>0.1100083174187193</v>
      </c>
    </row>
    <row r="260" spans="1:13" x14ac:dyDescent="0.3">
      <c r="A260" s="3" t="s">
        <v>294</v>
      </c>
      <c r="B260" s="3" t="s">
        <v>40</v>
      </c>
      <c r="C260" s="2">
        <v>45509</v>
      </c>
      <c r="D260" s="3" t="s">
        <v>27</v>
      </c>
      <c r="E260" s="3" t="s">
        <v>353</v>
      </c>
      <c r="F260" s="3">
        <v>20935</v>
      </c>
      <c r="G260" s="3">
        <v>1104</v>
      </c>
      <c r="H260" s="3">
        <v>876</v>
      </c>
      <c r="I260" s="3">
        <v>1270</v>
      </c>
      <c r="J260" s="3">
        <v>21454</v>
      </c>
      <c r="K260" s="3">
        <v>208722</v>
      </c>
      <c r="L260" s="3" t="s">
        <v>25</v>
      </c>
      <c r="M260" s="4">
        <v>0.10978718103506099</v>
      </c>
    </row>
    <row r="261" spans="1:13" x14ac:dyDescent="0.3">
      <c r="A261" s="3" t="s">
        <v>294</v>
      </c>
      <c r="B261" s="3" t="s">
        <v>40</v>
      </c>
      <c r="C261" s="2">
        <v>45509</v>
      </c>
      <c r="D261" s="3" t="s">
        <v>27</v>
      </c>
      <c r="E261" s="3" t="s">
        <v>354</v>
      </c>
      <c r="F261" s="3">
        <v>20935</v>
      </c>
      <c r="G261" s="3">
        <v>1104</v>
      </c>
      <c r="H261" s="3">
        <v>876</v>
      </c>
      <c r="I261" s="3">
        <v>1270</v>
      </c>
      <c r="J261" s="3">
        <v>21454</v>
      </c>
      <c r="K261" s="3">
        <v>208722</v>
      </c>
      <c r="L261" s="3" t="s">
        <v>25</v>
      </c>
      <c r="M261" s="4">
        <v>0.10978718103506099</v>
      </c>
    </row>
    <row r="262" spans="1:13" x14ac:dyDescent="0.3">
      <c r="A262" s="3" t="s">
        <v>189</v>
      </c>
      <c r="B262" s="3" t="s">
        <v>22</v>
      </c>
      <c r="C262" s="2">
        <v>45658</v>
      </c>
      <c r="D262" s="3" t="s">
        <v>27</v>
      </c>
      <c r="E262" s="3" t="s">
        <v>355</v>
      </c>
      <c r="F262" s="3">
        <v>24574</v>
      </c>
      <c r="G262" s="3">
        <v>909</v>
      </c>
      <c r="H262" s="3">
        <v>280</v>
      </c>
      <c r="I262" s="3">
        <v>2009</v>
      </c>
      <c r="J262" s="3">
        <v>6221</v>
      </c>
      <c r="K262" s="3">
        <v>236910</v>
      </c>
      <c r="L262" s="3" t="s">
        <v>45</v>
      </c>
      <c r="M262" s="4">
        <v>0.10874593727575872</v>
      </c>
    </row>
    <row r="263" spans="1:13" x14ac:dyDescent="0.3">
      <c r="A263" s="3" t="s">
        <v>189</v>
      </c>
      <c r="B263" s="3" t="s">
        <v>22</v>
      </c>
      <c r="C263" s="2">
        <v>45658</v>
      </c>
      <c r="D263" s="3" t="s">
        <v>27</v>
      </c>
      <c r="E263" s="3" t="s">
        <v>356</v>
      </c>
      <c r="F263" s="3">
        <v>24574</v>
      </c>
      <c r="G263" s="3">
        <v>909</v>
      </c>
      <c r="H263" s="3">
        <v>280</v>
      </c>
      <c r="I263" s="3">
        <v>2009</v>
      </c>
      <c r="J263" s="3">
        <v>6221</v>
      </c>
      <c r="K263" s="3">
        <v>236910</v>
      </c>
      <c r="L263" s="3" t="s">
        <v>45</v>
      </c>
      <c r="M263" s="4">
        <v>0.10874593727575872</v>
      </c>
    </row>
    <row r="264" spans="1:13" x14ac:dyDescent="0.3">
      <c r="A264" s="3" t="s">
        <v>68</v>
      </c>
      <c r="B264" s="3" t="s">
        <v>18</v>
      </c>
      <c r="C264" s="2">
        <v>45911</v>
      </c>
      <c r="D264" s="3" t="s">
        <v>34</v>
      </c>
      <c r="E264" s="3" t="s">
        <v>365</v>
      </c>
      <c r="F264" s="3">
        <v>10175</v>
      </c>
      <c r="G264" s="3">
        <v>342</v>
      </c>
      <c r="H264" s="3">
        <v>825</v>
      </c>
      <c r="I264" s="3">
        <v>2904</v>
      </c>
      <c r="J264" s="3">
        <v>15954</v>
      </c>
      <c r="K264" s="3">
        <v>104324</v>
      </c>
      <c r="L264" s="3" t="s">
        <v>20</v>
      </c>
      <c r="M264" s="4">
        <v>0.10871899083624094</v>
      </c>
    </row>
    <row r="265" spans="1:13" x14ac:dyDescent="0.3">
      <c r="A265" s="3" t="s">
        <v>68</v>
      </c>
      <c r="B265" s="3" t="s">
        <v>18</v>
      </c>
      <c r="C265" s="2">
        <v>45911</v>
      </c>
      <c r="D265" s="3" t="s">
        <v>34</v>
      </c>
      <c r="E265" s="3" t="s">
        <v>359</v>
      </c>
      <c r="F265" s="3">
        <v>10175</v>
      </c>
      <c r="G265" s="3">
        <v>342</v>
      </c>
      <c r="H265" s="3">
        <v>825</v>
      </c>
      <c r="I265" s="3">
        <v>2904</v>
      </c>
      <c r="J265" s="3">
        <v>15954</v>
      </c>
      <c r="K265" s="3">
        <v>104324</v>
      </c>
      <c r="L265" s="3" t="s">
        <v>20</v>
      </c>
      <c r="M265" s="4">
        <v>0.10871899083624094</v>
      </c>
    </row>
    <row r="266" spans="1:13" x14ac:dyDescent="0.3">
      <c r="A266" s="3" t="s">
        <v>219</v>
      </c>
      <c r="B266" s="3" t="s">
        <v>40</v>
      </c>
      <c r="C266" s="2">
        <v>45643</v>
      </c>
      <c r="D266" s="3" t="s">
        <v>14</v>
      </c>
      <c r="E266" s="3" t="s">
        <v>363</v>
      </c>
      <c r="F266" s="3">
        <v>20030</v>
      </c>
      <c r="G266" s="3">
        <v>485</v>
      </c>
      <c r="H266" s="3">
        <v>888</v>
      </c>
      <c r="I266" s="3">
        <v>1643</v>
      </c>
      <c r="J266" s="3">
        <v>4322</v>
      </c>
      <c r="K266" s="3">
        <v>196995</v>
      </c>
      <c r="L266" s="3" t="s">
        <v>25</v>
      </c>
      <c r="M266" s="4">
        <v>0.10864742759968526</v>
      </c>
    </row>
    <row r="267" spans="1:13" x14ac:dyDescent="0.3">
      <c r="A267" s="3" t="s">
        <v>219</v>
      </c>
      <c r="B267" s="3" t="s">
        <v>40</v>
      </c>
      <c r="C267" s="2">
        <v>45643</v>
      </c>
      <c r="D267" s="3" t="s">
        <v>14</v>
      </c>
      <c r="E267" s="3" t="s">
        <v>364</v>
      </c>
      <c r="F267" s="3">
        <v>20030</v>
      </c>
      <c r="G267" s="3">
        <v>485</v>
      </c>
      <c r="H267" s="3">
        <v>888</v>
      </c>
      <c r="I267" s="3">
        <v>1643</v>
      </c>
      <c r="J267" s="3">
        <v>4322</v>
      </c>
      <c r="K267" s="3">
        <v>196995</v>
      </c>
      <c r="L267" s="3" t="s">
        <v>25</v>
      </c>
      <c r="M267" s="4">
        <v>0.10864742759968526</v>
      </c>
    </row>
    <row r="268" spans="1:13" x14ac:dyDescent="0.3">
      <c r="A268" s="3" t="s">
        <v>87</v>
      </c>
      <c r="B268" s="3" t="s">
        <v>40</v>
      </c>
      <c r="C268" s="2">
        <v>45919</v>
      </c>
      <c r="D268" s="3" t="s">
        <v>14</v>
      </c>
      <c r="E268" s="3" t="s">
        <v>363</v>
      </c>
      <c r="F268" s="3">
        <v>19100</v>
      </c>
      <c r="G268" s="3">
        <v>619</v>
      </c>
      <c r="H268" s="3">
        <v>297</v>
      </c>
      <c r="I268" s="3">
        <v>2312</v>
      </c>
      <c r="J268" s="3">
        <v>9730</v>
      </c>
      <c r="K268" s="3">
        <v>184832</v>
      </c>
      <c r="L268" s="3" t="s">
        <v>20</v>
      </c>
      <c r="M268" s="4">
        <v>0.10829293628808864</v>
      </c>
    </row>
    <row r="269" spans="1:13" x14ac:dyDescent="0.3">
      <c r="A269" s="3" t="s">
        <v>87</v>
      </c>
      <c r="B269" s="3" t="s">
        <v>40</v>
      </c>
      <c r="C269" s="2">
        <v>45919</v>
      </c>
      <c r="D269" s="3" t="s">
        <v>14</v>
      </c>
      <c r="E269" s="3" t="s">
        <v>364</v>
      </c>
      <c r="F269" s="3">
        <v>19100</v>
      </c>
      <c r="G269" s="3">
        <v>619</v>
      </c>
      <c r="H269" s="3">
        <v>297</v>
      </c>
      <c r="I269" s="3">
        <v>2312</v>
      </c>
      <c r="J269" s="3">
        <v>9730</v>
      </c>
      <c r="K269" s="3">
        <v>184832</v>
      </c>
      <c r="L269" s="3" t="s">
        <v>20</v>
      </c>
      <c r="M269" s="4">
        <v>0.10829293628808864</v>
      </c>
    </row>
    <row r="270" spans="1:13" x14ac:dyDescent="0.3">
      <c r="A270" s="3" t="s">
        <v>235</v>
      </c>
      <c r="B270" s="3" t="s">
        <v>22</v>
      </c>
      <c r="C270" s="2">
        <v>45920</v>
      </c>
      <c r="D270" s="3" t="s">
        <v>14</v>
      </c>
      <c r="E270" s="3" t="s">
        <v>363</v>
      </c>
      <c r="F270" s="3">
        <v>12267</v>
      </c>
      <c r="G270" s="3">
        <v>1487</v>
      </c>
      <c r="H270" s="3">
        <v>489</v>
      </c>
      <c r="I270" s="3">
        <v>2748</v>
      </c>
      <c r="J270" s="3">
        <v>34685</v>
      </c>
      <c r="K270" s="3">
        <v>131736</v>
      </c>
      <c r="L270" s="3" t="s">
        <v>20</v>
      </c>
      <c r="M270" s="4">
        <v>0.1081177506528208</v>
      </c>
    </row>
    <row r="271" spans="1:13" x14ac:dyDescent="0.3">
      <c r="A271" s="3" t="s">
        <v>235</v>
      </c>
      <c r="B271" s="3" t="s">
        <v>22</v>
      </c>
      <c r="C271" s="2">
        <v>45920</v>
      </c>
      <c r="D271" s="3" t="s">
        <v>14</v>
      </c>
      <c r="E271" s="3" t="s">
        <v>364</v>
      </c>
      <c r="F271" s="3">
        <v>12267</v>
      </c>
      <c r="G271" s="3">
        <v>1487</v>
      </c>
      <c r="H271" s="3">
        <v>489</v>
      </c>
      <c r="I271" s="3">
        <v>2748</v>
      </c>
      <c r="J271" s="3">
        <v>34685</v>
      </c>
      <c r="K271" s="3">
        <v>131736</v>
      </c>
      <c r="L271" s="3" t="s">
        <v>20</v>
      </c>
      <c r="M271" s="4">
        <v>0.1081177506528208</v>
      </c>
    </row>
    <row r="272" spans="1:13" x14ac:dyDescent="0.3">
      <c r="A272" s="3" t="s">
        <v>298</v>
      </c>
      <c r="B272" s="3" t="s">
        <v>40</v>
      </c>
      <c r="C272" s="2">
        <v>45675</v>
      </c>
      <c r="D272" s="3" t="s">
        <v>23</v>
      </c>
      <c r="E272" s="3" t="s">
        <v>367</v>
      </c>
      <c r="F272" s="3">
        <v>22673</v>
      </c>
      <c r="G272" s="3">
        <v>1053</v>
      </c>
      <c r="H272" s="3">
        <v>169</v>
      </c>
      <c r="I272" s="3">
        <v>1566</v>
      </c>
      <c r="J272" s="3">
        <v>9417</v>
      </c>
      <c r="K272" s="3">
        <v>221187</v>
      </c>
      <c r="L272" s="3" t="s">
        <v>29</v>
      </c>
      <c r="M272" s="4">
        <v>0.10803076130152314</v>
      </c>
    </row>
    <row r="273" spans="1:13" x14ac:dyDescent="0.3">
      <c r="A273" s="3" t="s">
        <v>298</v>
      </c>
      <c r="B273" s="3" t="s">
        <v>40</v>
      </c>
      <c r="C273" s="2">
        <v>45675</v>
      </c>
      <c r="D273" s="3" t="s">
        <v>23</v>
      </c>
      <c r="E273" s="3" t="s">
        <v>32</v>
      </c>
      <c r="F273" s="3">
        <v>22673</v>
      </c>
      <c r="G273" s="3">
        <v>1053</v>
      </c>
      <c r="H273" s="3">
        <v>169</v>
      </c>
      <c r="I273" s="3">
        <v>1566</v>
      </c>
      <c r="J273" s="3">
        <v>9417</v>
      </c>
      <c r="K273" s="3">
        <v>221187</v>
      </c>
      <c r="L273" s="3" t="s">
        <v>29</v>
      </c>
      <c r="M273" s="4">
        <v>0.10803076130152314</v>
      </c>
    </row>
    <row r="274" spans="1:13" x14ac:dyDescent="0.3">
      <c r="A274" s="3" t="s">
        <v>304</v>
      </c>
      <c r="B274" s="3" t="s">
        <v>18</v>
      </c>
      <c r="C274" s="2">
        <v>45760</v>
      </c>
      <c r="D274" s="3" t="s">
        <v>34</v>
      </c>
      <c r="E274" s="3" t="s">
        <v>64</v>
      </c>
      <c r="F274" s="3">
        <v>24700</v>
      </c>
      <c r="G274" s="3">
        <v>327</v>
      </c>
      <c r="H274" s="3">
        <v>999</v>
      </c>
      <c r="I274" s="3">
        <v>994</v>
      </c>
      <c r="J274" s="3">
        <v>59400</v>
      </c>
      <c r="K274" s="3">
        <v>243502</v>
      </c>
      <c r="L274" s="3" t="s">
        <v>25</v>
      </c>
      <c r="M274" s="4">
        <v>0.10688207899729776</v>
      </c>
    </row>
    <row r="275" spans="1:13" x14ac:dyDescent="0.3">
      <c r="A275" s="3" t="s">
        <v>216</v>
      </c>
      <c r="B275" s="3" t="s">
        <v>13</v>
      </c>
      <c r="C275" s="2">
        <v>45941</v>
      </c>
      <c r="D275" s="3" t="s">
        <v>34</v>
      </c>
      <c r="E275" s="3" t="s">
        <v>363</v>
      </c>
      <c r="F275" s="3">
        <v>15623</v>
      </c>
      <c r="G275" s="3">
        <v>869</v>
      </c>
      <c r="H275" s="3">
        <v>423</v>
      </c>
      <c r="I275" s="3">
        <v>371</v>
      </c>
      <c r="J275" s="3">
        <v>47579</v>
      </c>
      <c r="K275" s="3">
        <v>158516</v>
      </c>
      <c r="L275" s="3" t="s">
        <v>20</v>
      </c>
      <c r="M275" s="4">
        <v>0.10670847106916652</v>
      </c>
    </row>
    <row r="276" spans="1:13" x14ac:dyDescent="0.3">
      <c r="A276" s="3" t="s">
        <v>216</v>
      </c>
      <c r="B276" s="3" t="s">
        <v>13</v>
      </c>
      <c r="C276" s="2">
        <v>45941</v>
      </c>
      <c r="D276" s="3" t="s">
        <v>34</v>
      </c>
      <c r="E276" s="3" t="s">
        <v>364</v>
      </c>
      <c r="F276" s="3">
        <v>15623</v>
      </c>
      <c r="G276" s="3">
        <v>869</v>
      </c>
      <c r="H276" s="3">
        <v>423</v>
      </c>
      <c r="I276" s="3">
        <v>371</v>
      </c>
      <c r="J276" s="3">
        <v>47579</v>
      </c>
      <c r="K276" s="3">
        <v>158516</v>
      </c>
      <c r="L276" s="3" t="s">
        <v>20</v>
      </c>
      <c r="M276" s="4">
        <v>0.10670847106916652</v>
      </c>
    </row>
    <row r="277" spans="1:13" x14ac:dyDescent="0.3">
      <c r="A277" s="3" t="s">
        <v>250</v>
      </c>
      <c r="B277" s="3" t="s">
        <v>13</v>
      </c>
      <c r="C277" s="2">
        <v>45649</v>
      </c>
      <c r="D277" s="3" t="s">
        <v>27</v>
      </c>
      <c r="E277" s="3" t="s">
        <v>357</v>
      </c>
      <c r="F277" s="3">
        <v>18616</v>
      </c>
      <c r="G277" s="3">
        <v>1277</v>
      </c>
      <c r="H277" s="3">
        <v>734</v>
      </c>
      <c r="I277" s="3">
        <v>2249</v>
      </c>
      <c r="J277" s="3">
        <v>3399</v>
      </c>
      <c r="K277" s="3">
        <v>193515</v>
      </c>
      <c r="L277" s="3" t="s">
        <v>29</v>
      </c>
      <c r="M277" s="4">
        <v>0.10659122031883833</v>
      </c>
    </row>
    <row r="278" spans="1:13" x14ac:dyDescent="0.3">
      <c r="A278" s="3" t="s">
        <v>250</v>
      </c>
      <c r="B278" s="3" t="s">
        <v>13</v>
      </c>
      <c r="C278" s="2">
        <v>45649</v>
      </c>
      <c r="D278" s="3" t="s">
        <v>27</v>
      </c>
      <c r="E278" s="3" t="s">
        <v>358</v>
      </c>
      <c r="F278" s="3">
        <v>18616</v>
      </c>
      <c r="G278" s="3">
        <v>1277</v>
      </c>
      <c r="H278" s="3">
        <v>734</v>
      </c>
      <c r="I278" s="3">
        <v>2249</v>
      </c>
      <c r="J278" s="3">
        <v>3399</v>
      </c>
      <c r="K278" s="3">
        <v>193515</v>
      </c>
      <c r="L278" s="3" t="s">
        <v>29</v>
      </c>
      <c r="M278" s="4">
        <v>0.10659122031883833</v>
      </c>
    </row>
    <row r="279" spans="1:13" x14ac:dyDescent="0.3">
      <c r="A279" s="3" t="s">
        <v>308</v>
      </c>
      <c r="B279" s="3" t="s">
        <v>18</v>
      </c>
      <c r="C279" s="2">
        <v>45743</v>
      </c>
      <c r="D279" s="3" t="s">
        <v>23</v>
      </c>
      <c r="E279" s="3" t="s">
        <v>367</v>
      </c>
      <c r="F279" s="3">
        <v>14819</v>
      </c>
      <c r="G279" s="3">
        <v>1432</v>
      </c>
      <c r="H279" s="3">
        <v>152</v>
      </c>
      <c r="I279" s="3">
        <v>961</v>
      </c>
      <c r="J279" s="3">
        <v>39154</v>
      </c>
      <c r="K279" s="3">
        <v>154793</v>
      </c>
      <c r="L279" s="3" t="s">
        <v>29</v>
      </c>
      <c r="M279" s="4">
        <v>0.10596732410380315</v>
      </c>
    </row>
    <row r="280" spans="1:13" x14ac:dyDescent="0.3">
      <c r="A280" s="3" t="s">
        <v>308</v>
      </c>
      <c r="B280" s="3" t="s">
        <v>18</v>
      </c>
      <c r="C280" s="2">
        <v>45743</v>
      </c>
      <c r="D280" s="3" t="s">
        <v>23</v>
      </c>
      <c r="E280" s="3" t="s">
        <v>32</v>
      </c>
      <c r="F280" s="3">
        <v>14819</v>
      </c>
      <c r="G280" s="3">
        <v>1432</v>
      </c>
      <c r="H280" s="3">
        <v>152</v>
      </c>
      <c r="I280" s="3">
        <v>961</v>
      </c>
      <c r="J280" s="3">
        <v>39154</v>
      </c>
      <c r="K280" s="3">
        <v>154793</v>
      </c>
      <c r="L280" s="3" t="s">
        <v>29</v>
      </c>
      <c r="M280" s="4">
        <v>0.10596732410380315</v>
      </c>
    </row>
    <row r="281" spans="1:13" x14ac:dyDescent="0.3">
      <c r="A281" s="3" t="s">
        <v>234</v>
      </c>
      <c r="B281" s="3" t="s">
        <v>18</v>
      </c>
      <c r="C281" s="2">
        <v>45919</v>
      </c>
      <c r="D281" s="3" t="s">
        <v>34</v>
      </c>
      <c r="E281" s="3" t="s">
        <v>359</v>
      </c>
      <c r="F281" s="3">
        <v>14772</v>
      </c>
      <c r="G281" s="3">
        <v>1030</v>
      </c>
      <c r="H281" s="3">
        <v>508</v>
      </c>
      <c r="I281" s="3">
        <v>1876</v>
      </c>
      <c r="J281" s="3">
        <v>8882</v>
      </c>
      <c r="K281" s="3">
        <v>155142</v>
      </c>
      <c r="L281" s="3" t="s">
        <v>20</v>
      </c>
      <c r="M281" s="4">
        <v>0.10512949426976577</v>
      </c>
    </row>
    <row r="282" spans="1:13" x14ac:dyDescent="0.3">
      <c r="A282" s="3" t="s">
        <v>234</v>
      </c>
      <c r="B282" s="3" t="s">
        <v>18</v>
      </c>
      <c r="C282" s="2">
        <v>45919</v>
      </c>
      <c r="D282" s="3" t="s">
        <v>34</v>
      </c>
      <c r="E282" s="3" t="s">
        <v>360</v>
      </c>
      <c r="F282" s="3">
        <v>14772</v>
      </c>
      <c r="G282" s="3">
        <v>1030</v>
      </c>
      <c r="H282" s="3">
        <v>508</v>
      </c>
      <c r="I282" s="3">
        <v>1876</v>
      </c>
      <c r="J282" s="3">
        <v>8882</v>
      </c>
      <c r="K282" s="3">
        <v>155142</v>
      </c>
      <c r="L282" s="3" t="s">
        <v>20</v>
      </c>
      <c r="M282" s="4">
        <v>0.10512949426976577</v>
      </c>
    </row>
    <row r="283" spans="1:13" x14ac:dyDescent="0.3">
      <c r="A283" s="3" t="s">
        <v>332</v>
      </c>
      <c r="B283" s="3" t="s">
        <v>18</v>
      </c>
      <c r="C283" s="2">
        <v>45699</v>
      </c>
      <c r="D283" s="3" t="s">
        <v>34</v>
      </c>
      <c r="E283" s="3" t="s">
        <v>368</v>
      </c>
      <c r="F283" s="3">
        <v>3619</v>
      </c>
      <c r="G283" s="3">
        <v>1376</v>
      </c>
      <c r="H283" s="3">
        <v>410</v>
      </c>
      <c r="I283" s="3">
        <v>2499</v>
      </c>
      <c r="J283" s="3">
        <v>58146</v>
      </c>
      <c r="K283" s="3">
        <v>52149</v>
      </c>
      <c r="L283" s="3" t="s">
        <v>16</v>
      </c>
      <c r="M283" s="4">
        <v>0.10364532397553165</v>
      </c>
    </row>
    <row r="284" spans="1:13" x14ac:dyDescent="0.3">
      <c r="A284" s="3" t="s">
        <v>332</v>
      </c>
      <c r="B284" s="3" t="s">
        <v>18</v>
      </c>
      <c r="C284" s="2">
        <v>45699</v>
      </c>
      <c r="D284" s="3" t="s">
        <v>34</v>
      </c>
      <c r="E284" s="3" t="s">
        <v>369</v>
      </c>
      <c r="F284" s="3">
        <v>3619</v>
      </c>
      <c r="G284" s="3">
        <v>1376</v>
      </c>
      <c r="H284" s="3">
        <v>410</v>
      </c>
      <c r="I284" s="3">
        <v>2499</v>
      </c>
      <c r="J284" s="3">
        <v>58146</v>
      </c>
      <c r="K284" s="3">
        <v>52149</v>
      </c>
      <c r="L284" s="3" t="s">
        <v>16</v>
      </c>
      <c r="M284" s="4">
        <v>0.10364532397553165</v>
      </c>
    </row>
    <row r="285" spans="1:13" x14ac:dyDescent="0.3">
      <c r="A285" s="3" t="s">
        <v>276</v>
      </c>
      <c r="B285" s="3" t="s">
        <v>18</v>
      </c>
      <c r="C285" s="2">
        <v>45911</v>
      </c>
      <c r="D285" s="3" t="s">
        <v>27</v>
      </c>
      <c r="E285" s="3" t="s">
        <v>361</v>
      </c>
      <c r="F285" s="3">
        <v>21901</v>
      </c>
      <c r="G285" s="3">
        <v>1308</v>
      </c>
      <c r="H285" s="3">
        <v>724</v>
      </c>
      <c r="I285" s="3">
        <v>2183</v>
      </c>
      <c r="J285" s="3">
        <v>15996</v>
      </c>
      <c r="K285" s="3">
        <v>230961</v>
      </c>
      <c r="L285" s="3" t="s">
        <v>20</v>
      </c>
      <c r="M285" s="4">
        <v>0.10362355549205277</v>
      </c>
    </row>
    <row r="286" spans="1:13" x14ac:dyDescent="0.3">
      <c r="A286" s="3" t="s">
        <v>276</v>
      </c>
      <c r="B286" s="3" t="s">
        <v>18</v>
      </c>
      <c r="C286" s="2">
        <v>45911</v>
      </c>
      <c r="D286" s="3" t="s">
        <v>27</v>
      </c>
      <c r="E286" s="3" t="s">
        <v>362</v>
      </c>
      <c r="F286" s="3">
        <v>21901</v>
      </c>
      <c r="G286" s="3">
        <v>1308</v>
      </c>
      <c r="H286" s="3">
        <v>724</v>
      </c>
      <c r="I286" s="3">
        <v>2183</v>
      </c>
      <c r="J286" s="3">
        <v>15996</v>
      </c>
      <c r="K286" s="3">
        <v>230961</v>
      </c>
      <c r="L286" s="3" t="s">
        <v>20</v>
      </c>
      <c r="M286" s="4">
        <v>0.10362355549205277</v>
      </c>
    </row>
    <row r="287" spans="1:13" x14ac:dyDescent="0.3">
      <c r="A287" s="3" t="s">
        <v>279</v>
      </c>
      <c r="B287" s="3" t="s">
        <v>18</v>
      </c>
      <c r="C287" s="2">
        <v>45722</v>
      </c>
      <c r="D287" s="3" t="s">
        <v>23</v>
      </c>
      <c r="E287" s="3" t="s">
        <v>365</v>
      </c>
      <c r="F287" s="3">
        <v>22119</v>
      </c>
      <c r="G287" s="3">
        <v>899</v>
      </c>
      <c r="H287" s="3">
        <v>642</v>
      </c>
      <c r="I287" s="3">
        <v>410</v>
      </c>
      <c r="J287" s="3">
        <v>49490</v>
      </c>
      <c r="K287" s="3">
        <v>229420</v>
      </c>
      <c r="L287" s="3" t="s">
        <v>29</v>
      </c>
      <c r="M287" s="4">
        <v>0.10312963124400662</v>
      </c>
    </row>
    <row r="288" spans="1:13" x14ac:dyDescent="0.3">
      <c r="A288" s="3" t="s">
        <v>279</v>
      </c>
      <c r="B288" s="3" t="s">
        <v>18</v>
      </c>
      <c r="C288" s="2">
        <v>45722</v>
      </c>
      <c r="D288" s="3" t="s">
        <v>23</v>
      </c>
      <c r="E288" s="3" t="s">
        <v>359</v>
      </c>
      <c r="F288" s="3">
        <v>22119</v>
      </c>
      <c r="G288" s="3">
        <v>899</v>
      </c>
      <c r="H288" s="3">
        <v>642</v>
      </c>
      <c r="I288" s="3">
        <v>410</v>
      </c>
      <c r="J288" s="3">
        <v>49490</v>
      </c>
      <c r="K288" s="3">
        <v>229420</v>
      </c>
      <c r="L288" s="3" t="s">
        <v>29</v>
      </c>
      <c r="M288" s="4">
        <v>0.10312963124400662</v>
      </c>
    </row>
    <row r="289" spans="1:13" x14ac:dyDescent="0.3">
      <c r="A289" s="3" t="s">
        <v>326</v>
      </c>
      <c r="B289" s="3" t="s">
        <v>18</v>
      </c>
      <c r="C289" s="2">
        <v>45920</v>
      </c>
      <c r="D289" s="3" t="s">
        <v>14</v>
      </c>
      <c r="E289" s="3" t="s">
        <v>32</v>
      </c>
      <c r="F289" s="3">
        <v>24422</v>
      </c>
      <c r="G289" s="3">
        <v>327</v>
      </c>
      <c r="H289" s="3">
        <v>481</v>
      </c>
      <c r="I289" s="3">
        <v>2371</v>
      </c>
      <c r="J289" s="3">
        <v>35340</v>
      </c>
      <c r="K289" s="3">
        <v>245244</v>
      </c>
      <c r="L289" s="3" t="s">
        <v>20</v>
      </c>
      <c r="M289" s="4">
        <v>0.10287713460879777</v>
      </c>
    </row>
    <row r="290" spans="1:13" x14ac:dyDescent="0.3">
      <c r="A290" s="3" t="s">
        <v>273</v>
      </c>
      <c r="B290" s="3" t="s">
        <v>40</v>
      </c>
      <c r="C290" s="2">
        <v>45587</v>
      </c>
      <c r="D290" s="3" t="s">
        <v>34</v>
      </c>
      <c r="E290" s="3" t="s">
        <v>357</v>
      </c>
      <c r="F290" s="3">
        <v>7622</v>
      </c>
      <c r="G290" s="3">
        <v>529</v>
      </c>
      <c r="H290" s="3">
        <v>720</v>
      </c>
      <c r="I290" s="3">
        <v>1015</v>
      </c>
      <c r="J290" s="3">
        <v>71322</v>
      </c>
      <c r="K290" s="3">
        <v>86819</v>
      </c>
      <c r="L290" s="3" t="s">
        <v>45</v>
      </c>
      <c r="M290" s="4">
        <v>0.10217809465669957</v>
      </c>
    </row>
    <row r="291" spans="1:13" x14ac:dyDescent="0.3">
      <c r="A291" s="3" t="s">
        <v>273</v>
      </c>
      <c r="B291" s="3" t="s">
        <v>40</v>
      </c>
      <c r="C291" s="2">
        <v>45587</v>
      </c>
      <c r="D291" s="3" t="s">
        <v>34</v>
      </c>
      <c r="E291" s="3" t="s">
        <v>358</v>
      </c>
      <c r="F291" s="3">
        <v>7622</v>
      </c>
      <c r="G291" s="3">
        <v>529</v>
      </c>
      <c r="H291" s="3">
        <v>720</v>
      </c>
      <c r="I291" s="3">
        <v>1015</v>
      </c>
      <c r="J291" s="3">
        <v>71322</v>
      </c>
      <c r="K291" s="3">
        <v>86819</v>
      </c>
      <c r="L291" s="3" t="s">
        <v>45</v>
      </c>
      <c r="M291" s="4">
        <v>0.10217809465669957</v>
      </c>
    </row>
    <row r="292" spans="1:13" x14ac:dyDescent="0.3">
      <c r="A292" s="3" t="s">
        <v>202</v>
      </c>
      <c r="B292" s="3" t="s">
        <v>22</v>
      </c>
      <c r="C292" s="2">
        <v>45704</v>
      </c>
      <c r="D292" s="3" t="s">
        <v>23</v>
      </c>
      <c r="E292" s="3" t="s">
        <v>359</v>
      </c>
      <c r="F292" s="3">
        <v>24195</v>
      </c>
      <c r="G292" s="3">
        <v>888</v>
      </c>
      <c r="H292" s="3">
        <v>165</v>
      </c>
      <c r="I292" s="3">
        <v>1559</v>
      </c>
      <c r="J292" s="3">
        <v>11596</v>
      </c>
      <c r="K292" s="3">
        <v>249988</v>
      </c>
      <c r="L292" s="3" t="s">
        <v>25</v>
      </c>
      <c r="M292" s="4">
        <v>0.10099684784869674</v>
      </c>
    </row>
    <row r="293" spans="1:13" x14ac:dyDescent="0.3">
      <c r="A293" s="3" t="s">
        <v>202</v>
      </c>
      <c r="B293" s="3" t="s">
        <v>22</v>
      </c>
      <c r="C293" s="2">
        <v>45704</v>
      </c>
      <c r="D293" s="3" t="s">
        <v>23</v>
      </c>
      <c r="E293" s="3" t="s">
        <v>366</v>
      </c>
      <c r="F293" s="3">
        <v>24195</v>
      </c>
      <c r="G293" s="3">
        <v>888</v>
      </c>
      <c r="H293" s="3">
        <v>165</v>
      </c>
      <c r="I293" s="3">
        <v>1559</v>
      </c>
      <c r="J293" s="3">
        <v>11596</v>
      </c>
      <c r="K293" s="3">
        <v>249988</v>
      </c>
      <c r="L293" s="3" t="s">
        <v>25</v>
      </c>
      <c r="M293" s="4">
        <v>0.10099684784869674</v>
      </c>
    </row>
    <row r="294" spans="1:13" x14ac:dyDescent="0.3">
      <c r="A294" s="3" t="s">
        <v>158</v>
      </c>
      <c r="B294" s="3" t="s">
        <v>22</v>
      </c>
      <c r="C294" s="2">
        <v>45567</v>
      </c>
      <c r="D294" s="3" t="s">
        <v>27</v>
      </c>
      <c r="E294" s="3" t="s">
        <v>367</v>
      </c>
      <c r="F294" s="3">
        <v>9350</v>
      </c>
      <c r="G294" s="3">
        <v>1024</v>
      </c>
      <c r="H294" s="3">
        <v>550</v>
      </c>
      <c r="I294" s="3">
        <v>2123</v>
      </c>
      <c r="J294" s="3">
        <v>53916</v>
      </c>
      <c r="K294" s="3">
        <v>108785</v>
      </c>
      <c r="L294" s="3" t="s">
        <v>25</v>
      </c>
      <c r="M294" s="4">
        <v>0.10041825619340902</v>
      </c>
    </row>
    <row r="295" spans="1:13" x14ac:dyDescent="0.3">
      <c r="A295" s="3" t="s">
        <v>158</v>
      </c>
      <c r="B295" s="3" t="s">
        <v>22</v>
      </c>
      <c r="C295" s="2">
        <v>45567</v>
      </c>
      <c r="D295" s="3" t="s">
        <v>27</v>
      </c>
      <c r="E295" s="3" t="s">
        <v>32</v>
      </c>
      <c r="F295" s="3">
        <v>9350</v>
      </c>
      <c r="G295" s="3">
        <v>1024</v>
      </c>
      <c r="H295" s="3">
        <v>550</v>
      </c>
      <c r="I295" s="3">
        <v>2123</v>
      </c>
      <c r="J295" s="3">
        <v>53916</v>
      </c>
      <c r="K295" s="3">
        <v>108785</v>
      </c>
      <c r="L295" s="3" t="s">
        <v>25</v>
      </c>
      <c r="M295" s="4">
        <v>0.10041825619340902</v>
      </c>
    </row>
    <row r="296" spans="1:13" x14ac:dyDescent="0.3">
      <c r="A296" s="3" t="s">
        <v>285</v>
      </c>
      <c r="B296" s="3" t="s">
        <v>22</v>
      </c>
      <c r="C296" s="2">
        <v>45491</v>
      </c>
      <c r="D296" s="3" t="s">
        <v>27</v>
      </c>
      <c r="E296" s="3" t="s">
        <v>64</v>
      </c>
      <c r="F296" s="3">
        <v>11111</v>
      </c>
      <c r="G296" s="3">
        <v>1222</v>
      </c>
      <c r="H296" s="3">
        <v>367</v>
      </c>
      <c r="I296" s="3">
        <v>507</v>
      </c>
      <c r="J296" s="3">
        <v>14129</v>
      </c>
      <c r="K296" s="3">
        <v>127163</v>
      </c>
      <c r="L296" s="3" t="s">
        <v>45</v>
      </c>
      <c r="M296" s="4">
        <v>9.9871818060284834E-2</v>
      </c>
    </row>
    <row r="297" spans="1:13" x14ac:dyDescent="0.3">
      <c r="A297" s="3" t="s">
        <v>201</v>
      </c>
      <c r="B297" s="3" t="s">
        <v>40</v>
      </c>
      <c r="C297" s="2">
        <v>45937</v>
      </c>
      <c r="D297" s="3" t="s">
        <v>34</v>
      </c>
      <c r="E297" s="3" t="s">
        <v>363</v>
      </c>
      <c r="F297" s="3">
        <v>19660</v>
      </c>
      <c r="G297" s="3">
        <v>1307</v>
      </c>
      <c r="H297" s="3">
        <v>310</v>
      </c>
      <c r="I297" s="3">
        <v>2802</v>
      </c>
      <c r="J297" s="3">
        <v>22171</v>
      </c>
      <c r="K297" s="3">
        <v>213359</v>
      </c>
      <c r="L297" s="3" t="s">
        <v>20</v>
      </c>
      <c r="M297" s="4">
        <v>9.9723939463533293E-2</v>
      </c>
    </row>
    <row r="298" spans="1:13" x14ac:dyDescent="0.3">
      <c r="A298" s="3" t="s">
        <v>201</v>
      </c>
      <c r="B298" s="3" t="s">
        <v>40</v>
      </c>
      <c r="C298" s="2">
        <v>45937</v>
      </c>
      <c r="D298" s="3" t="s">
        <v>34</v>
      </c>
      <c r="E298" s="3" t="s">
        <v>364</v>
      </c>
      <c r="F298" s="3">
        <v>19660</v>
      </c>
      <c r="G298" s="3">
        <v>1307</v>
      </c>
      <c r="H298" s="3">
        <v>310</v>
      </c>
      <c r="I298" s="3">
        <v>2802</v>
      </c>
      <c r="J298" s="3">
        <v>22171</v>
      </c>
      <c r="K298" s="3">
        <v>213359</v>
      </c>
      <c r="L298" s="3" t="s">
        <v>20</v>
      </c>
      <c r="M298" s="4">
        <v>9.9723939463533293E-2</v>
      </c>
    </row>
    <row r="299" spans="1:13" x14ac:dyDescent="0.3">
      <c r="A299" s="3" t="s">
        <v>39</v>
      </c>
      <c r="B299" s="3" t="s">
        <v>40</v>
      </c>
      <c r="C299" s="2">
        <v>45727</v>
      </c>
      <c r="D299" s="3" t="s">
        <v>27</v>
      </c>
      <c r="E299" s="3" t="s">
        <v>365</v>
      </c>
      <c r="F299" s="3">
        <v>20222</v>
      </c>
      <c r="G299" s="3">
        <v>712</v>
      </c>
      <c r="H299" s="3">
        <v>604</v>
      </c>
      <c r="I299" s="3">
        <v>1272</v>
      </c>
      <c r="J299" s="3">
        <v>71598</v>
      </c>
      <c r="K299" s="3">
        <v>216422</v>
      </c>
      <c r="L299" s="3" t="s">
        <v>25</v>
      </c>
      <c r="M299" s="4">
        <v>9.9518533235992648E-2</v>
      </c>
    </row>
    <row r="300" spans="1:13" x14ac:dyDescent="0.3">
      <c r="A300" s="3" t="s">
        <v>39</v>
      </c>
      <c r="B300" s="3" t="s">
        <v>40</v>
      </c>
      <c r="C300" s="2">
        <v>45727</v>
      </c>
      <c r="D300" s="3" t="s">
        <v>27</v>
      </c>
      <c r="E300" s="3" t="s">
        <v>359</v>
      </c>
      <c r="F300" s="3">
        <v>20222</v>
      </c>
      <c r="G300" s="3">
        <v>712</v>
      </c>
      <c r="H300" s="3">
        <v>604</v>
      </c>
      <c r="I300" s="3">
        <v>1272</v>
      </c>
      <c r="J300" s="3">
        <v>71598</v>
      </c>
      <c r="K300" s="3">
        <v>216422</v>
      </c>
      <c r="L300" s="3" t="s">
        <v>25</v>
      </c>
      <c r="M300" s="4">
        <v>9.9518533235992648E-2</v>
      </c>
    </row>
    <row r="301" spans="1:13" x14ac:dyDescent="0.3">
      <c r="A301" s="3" t="s">
        <v>139</v>
      </c>
      <c r="B301" s="3" t="s">
        <v>40</v>
      </c>
      <c r="C301" s="2">
        <v>45927</v>
      </c>
      <c r="D301" s="3" t="s">
        <v>23</v>
      </c>
      <c r="E301" s="3" t="s">
        <v>355</v>
      </c>
      <c r="F301" s="3">
        <v>18521</v>
      </c>
      <c r="G301" s="3">
        <v>1027</v>
      </c>
      <c r="H301" s="3">
        <v>230</v>
      </c>
      <c r="I301" s="3">
        <v>1247</v>
      </c>
      <c r="J301" s="3">
        <v>39588</v>
      </c>
      <c r="K301" s="3">
        <v>200928</v>
      </c>
      <c r="L301" s="3" t="s">
        <v>20</v>
      </c>
      <c r="M301" s="4">
        <v>9.8433269628921807E-2</v>
      </c>
    </row>
    <row r="302" spans="1:13" x14ac:dyDescent="0.3">
      <c r="A302" s="3" t="s">
        <v>139</v>
      </c>
      <c r="B302" s="3" t="s">
        <v>40</v>
      </c>
      <c r="C302" s="2">
        <v>45927</v>
      </c>
      <c r="D302" s="3" t="s">
        <v>23</v>
      </c>
      <c r="E302" s="3" t="s">
        <v>356</v>
      </c>
      <c r="F302" s="3">
        <v>18521</v>
      </c>
      <c r="G302" s="3">
        <v>1027</v>
      </c>
      <c r="H302" s="3">
        <v>230</v>
      </c>
      <c r="I302" s="3">
        <v>1247</v>
      </c>
      <c r="J302" s="3">
        <v>39588</v>
      </c>
      <c r="K302" s="3">
        <v>200928</v>
      </c>
      <c r="L302" s="3" t="s">
        <v>20</v>
      </c>
      <c r="M302" s="4">
        <v>9.8433269628921807E-2</v>
      </c>
    </row>
    <row r="303" spans="1:13" x14ac:dyDescent="0.3">
      <c r="A303" s="3" t="s">
        <v>154</v>
      </c>
      <c r="B303" s="3" t="s">
        <v>40</v>
      </c>
      <c r="C303" s="2">
        <v>45600</v>
      </c>
      <c r="D303" s="3" t="s">
        <v>27</v>
      </c>
      <c r="E303" s="3" t="s">
        <v>32</v>
      </c>
      <c r="F303" s="3">
        <v>14234</v>
      </c>
      <c r="G303" s="3">
        <v>1013</v>
      </c>
      <c r="H303" s="3">
        <v>437</v>
      </c>
      <c r="I303" s="3">
        <v>338</v>
      </c>
      <c r="J303" s="3">
        <v>67754</v>
      </c>
      <c r="K303" s="3">
        <v>160030</v>
      </c>
      <c r="L303" s="3" t="s">
        <v>25</v>
      </c>
      <c r="M303" s="4">
        <v>9.8006623758045364E-2</v>
      </c>
    </row>
    <row r="304" spans="1:13" x14ac:dyDescent="0.3">
      <c r="A304" s="3" t="s">
        <v>289</v>
      </c>
      <c r="B304" s="3" t="s">
        <v>18</v>
      </c>
      <c r="C304" s="2">
        <v>45916</v>
      </c>
      <c r="D304" s="3" t="s">
        <v>14</v>
      </c>
      <c r="E304" s="3" t="s">
        <v>64</v>
      </c>
      <c r="F304" s="3">
        <v>16043</v>
      </c>
      <c r="G304" s="3">
        <v>595</v>
      </c>
      <c r="H304" s="3">
        <v>923</v>
      </c>
      <c r="I304" s="3">
        <v>1194</v>
      </c>
      <c r="J304" s="3">
        <v>52613</v>
      </c>
      <c r="K304" s="3">
        <v>179978</v>
      </c>
      <c r="L304" s="3" t="s">
        <v>20</v>
      </c>
      <c r="M304" s="4">
        <v>9.757303670448611E-2</v>
      </c>
    </row>
    <row r="305" spans="1:13" x14ac:dyDescent="0.3">
      <c r="A305" s="3" t="s">
        <v>150</v>
      </c>
      <c r="B305" s="3" t="s">
        <v>40</v>
      </c>
      <c r="C305" s="2">
        <v>45610</v>
      </c>
      <c r="D305" s="3" t="s">
        <v>14</v>
      </c>
      <c r="E305" s="3" t="s">
        <v>357</v>
      </c>
      <c r="F305" s="3">
        <v>6300</v>
      </c>
      <c r="G305" s="3">
        <v>1213</v>
      </c>
      <c r="H305" s="3">
        <v>720</v>
      </c>
      <c r="I305" s="3">
        <v>1037</v>
      </c>
      <c r="J305" s="3">
        <v>39569</v>
      </c>
      <c r="K305" s="3">
        <v>85272</v>
      </c>
      <c r="L305" s="3" t="s">
        <v>29</v>
      </c>
      <c r="M305" s="4">
        <v>9.6549863964724647E-2</v>
      </c>
    </row>
    <row r="306" spans="1:13" x14ac:dyDescent="0.3">
      <c r="A306" s="3" t="s">
        <v>150</v>
      </c>
      <c r="B306" s="3" t="s">
        <v>40</v>
      </c>
      <c r="C306" s="2">
        <v>45610</v>
      </c>
      <c r="D306" s="3" t="s">
        <v>14</v>
      </c>
      <c r="E306" s="3" t="s">
        <v>358</v>
      </c>
      <c r="F306" s="3">
        <v>6300</v>
      </c>
      <c r="G306" s="3">
        <v>1213</v>
      </c>
      <c r="H306" s="3">
        <v>720</v>
      </c>
      <c r="I306" s="3">
        <v>1037</v>
      </c>
      <c r="J306" s="3">
        <v>39569</v>
      </c>
      <c r="K306" s="3">
        <v>85272</v>
      </c>
      <c r="L306" s="3" t="s">
        <v>29</v>
      </c>
      <c r="M306" s="4">
        <v>9.6549863964724647E-2</v>
      </c>
    </row>
    <row r="307" spans="1:13" x14ac:dyDescent="0.3">
      <c r="A307" s="3" t="s">
        <v>244</v>
      </c>
      <c r="B307" s="3" t="s">
        <v>18</v>
      </c>
      <c r="C307" s="2">
        <v>45467</v>
      </c>
      <c r="D307" s="3" t="s">
        <v>23</v>
      </c>
      <c r="E307" s="3" t="s">
        <v>355</v>
      </c>
      <c r="F307" s="3">
        <v>5596</v>
      </c>
      <c r="G307" s="3">
        <v>1231</v>
      </c>
      <c r="H307" s="3">
        <v>473</v>
      </c>
      <c r="I307" s="3">
        <v>2251</v>
      </c>
      <c r="J307" s="3">
        <v>43705</v>
      </c>
      <c r="K307" s="3">
        <v>75643</v>
      </c>
      <c r="L307" s="3" t="s">
        <v>16</v>
      </c>
      <c r="M307" s="4">
        <v>9.6505955607260427E-2</v>
      </c>
    </row>
    <row r="308" spans="1:13" x14ac:dyDescent="0.3">
      <c r="A308" s="3" t="s">
        <v>244</v>
      </c>
      <c r="B308" s="3" t="s">
        <v>18</v>
      </c>
      <c r="C308" s="2">
        <v>45467</v>
      </c>
      <c r="D308" s="3" t="s">
        <v>23</v>
      </c>
      <c r="E308" s="3" t="s">
        <v>356</v>
      </c>
      <c r="F308" s="3">
        <v>5596</v>
      </c>
      <c r="G308" s="3">
        <v>1231</v>
      </c>
      <c r="H308" s="3">
        <v>473</v>
      </c>
      <c r="I308" s="3">
        <v>2251</v>
      </c>
      <c r="J308" s="3">
        <v>43705</v>
      </c>
      <c r="K308" s="3">
        <v>75643</v>
      </c>
      <c r="L308" s="3" t="s">
        <v>16</v>
      </c>
      <c r="M308" s="4">
        <v>9.6505955607260427E-2</v>
      </c>
    </row>
    <row r="309" spans="1:13" x14ac:dyDescent="0.3">
      <c r="A309" s="3" t="s">
        <v>299</v>
      </c>
      <c r="B309" s="3" t="s">
        <v>22</v>
      </c>
      <c r="C309" s="2">
        <v>45524</v>
      </c>
      <c r="D309" s="3" t="s">
        <v>23</v>
      </c>
      <c r="E309" s="3" t="s">
        <v>32</v>
      </c>
      <c r="F309" s="3">
        <v>2846</v>
      </c>
      <c r="G309" s="3">
        <v>792</v>
      </c>
      <c r="H309" s="3">
        <v>902</v>
      </c>
      <c r="I309" s="3">
        <v>2469</v>
      </c>
      <c r="J309" s="3">
        <v>12130</v>
      </c>
      <c r="K309" s="3">
        <v>47151</v>
      </c>
      <c r="L309" s="3" t="s">
        <v>16</v>
      </c>
      <c r="M309" s="4">
        <v>9.6286399015927546E-2</v>
      </c>
    </row>
    <row r="310" spans="1:13" x14ac:dyDescent="0.3">
      <c r="A310" s="3" t="s">
        <v>70</v>
      </c>
      <c r="B310" s="3" t="s">
        <v>40</v>
      </c>
      <c r="C310" s="2">
        <v>45626</v>
      </c>
      <c r="D310" s="3" t="s">
        <v>27</v>
      </c>
      <c r="E310" s="3" t="s">
        <v>359</v>
      </c>
      <c r="F310" s="3">
        <v>14763</v>
      </c>
      <c r="G310" s="3">
        <v>864</v>
      </c>
      <c r="H310" s="3">
        <v>336</v>
      </c>
      <c r="I310" s="3">
        <v>1493</v>
      </c>
      <c r="J310" s="3">
        <v>33310</v>
      </c>
      <c r="K310" s="3">
        <v>165932</v>
      </c>
      <c r="L310" s="3" t="s">
        <v>29</v>
      </c>
      <c r="M310" s="4">
        <v>9.6202058674637797E-2</v>
      </c>
    </row>
    <row r="311" spans="1:13" x14ac:dyDescent="0.3">
      <c r="A311" s="3" t="s">
        <v>70</v>
      </c>
      <c r="B311" s="3" t="s">
        <v>40</v>
      </c>
      <c r="C311" s="2">
        <v>45626</v>
      </c>
      <c r="D311" s="3" t="s">
        <v>27</v>
      </c>
      <c r="E311" s="3" t="s">
        <v>366</v>
      </c>
      <c r="F311" s="3">
        <v>14763</v>
      </c>
      <c r="G311" s="3">
        <v>864</v>
      </c>
      <c r="H311" s="3">
        <v>336</v>
      </c>
      <c r="I311" s="3">
        <v>1493</v>
      </c>
      <c r="J311" s="3">
        <v>33310</v>
      </c>
      <c r="K311" s="3">
        <v>165932</v>
      </c>
      <c r="L311" s="3" t="s">
        <v>29</v>
      </c>
      <c r="M311" s="4">
        <v>9.6202058674637797E-2</v>
      </c>
    </row>
    <row r="312" spans="1:13" x14ac:dyDescent="0.3">
      <c r="A312" s="3" t="s">
        <v>60</v>
      </c>
      <c r="B312" s="3" t="s">
        <v>40</v>
      </c>
      <c r="C312" s="2">
        <v>45752</v>
      </c>
      <c r="D312" s="3" t="s">
        <v>27</v>
      </c>
      <c r="E312" s="3" t="s">
        <v>363</v>
      </c>
      <c r="F312" s="3">
        <v>22384</v>
      </c>
      <c r="G312" s="3">
        <v>601</v>
      </c>
      <c r="H312" s="3">
        <v>943</v>
      </c>
      <c r="I312" s="3">
        <v>515</v>
      </c>
      <c r="J312" s="3">
        <v>41309</v>
      </c>
      <c r="K312" s="3">
        <v>249373</v>
      </c>
      <c r="L312" s="3" t="s">
        <v>16</v>
      </c>
      <c r="M312" s="4">
        <v>9.5952649244304716E-2</v>
      </c>
    </row>
    <row r="313" spans="1:13" x14ac:dyDescent="0.3">
      <c r="A313" s="3" t="s">
        <v>60</v>
      </c>
      <c r="B313" s="3" t="s">
        <v>40</v>
      </c>
      <c r="C313" s="2">
        <v>45752</v>
      </c>
      <c r="D313" s="3" t="s">
        <v>27</v>
      </c>
      <c r="E313" s="3" t="s">
        <v>364</v>
      </c>
      <c r="F313" s="3">
        <v>22384</v>
      </c>
      <c r="G313" s="3">
        <v>601</v>
      </c>
      <c r="H313" s="3">
        <v>943</v>
      </c>
      <c r="I313" s="3">
        <v>515</v>
      </c>
      <c r="J313" s="3">
        <v>41309</v>
      </c>
      <c r="K313" s="3">
        <v>249373</v>
      </c>
      <c r="L313" s="3" t="s">
        <v>16</v>
      </c>
      <c r="M313" s="4">
        <v>9.5952649244304716E-2</v>
      </c>
    </row>
    <row r="314" spans="1:13" x14ac:dyDescent="0.3">
      <c r="A314" s="3" t="s">
        <v>274</v>
      </c>
      <c r="B314" s="3" t="s">
        <v>40</v>
      </c>
      <c r="C314" s="2">
        <v>45489</v>
      </c>
      <c r="D314" s="3" t="s">
        <v>23</v>
      </c>
      <c r="E314" s="3" t="s">
        <v>365</v>
      </c>
      <c r="F314" s="3">
        <v>8767</v>
      </c>
      <c r="G314" s="3">
        <v>974</v>
      </c>
      <c r="H314" s="3">
        <v>733</v>
      </c>
      <c r="I314" s="3">
        <v>1587</v>
      </c>
      <c r="J314" s="3">
        <v>74927</v>
      </c>
      <c r="K314" s="3">
        <v>113770</v>
      </c>
      <c r="L314" s="3" t="s">
        <v>16</v>
      </c>
      <c r="M314" s="4">
        <v>9.2062933989628198E-2</v>
      </c>
    </row>
    <row r="315" spans="1:13" x14ac:dyDescent="0.3">
      <c r="A315" s="3" t="s">
        <v>274</v>
      </c>
      <c r="B315" s="3" t="s">
        <v>40</v>
      </c>
      <c r="C315" s="2">
        <v>45489</v>
      </c>
      <c r="D315" s="3" t="s">
        <v>23</v>
      </c>
      <c r="E315" s="3" t="s">
        <v>359</v>
      </c>
      <c r="F315" s="3">
        <v>8767</v>
      </c>
      <c r="G315" s="3">
        <v>974</v>
      </c>
      <c r="H315" s="3">
        <v>733</v>
      </c>
      <c r="I315" s="3">
        <v>1587</v>
      </c>
      <c r="J315" s="3">
        <v>74927</v>
      </c>
      <c r="K315" s="3">
        <v>113770</v>
      </c>
      <c r="L315" s="3" t="s">
        <v>16</v>
      </c>
      <c r="M315" s="4">
        <v>9.2062933989628198E-2</v>
      </c>
    </row>
    <row r="316" spans="1:13" x14ac:dyDescent="0.3">
      <c r="A316" s="3" t="s">
        <v>91</v>
      </c>
      <c r="B316" s="3" t="s">
        <v>18</v>
      </c>
      <c r="C316" s="2">
        <v>45644</v>
      </c>
      <c r="D316" s="3" t="s">
        <v>23</v>
      </c>
      <c r="E316" s="3" t="s">
        <v>365</v>
      </c>
      <c r="F316" s="3">
        <v>14775</v>
      </c>
      <c r="G316" s="3">
        <v>1220</v>
      </c>
      <c r="H316" s="3">
        <v>640</v>
      </c>
      <c r="I316" s="3">
        <v>1547</v>
      </c>
      <c r="J316" s="3">
        <v>28527</v>
      </c>
      <c r="K316" s="3">
        <v>183660</v>
      </c>
      <c r="L316" s="3" t="s">
        <v>45</v>
      </c>
      <c r="M316" s="4">
        <v>9.0574975498203203E-2</v>
      </c>
    </row>
    <row r="317" spans="1:13" x14ac:dyDescent="0.3">
      <c r="A317" s="3" t="s">
        <v>91</v>
      </c>
      <c r="B317" s="3" t="s">
        <v>18</v>
      </c>
      <c r="C317" s="2">
        <v>45644</v>
      </c>
      <c r="D317" s="3" t="s">
        <v>23</v>
      </c>
      <c r="E317" s="3" t="s">
        <v>359</v>
      </c>
      <c r="F317" s="3">
        <v>14775</v>
      </c>
      <c r="G317" s="3">
        <v>1220</v>
      </c>
      <c r="H317" s="3">
        <v>640</v>
      </c>
      <c r="I317" s="3">
        <v>1547</v>
      </c>
      <c r="J317" s="3">
        <v>28527</v>
      </c>
      <c r="K317" s="3">
        <v>183660</v>
      </c>
      <c r="L317" s="3" t="s">
        <v>45</v>
      </c>
      <c r="M317" s="4">
        <v>9.0574975498203203E-2</v>
      </c>
    </row>
    <row r="318" spans="1:13" x14ac:dyDescent="0.3">
      <c r="A318" s="3" t="s">
        <v>302</v>
      </c>
      <c r="B318" s="3" t="s">
        <v>40</v>
      </c>
      <c r="C318" s="2">
        <v>45621</v>
      </c>
      <c r="D318" s="3" t="s">
        <v>27</v>
      </c>
      <c r="E318" s="3" t="s">
        <v>365</v>
      </c>
      <c r="F318" s="3">
        <v>17385</v>
      </c>
      <c r="G318" s="3">
        <v>831</v>
      </c>
      <c r="H318" s="3">
        <v>568</v>
      </c>
      <c r="I318" s="3">
        <v>2227</v>
      </c>
      <c r="J318" s="3">
        <v>49351</v>
      </c>
      <c r="K318" s="3">
        <v>207450</v>
      </c>
      <c r="L318" s="3" t="s">
        <v>25</v>
      </c>
      <c r="M318" s="4">
        <v>9.0547119787900698E-2</v>
      </c>
    </row>
    <row r="319" spans="1:13" x14ac:dyDescent="0.3">
      <c r="A319" s="3" t="s">
        <v>302</v>
      </c>
      <c r="B319" s="3" t="s">
        <v>40</v>
      </c>
      <c r="C319" s="2">
        <v>45621</v>
      </c>
      <c r="D319" s="3" t="s">
        <v>27</v>
      </c>
      <c r="E319" s="3" t="s">
        <v>359</v>
      </c>
      <c r="F319" s="3">
        <v>17385</v>
      </c>
      <c r="G319" s="3">
        <v>831</v>
      </c>
      <c r="H319" s="3">
        <v>568</v>
      </c>
      <c r="I319" s="3">
        <v>2227</v>
      </c>
      <c r="J319" s="3">
        <v>49351</v>
      </c>
      <c r="K319" s="3">
        <v>207450</v>
      </c>
      <c r="L319" s="3" t="s">
        <v>25</v>
      </c>
      <c r="M319" s="4">
        <v>9.0547119787900698E-2</v>
      </c>
    </row>
    <row r="320" spans="1:13" x14ac:dyDescent="0.3">
      <c r="A320" s="3" t="s">
        <v>215</v>
      </c>
      <c r="B320" s="3" t="s">
        <v>22</v>
      </c>
      <c r="C320" s="2">
        <v>45488</v>
      </c>
      <c r="D320" s="3" t="s">
        <v>14</v>
      </c>
      <c r="E320" s="3" t="s">
        <v>359</v>
      </c>
      <c r="F320" s="3">
        <v>17034</v>
      </c>
      <c r="G320" s="3">
        <v>231</v>
      </c>
      <c r="H320" s="3">
        <v>290</v>
      </c>
      <c r="I320" s="3">
        <v>1387</v>
      </c>
      <c r="J320" s="3">
        <v>63550</v>
      </c>
      <c r="K320" s="3">
        <v>198280</v>
      </c>
      <c r="L320" s="3" t="s">
        <v>45</v>
      </c>
      <c r="M320" s="4">
        <v>8.8536413153116805E-2</v>
      </c>
    </row>
    <row r="321" spans="1:13" x14ac:dyDescent="0.3">
      <c r="A321" s="3" t="s">
        <v>215</v>
      </c>
      <c r="B321" s="3" t="s">
        <v>22</v>
      </c>
      <c r="C321" s="2">
        <v>45488</v>
      </c>
      <c r="D321" s="3" t="s">
        <v>14</v>
      </c>
      <c r="E321" s="3" t="s">
        <v>366</v>
      </c>
      <c r="F321" s="3">
        <v>17034</v>
      </c>
      <c r="G321" s="3">
        <v>231</v>
      </c>
      <c r="H321" s="3">
        <v>290</v>
      </c>
      <c r="I321" s="3">
        <v>1387</v>
      </c>
      <c r="J321" s="3">
        <v>63550</v>
      </c>
      <c r="K321" s="3">
        <v>198280</v>
      </c>
      <c r="L321" s="3" t="s">
        <v>45</v>
      </c>
      <c r="M321" s="4">
        <v>8.8536413153116805E-2</v>
      </c>
    </row>
    <row r="322" spans="1:13" x14ac:dyDescent="0.3">
      <c r="A322" s="3" t="s">
        <v>17</v>
      </c>
      <c r="B322" s="3" t="s">
        <v>18</v>
      </c>
      <c r="C322" s="2">
        <v>45903</v>
      </c>
      <c r="D322" s="3" t="s">
        <v>14</v>
      </c>
      <c r="E322" s="3" t="s">
        <v>355</v>
      </c>
      <c r="F322" s="3">
        <v>4779</v>
      </c>
      <c r="G322" s="3">
        <v>1110</v>
      </c>
      <c r="H322" s="3">
        <v>436</v>
      </c>
      <c r="I322" s="3">
        <v>1574</v>
      </c>
      <c r="J322" s="3">
        <v>77167</v>
      </c>
      <c r="K322" s="3">
        <v>71585</v>
      </c>
      <c r="L322" s="3" t="s">
        <v>20</v>
      </c>
      <c r="M322" s="4">
        <v>8.8356499266606131E-2</v>
      </c>
    </row>
    <row r="323" spans="1:13" x14ac:dyDescent="0.3">
      <c r="A323" s="3" t="s">
        <v>17</v>
      </c>
      <c r="B323" s="3" t="s">
        <v>18</v>
      </c>
      <c r="C323" s="2">
        <v>45903</v>
      </c>
      <c r="D323" s="3" t="s">
        <v>14</v>
      </c>
      <c r="E323" s="3" t="s">
        <v>356</v>
      </c>
      <c r="F323" s="3">
        <v>4779</v>
      </c>
      <c r="G323" s="3">
        <v>1110</v>
      </c>
      <c r="H323" s="3">
        <v>436</v>
      </c>
      <c r="I323" s="3">
        <v>1574</v>
      </c>
      <c r="J323" s="3">
        <v>77167</v>
      </c>
      <c r="K323" s="3">
        <v>71585</v>
      </c>
      <c r="L323" s="3" t="s">
        <v>20</v>
      </c>
      <c r="M323" s="4">
        <v>8.8356499266606131E-2</v>
      </c>
    </row>
    <row r="324" spans="1:13" x14ac:dyDescent="0.3">
      <c r="A324" s="3" t="s">
        <v>122</v>
      </c>
      <c r="B324" s="3" t="s">
        <v>13</v>
      </c>
      <c r="C324" s="2">
        <v>45684</v>
      </c>
      <c r="D324" s="3" t="s">
        <v>34</v>
      </c>
      <c r="E324" s="3" t="s">
        <v>365</v>
      </c>
      <c r="F324" s="3">
        <v>8949</v>
      </c>
      <c r="G324" s="3">
        <v>1477</v>
      </c>
      <c r="H324" s="3">
        <v>424</v>
      </c>
      <c r="I324" s="3">
        <v>1030</v>
      </c>
      <c r="J324" s="3">
        <v>58052</v>
      </c>
      <c r="K324" s="3">
        <v>123310</v>
      </c>
      <c r="L324" s="3" t="s">
        <v>16</v>
      </c>
      <c r="M324" s="4">
        <v>8.7989619657773091E-2</v>
      </c>
    </row>
    <row r="325" spans="1:13" x14ac:dyDescent="0.3">
      <c r="A325" s="3" t="s">
        <v>122</v>
      </c>
      <c r="B325" s="3" t="s">
        <v>13</v>
      </c>
      <c r="C325" s="2">
        <v>45684</v>
      </c>
      <c r="D325" s="3" t="s">
        <v>34</v>
      </c>
      <c r="E325" s="3" t="s">
        <v>359</v>
      </c>
      <c r="F325" s="3">
        <v>8949</v>
      </c>
      <c r="G325" s="3">
        <v>1477</v>
      </c>
      <c r="H325" s="3">
        <v>424</v>
      </c>
      <c r="I325" s="3">
        <v>1030</v>
      </c>
      <c r="J325" s="3">
        <v>58052</v>
      </c>
      <c r="K325" s="3">
        <v>123310</v>
      </c>
      <c r="L325" s="3" t="s">
        <v>16</v>
      </c>
      <c r="M325" s="4">
        <v>8.7989619657773091E-2</v>
      </c>
    </row>
    <row r="326" spans="1:13" x14ac:dyDescent="0.3">
      <c r="A326" s="3" t="s">
        <v>92</v>
      </c>
      <c r="B326" s="3" t="s">
        <v>18</v>
      </c>
      <c r="C326" s="2">
        <v>45586</v>
      </c>
      <c r="D326" s="3" t="s">
        <v>27</v>
      </c>
      <c r="E326" s="3" t="s">
        <v>359</v>
      </c>
      <c r="F326" s="3">
        <v>12015</v>
      </c>
      <c r="G326" s="3">
        <v>1196</v>
      </c>
      <c r="H326" s="3">
        <v>998</v>
      </c>
      <c r="I326" s="3">
        <v>1848</v>
      </c>
      <c r="J326" s="3">
        <v>44739</v>
      </c>
      <c r="K326" s="3">
        <v>161750</v>
      </c>
      <c r="L326" s="3" t="s">
        <v>45</v>
      </c>
      <c r="M326" s="4">
        <v>8.7845440494590421E-2</v>
      </c>
    </row>
    <row r="327" spans="1:13" x14ac:dyDescent="0.3">
      <c r="A327" s="3" t="s">
        <v>92</v>
      </c>
      <c r="B327" s="3" t="s">
        <v>18</v>
      </c>
      <c r="C327" s="2">
        <v>45586</v>
      </c>
      <c r="D327" s="3" t="s">
        <v>27</v>
      </c>
      <c r="E327" s="3" t="s">
        <v>366</v>
      </c>
      <c r="F327" s="3">
        <v>12015</v>
      </c>
      <c r="G327" s="3">
        <v>1196</v>
      </c>
      <c r="H327" s="3">
        <v>998</v>
      </c>
      <c r="I327" s="3">
        <v>1848</v>
      </c>
      <c r="J327" s="3">
        <v>44739</v>
      </c>
      <c r="K327" s="3">
        <v>161750</v>
      </c>
      <c r="L327" s="3" t="s">
        <v>45</v>
      </c>
      <c r="M327" s="4">
        <v>8.7845440494590421E-2</v>
      </c>
    </row>
    <row r="328" spans="1:13" x14ac:dyDescent="0.3">
      <c r="A328" s="3" t="s">
        <v>333</v>
      </c>
      <c r="B328" s="3" t="s">
        <v>40</v>
      </c>
      <c r="C328" s="2">
        <v>45650</v>
      </c>
      <c r="D328" s="3" t="s">
        <v>14</v>
      </c>
      <c r="E328" s="3" t="s">
        <v>64</v>
      </c>
      <c r="F328" s="3">
        <v>10512</v>
      </c>
      <c r="G328" s="3">
        <v>1197</v>
      </c>
      <c r="H328" s="3">
        <v>544</v>
      </c>
      <c r="I328" s="3">
        <v>2012</v>
      </c>
      <c r="J328" s="3">
        <v>10245</v>
      </c>
      <c r="K328" s="3">
        <v>140102</v>
      </c>
      <c r="L328" s="3" t="s">
        <v>16</v>
      </c>
      <c r="M328" s="4">
        <v>8.745770938316369E-2</v>
      </c>
    </row>
    <row r="329" spans="1:13" x14ac:dyDescent="0.3">
      <c r="A329" s="3" t="s">
        <v>173</v>
      </c>
      <c r="B329" s="3" t="s">
        <v>22</v>
      </c>
      <c r="C329" s="2">
        <v>45504</v>
      </c>
      <c r="D329" s="3" t="s">
        <v>34</v>
      </c>
      <c r="E329" s="3" t="s">
        <v>359</v>
      </c>
      <c r="F329" s="3">
        <v>13314</v>
      </c>
      <c r="G329" s="3">
        <v>274</v>
      </c>
      <c r="H329" s="3">
        <v>626</v>
      </c>
      <c r="I329" s="3">
        <v>2280</v>
      </c>
      <c r="J329" s="3">
        <v>14639</v>
      </c>
      <c r="K329" s="3">
        <v>163008</v>
      </c>
      <c r="L329" s="3" t="s">
        <v>29</v>
      </c>
      <c r="M329" s="4">
        <v>8.7198174322732622E-2</v>
      </c>
    </row>
    <row r="330" spans="1:13" x14ac:dyDescent="0.3">
      <c r="A330" s="3" t="s">
        <v>173</v>
      </c>
      <c r="B330" s="3" t="s">
        <v>22</v>
      </c>
      <c r="C330" s="2">
        <v>45504</v>
      </c>
      <c r="D330" s="3" t="s">
        <v>34</v>
      </c>
      <c r="E330" s="3" t="s">
        <v>360</v>
      </c>
      <c r="F330" s="3">
        <v>13314</v>
      </c>
      <c r="G330" s="3">
        <v>274</v>
      </c>
      <c r="H330" s="3">
        <v>626</v>
      </c>
      <c r="I330" s="3">
        <v>2280</v>
      </c>
      <c r="J330" s="3">
        <v>14639</v>
      </c>
      <c r="K330" s="3">
        <v>163008</v>
      </c>
      <c r="L330" s="3" t="s">
        <v>29</v>
      </c>
      <c r="M330" s="4">
        <v>8.7198174322732622E-2</v>
      </c>
    </row>
    <row r="331" spans="1:13" x14ac:dyDescent="0.3">
      <c r="A331" s="3" t="s">
        <v>63</v>
      </c>
      <c r="B331" s="3" t="s">
        <v>18</v>
      </c>
      <c r="C331" s="2">
        <v>45910</v>
      </c>
      <c r="D331" s="3" t="s">
        <v>34</v>
      </c>
      <c r="E331" s="3" t="s">
        <v>64</v>
      </c>
      <c r="F331" s="3">
        <v>9266</v>
      </c>
      <c r="G331" s="3">
        <v>999</v>
      </c>
      <c r="H331" s="3">
        <v>928</v>
      </c>
      <c r="I331" s="3">
        <v>2700</v>
      </c>
      <c r="J331" s="3">
        <v>12264</v>
      </c>
      <c r="K331" s="3">
        <v>128397</v>
      </c>
      <c r="L331" s="3" t="s">
        <v>20</v>
      </c>
      <c r="M331" s="4">
        <v>8.7174933993784898E-2</v>
      </c>
    </row>
    <row r="332" spans="1:13" x14ac:dyDescent="0.3">
      <c r="A332" s="3" t="s">
        <v>69</v>
      </c>
      <c r="B332" s="3" t="s">
        <v>40</v>
      </c>
      <c r="C332" s="2">
        <v>45912</v>
      </c>
      <c r="D332" s="3" t="s">
        <v>23</v>
      </c>
      <c r="E332" s="3" t="s">
        <v>357</v>
      </c>
      <c r="F332" s="3">
        <v>17158</v>
      </c>
      <c r="G332" s="3">
        <v>1192</v>
      </c>
      <c r="H332" s="3">
        <v>262</v>
      </c>
      <c r="I332" s="3">
        <v>2016</v>
      </c>
      <c r="J332" s="3">
        <v>28771</v>
      </c>
      <c r="K332" s="3">
        <v>216037</v>
      </c>
      <c r="L332" s="3" t="s">
        <v>20</v>
      </c>
      <c r="M332" s="4">
        <v>8.6151909163708074E-2</v>
      </c>
    </row>
    <row r="333" spans="1:13" x14ac:dyDescent="0.3">
      <c r="A333" s="3" t="s">
        <v>69</v>
      </c>
      <c r="B333" s="3" t="s">
        <v>40</v>
      </c>
      <c r="C333" s="2">
        <v>45912</v>
      </c>
      <c r="D333" s="3" t="s">
        <v>23</v>
      </c>
      <c r="E333" s="3" t="s">
        <v>358</v>
      </c>
      <c r="F333" s="3">
        <v>17158</v>
      </c>
      <c r="G333" s="3">
        <v>1192</v>
      </c>
      <c r="H333" s="3">
        <v>262</v>
      </c>
      <c r="I333" s="3">
        <v>2016</v>
      </c>
      <c r="J333" s="3">
        <v>28771</v>
      </c>
      <c r="K333" s="3">
        <v>216037</v>
      </c>
      <c r="L333" s="3" t="s">
        <v>20</v>
      </c>
      <c r="M333" s="4">
        <v>8.6151909163708074E-2</v>
      </c>
    </row>
    <row r="334" spans="1:13" x14ac:dyDescent="0.3">
      <c r="A334" s="3" t="s">
        <v>99</v>
      </c>
      <c r="B334" s="3" t="s">
        <v>22</v>
      </c>
      <c r="C334" s="2">
        <v>45521</v>
      </c>
      <c r="D334" s="3" t="s">
        <v>27</v>
      </c>
      <c r="E334" s="3" t="s">
        <v>32</v>
      </c>
      <c r="F334" s="3">
        <v>19154</v>
      </c>
      <c r="G334" s="3">
        <v>1064</v>
      </c>
      <c r="H334" s="3">
        <v>650</v>
      </c>
      <c r="I334" s="3">
        <v>747</v>
      </c>
      <c r="J334" s="3">
        <v>42667</v>
      </c>
      <c r="K334" s="3">
        <v>242332</v>
      </c>
      <c r="L334" s="3" t="s">
        <v>25</v>
      </c>
      <c r="M334" s="4">
        <v>8.6113266097750191E-2</v>
      </c>
    </row>
    <row r="335" spans="1:13" x14ac:dyDescent="0.3">
      <c r="A335" s="3" t="s">
        <v>90</v>
      </c>
      <c r="B335" s="3" t="s">
        <v>13</v>
      </c>
      <c r="C335" s="2">
        <v>45460</v>
      </c>
      <c r="D335" s="3" t="s">
        <v>34</v>
      </c>
      <c r="E335" s="3" t="s">
        <v>353</v>
      </c>
      <c r="F335" s="3">
        <v>6976</v>
      </c>
      <c r="G335" s="3">
        <v>1320</v>
      </c>
      <c r="H335" s="3">
        <v>393</v>
      </c>
      <c r="I335" s="3">
        <v>2285</v>
      </c>
      <c r="J335" s="3">
        <v>14049</v>
      </c>
      <c r="K335" s="3">
        <v>101367</v>
      </c>
      <c r="L335" s="3" t="s">
        <v>45</v>
      </c>
      <c r="M335" s="4">
        <v>8.5718231771681114E-2</v>
      </c>
    </row>
    <row r="336" spans="1:13" x14ac:dyDescent="0.3">
      <c r="A336" s="3" t="s">
        <v>90</v>
      </c>
      <c r="B336" s="3" t="s">
        <v>13</v>
      </c>
      <c r="C336" s="2">
        <v>45460</v>
      </c>
      <c r="D336" s="3" t="s">
        <v>34</v>
      </c>
      <c r="E336" s="3" t="s">
        <v>354</v>
      </c>
      <c r="F336" s="3">
        <v>6976</v>
      </c>
      <c r="G336" s="3">
        <v>1320</v>
      </c>
      <c r="H336" s="3">
        <v>393</v>
      </c>
      <c r="I336" s="3">
        <v>2285</v>
      </c>
      <c r="J336" s="3">
        <v>14049</v>
      </c>
      <c r="K336" s="3">
        <v>101367</v>
      </c>
      <c r="L336" s="3" t="s">
        <v>45</v>
      </c>
      <c r="M336" s="4">
        <v>8.5718231771681114E-2</v>
      </c>
    </row>
    <row r="337" spans="1:13" x14ac:dyDescent="0.3">
      <c r="A337" s="3" t="s">
        <v>295</v>
      </c>
      <c r="B337" s="3" t="s">
        <v>18</v>
      </c>
      <c r="C337" s="2">
        <v>45698</v>
      </c>
      <c r="D337" s="3" t="s">
        <v>34</v>
      </c>
      <c r="E337" s="3" t="s">
        <v>355</v>
      </c>
      <c r="F337" s="3">
        <v>16309</v>
      </c>
      <c r="G337" s="3">
        <v>1449</v>
      </c>
      <c r="H337" s="3">
        <v>838</v>
      </c>
      <c r="I337" s="3">
        <v>2434</v>
      </c>
      <c r="J337" s="3">
        <v>2940</v>
      </c>
      <c r="K337" s="3">
        <v>217953</v>
      </c>
      <c r="L337" s="3" t="s">
        <v>29</v>
      </c>
      <c r="M337" s="4">
        <v>8.5321147219813445E-2</v>
      </c>
    </row>
    <row r="338" spans="1:13" x14ac:dyDescent="0.3">
      <c r="A338" s="3" t="s">
        <v>295</v>
      </c>
      <c r="B338" s="3" t="s">
        <v>18</v>
      </c>
      <c r="C338" s="2">
        <v>45698</v>
      </c>
      <c r="D338" s="3" t="s">
        <v>34</v>
      </c>
      <c r="E338" s="3" t="s">
        <v>356</v>
      </c>
      <c r="F338" s="3">
        <v>16309</v>
      </c>
      <c r="G338" s="3">
        <v>1449</v>
      </c>
      <c r="H338" s="3">
        <v>838</v>
      </c>
      <c r="I338" s="3">
        <v>2434</v>
      </c>
      <c r="J338" s="3">
        <v>2940</v>
      </c>
      <c r="K338" s="3">
        <v>217953</v>
      </c>
      <c r="L338" s="3" t="s">
        <v>29</v>
      </c>
      <c r="M338" s="4">
        <v>8.5321147219813445E-2</v>
      </c>
    </row>
    <row r="339" spans="1:13" x14ac:dyDescent="0.3">
      <c r="A339" s="3" t="s">
        <v>59</v>
      </c>
      <c r="B339" s="3" t="s">
        <v>18</v>
      </c>
      <c r="C339" s="2">
        <v>45909</v>
      </c>
      <c r="D339" s="3" t="s">
        <v>27</v>
      </c>
      <c r="E339" s="3" t="s">
        <v>363</v>
      </c>
      <c r="F339" s="3">
        <v>15772</v>
      </c>
      <c r="G339" s="3">
        <v>288</v>
      </c>
      <c r="H339" s="3">
        <v>520</v>
      </c>
      <c r="I339" s="3">
        <v>1585</v>
      </c>
      <c r="J339" s="3">
        <v>59182</v>
      </c>
      <c r="K339" s="3">
        <v>194351</v>
      </c>
      <c r="L339" s="3" t="s">
        <v>20</v>
      </c>
      <c r="M339" s="4">
        <v>8.5309568769905988E-2</v>
      </c>
    </row>
    <row r="340" spans="1:13" x14ac:dyDescent="0.3">
      <c r="A340" s="3" t="s">
        <v>59</v>
      </c>
      <c r="B340" s="3" t="s">
        <v>18</v>
      </c>
      <c r="C340" s="2">
        <v>45909</v>
      </c>
      <c r="D340" s="3" t="s">
        <v>27</v>
      </c>
      <c r="E340" s="3" t="s">
        <v>364</v>
      </c>
      <c r="F340" s="3">
        <v>15772</v>
      </c>
      <c r="G340" s="3">
        <v>288</v>
      </c>
      <c r="H340" s="3">
        <v>520</v>
      </c>
      <c r="I340" s="3">
        <v>1585</v>
      </c>
      <c r="J340" s="3">
        <v>59182</v>
      </c>
      <c r="K340" s="3">
        <v>194351</v>
      </c>
      <c r="L340" s="3" t="s">
        <v>20</v>
      </c>
      <c r="M340" s="4">
        <v>8.5309568769905988E-2</v>
      </c>
    </row>
    <row r="341" spans="1:13" x14ac:dyDescent="0.3">
      <c r="A341" s="3" t="s">
        <v>249</v>
      </c>
      <c r="B341" s="3" t="s">
        <v>22</v>
      </c>
      <c r="C341" s="2">
        <v>45778</v>
      </c>
      <c r="D341" s="3" t="s">
        <v>23</v>
      </c>
      <c r="E341" s="3" t="s">
        <v>365</v>
      </c>
      <c r="F341" s="3">
        <v>10258</v>
      </c>
      <c r="G341" s="3">
        <v>527</v>
      </c>
      <c r="H341" s="3">
        <v>854</v>
      </c>
      <c r="I341" s="3">
        <v>2068</v>
      </c>
      <c r="J341" s="3">
        <v>45632</v>
      </c>
      <c r="K341" s="3">
        <v>136546</v>
      </c>
      <c r="L341" s="3" t="s">
        <v>45</v>
      </c>
      <c r="M341" s="4">
        <v>8.5238674146441498E-2</v>
      </c>
    </row>
    <row r="342" spans="1:13" x14ac:dyDescent="0.3">
      <c r="A342" s="3" t="s">
        <v>249</v>
      </c>
      <c r="B342" s="3" t="s">
        <v>22</v>
      </c>
      <c r="C342" s="2">
        <v>45778</v>
      </c>
      <c r="D342" s="3" t="s">
        <v>23</v>
      </c>
      <c r="E342" s="3" t="s">
        <v>359</v>
      </c>
      <c r="F342" s="3">
        <v>10258</v>
      </c>
      <c r="G342" s="3">
        <v>527</v>
      </c>
      <c r="H342" s="3">
        <v>854</v>
      </c>
      <c r="I342" s="3">
        <v>2068</v>
      </c>
      <c r="J342" s="3">
        <v>45632</v>
      </c>
      <c r="K342" s="3">
        <v>136546</v>
      </c>
      <c r="L342" s="3" t="s">
        <v>45</v>
      </c>
      <c r="M342" s="4">
        <v>8.5238674146441498E-2</v>
      </c>
    </row>
    <row r="343" spans="1:13" x14ac:dyDescent="0.3">
      <c r="A343" s="3" t="s">
        <v>291</v>
      </c>
      <c r="B343" s="3" t="s">
        <v>22</v>
      </c>
      <c r="C343" s="2">
        <v>45750</v>
      </c>
      <c r="D343" s="3" t="s">
        <v>14</v>
      </c>
      <c r="E343" s="3" t="s">
        <v>368</v>
      </c>
      <c r="F343" s="3">
        <v>10837</v>
      </c>
      <c r="G343" s="3">
        <v>1004</v>
      </c>
      <c r="H343" s="3">
        <v>922</v>
      </c>
      <c r="I343" s="3">
        <v>1108</v>
      </c>
      <c r="J343" s="3">
        <v>36807</v>
      </c>
      <c r="K343" s="3">
        <v>150350</v>
      </c>
      <c r="L343" s="3" t="s">
        <v>25</v>
      </c>
      <c r="M343" s="4">
        <v>8.4888593282341204E-2</v>
      </c>
    </row>
    <row r="344" spans="1:13" x14ac:dyDescent="0.3">
      <c r="A344" s="3" t="s">
        <v>291</v>
      </c>
      <c r="B344" s="3" t="s">
        <v>22</v>
      </c>
      <c r="C344" s="2">
        <v>45750</v>
      </c>
      <c r="D344" s="3" t="s">
        <v>14</v>
      </c>
      <c r="E344" s="3" t="s">
        <v>369</v>
      </c>
      <c r="F344" s="3">
        <v>10837</v>
      </c>
      <c r="G344" s="3">
        <v>1004</v>
      </c>
      <c r="H344" s="3">
        <v>922</v>
      </c>
      <c r="I344" s="3">
        <v>1108</v>
      </c>
      <c r="J344" s="3">
        <v>36807</v>
      </c>
      <c r="K344" s="3">
        <v>150350</v>
      </c>
      <c r="L344" s="3" t="s">
        <v>25</v>
      </c>
      <c r="M344" s="4">
        <v>8.4888593282341204E-2</v>
      </c>
    </row>
    <row r="345" spans="1:13" x14ac:dyDescent="0.3">
      <c r="A345" s="3" t="s">
        <v>36</v>
      </c>
      <c r="B345" s="3" t="s">
        <v>22</v>
      </c>
      <c r="C345" s="2">
        <v>45486</v>
      </c>
      <c r="D345" s="3" t="s">
        <v>27</v>
      </c>
      <c r="E345" s="3" t="s">
        <v>363</v>
      </c>
      <c r="F345" s="3">
        <v>18639</v>
      </c>
      <c r="G345" s="3">
        <v>1360</v>
      </c>
      <c r="H345" s="3">
        <v>898</v>
      </c>
      <c r="I345" s="3">
        <v>2011</v>
      </c>
      <c r="J345" s="3">
        <v>42841</v>
      </c>
      <c r="K345" s="3">
        <v>247779</v>
      </c>
      <c r="L345" s="3" t="s">
        <v>29</v>
      </c>
      <c r="M345" s="4">
        <v>8.4337252148083575E-2</v>
      </c>
    </row>
    <row r="346" spans="1:13" x14ac:dyDescent="0.3">
      <c r="A346" s="3" t="s">
        <v>36</v>
      </c>
      <c r="B346" s="3" t="s">
        <v>22</v>
      </c>
      <c r="C346" s="2">
        <v>45486</v>
      </c>
      <c r="D346" s="3" t="s">
        <v>27</v>
      </c>
      <c r="E346" s="3" t="s">
        <v>364</v>
      </c>
      <c r="F346" s="3">
        <v>18639</v>
      </c>
      <c r="G346" s="3">
        <v>1360</v>
      </c>
      <c r="H346" s="3">
        <v>898</v>
      </c>
      <c r="I346" s="3">
        <v>2011</v>
      </c>
      <c r="J346" s="3">
        <v>42841</v>
      </c>
      <c r="K346" s="3">
        <v>247779</v>
      </c>
      <c r="L346" s="3" t="s">
        <v>29</v>
      </c>
      <c r="M346" s="4">
        <v>8.4337252148083575E-2</v>
      </c>
    </row>
    <row r="347" spans="1:13" x14ac:dyDescent="0.3">
      <c r="A347" s="3" t="s">
        <v>251</v>
      </c>
      <c r="B347" s="3" t="s">
        <v>13</v>
      </c>
      <c r="C347" s="2">
        <v>45925</v>
      </c>
      <c r="D347" s="3" t="s">
        <v>27</v>
      </c>
      <c r="E347" s="3" t="s">
        <v>367</v>
      </c>
      <c r="F347" s="3">
        <v>8371</v>
      </c>
      <c r="G347" s="3">
        <v>960</v>
      </c>
      <c r="H347" s="3">
        <v>548</v>
      </c>
      <c r="I347" s="3">
        <v>2936</v>
      </c>
      <c r="J347" s="3">
        <v>82543</v>
      </c>
      <c r="K347" s="3">
        <v>119973</v>
      </c>
      <c r="L347" s="3" t="s">
        <v>20</v>
      </c>
      <c r="M347" s="4">
        <v>8.2343527293641069E-2</v>
      </c>
    </row>
    <row r="348" spans="1:13" x14ac:dyDescent="0.3">
      <c r="A348" s="3" t="s">
        <v>251</v>
      </c>
      <c r="B348" s="3" t="s">
        <v>13</v>
      </c>
      <c r="C348" s="2">
        <v>45925</v>
      </c>
      <c r="D348" s="3" t="s">
        <v>27</v>
      </c>
      <c r="E348" s="3" t="s">
        <v>32</v>
      </c>
      <c r="F348" s="3">
        <v>8371</v>
      </c>
      <c r="G348" s="3">
        <v>960</v>
      </c>
      <c r="H348" s="3">
        <v>548</v>
      </c>
      <c r="I348" s="3">
        <v>2936</v>
      </c>
      <c r="J348" s="3">
        <v>82543</v>
      </c>
      <c r="K348" s="3">
        <v>119973</v>
      </c>
      <c r="L348" s="3" t="s">
        <v>20</v>
      </c>
      <c r="M348" s="4">
        <v>8.2343527293641069E-2</v>
      </c>
    </row>
    <row r="349" spans="1:13" x14ac:dyDescent="0.3">
      <c r="A349" s="3" t="s">
        <v>153</v>
      </c>
      <c r="B349" s="3" t="s">
        <v>22</v>
      </c>
      <c r="C349" s="2">
        <v>45600</v>
      </c>
      <c r="D349" s="3" t="s">
        <v>14</v>
      </c>
      <c r="E349" s="3" t="s">
        <v>359</v>
      </c>
      <c r="F349" s="3">
        <v>14015</v>
      </c>
      <c r="G349" s="3">
        <v>978</v>
      </c>
      <c r="H349" s="3">
        <v>196</v>
      </c>
      <c r="I349" s="3">
        <v>2744</v>
      </c>
      <c r="J349" s="3">
        <v>20190</v>
      </c>
      <c r="K349" s="3">
        <v>186470</v>
      </c>
      <c r="L349" s="3" t="s">
        <v>25</v>
      </c>
      <c r="M349" s="4">
        <v>8.1455462004611998E-2</v>
      </c>
    </row>
    <row r="350" spans="1:13" x14ac:dyDescent="0.3">
      <c r="A350" s="3" t="s">
        <v>153</v>
      </c>
      <c r="B350" s="3" t="s">
        <v>22</v>
      </c>
      <c r="C350" s="2">
        <v>45600</v>
      </c>
      <c r="D350" s="3" t="s">
        <v>14</v>
      </c>
      <c r="E350" s="3" t="s">
        <v>366</v>
      </c>
      <c r="F350" s="3">
        <v>14015</v>
      </c>
      <c r="G350" s="3">
        <v>978</v>
      </c>
      <c r="H350" s="3">
        <v>196</v>
      </c>
      <c r="I350" s="3">
        <v>2744</v>
      </c>
      <c r="J350" s="3">
        <v>20190</v>
      </c>
      <c r="K350" s="3">
        <v>186470</v>
      </c>
      <c r="L350" s="3" t="s">
        <v>25</v>
      </c>
      <c r="M350" s="4">
        <v>8.1455462004611998E-2</v>
      </c>
    </row>
    <row r="351" spans="1:13" x14ac:dyDescent="0.3">
      <c r="A351" s="3" t="s">
        <v>212</v>
      </c>
      <c r="B351" s="3" t="s">
        <v>40</v>
      </c>
      <c r="C351" s="2">
        <v>45939</v>
      </c>
      <c r="D351" s="3" t="s">
        <v>34</v>
      </c>
      <c r="E351" s="3" t="s">
        <v>357</v>
      </c>
      <c r="F351" s="3">
        <v>18748</v>
      </c>
      <c r="G351" s="3">
        <v>634</v>
      </c>
      <c r="H351" s="3">
        <v>400</v>
      </c>
      <c r="I351" s="3">
        <v>1667</v>
      </c>
      <c r="J351" s="3">
        <v>75813</v>
      </c>
      <c r="K351" s="3">
        <v>244456</v>
      </c>
      <c r="L351" s="3" t="s">
        <v>20</v>
      </c>
      <c r="M351" s="4">
        <v>8.0922538207284747E-2</v>
      </c>
    </row>
    <row r="352" spans="1:13" x14ac:dyDescent="0.3">
      <c r="A352" s="3" t="s">
        <v>212</v>
      </c>
      <c r="B352" s="3" t="s">
        <v>40</v>
      </c>
      <c r="C352" s="2">
        <v>45939</v>
      </c>
      <c r="D352" s="3" t="s">
        <v>34</v>
      </c>
      <c r="E352" s="3" t="s">
        <v>358</v>
      </c>
      <c r="F352" s="3">
        <v>18748</v>
      </c>
      <c r="G352" s="3">
        <v>634</v>
      </c>
      <c r="H352" s="3">
        <v>400</v>
      </c>
      <c r="I352" s="3">
        <v>1667</v>
      </c>
      <c r="J352" s="3">
        <v>75813</v>
      </c>
      <c r="K352" s="3">
        <v>244456</v>
      </c>
      <c r="L352" s="3" t="s">
        <v>20</v>
      </c>
      <c r="M352" s="4">
        <v>8.0922538207284747E-2</v>
      </c>
    </row>
    <row r="353" spans="1:13" x14ac:dyDescent="0.3">
      <c r="A353" s="3" t="s">
        <v>211</v>
      </c>
      <c r="B353" s="3" t="s">
        <v>18</v>
      </c>
      <c r="C353" s="2">
        <v>45938</v>
      </c>
      <c r="D353" s="3" t="s">
        <v>23</v>
      </c>
      <c r="E353" s="3" t="s">
        <v>359</v>
      </c>
      <c r="F353" s="3">
        <v>17745</v>
      </c>
      <c r="G353" s="3">
        <v>414</v>
      </c>
      <c r="H353" s="3">
        <v>563</v>
      </c>
      <c r="I353" s="3">
        <v>2733</v>
      </c>
      <c r="J353" s="3">
        <v>995</v>
      </c>
      <c r="K353" s="3">
        <v>231648</v>
      </c>
      <c r="L353" s="3" t="s">
        <v>20</v>
      </c>
      <c r="M353" s="4">
        <v>8.0820900676889074E-2</v>
      </c>
    </row>
    <row r="354" spans="1:13" x14ac:dyDescent="0.3">
      <c r="A354" s="3" t="s">
        <v>211</v>
      </c>
      <c r="B354" s="3" t="s">
        <v>18</v>
      </c>
      <c r="C354" s="2">
        <v>45938</v>
      </c>
      <c r="D354" s="3" t="s">
        <v>23</v>
      </c>
      <c r="E354" s="3" t="s">
        <v>366</v>
      </c>
      <c r="F354" s="3">
        <v>17745</v>
      </c>
      <c r="G354" s="3">
        <v>414</v>
      </c>
      <c r="H354" s="3">
        <v>563</v>
      </c>
      <c r="I354" s="3">
        <v>2733</v>
      </c>
      <c r="J354" s="3">
        <v>995</v>
      </c>
      <c r="K354" s="3">
        <v>231648</v>
      </c>
      <c r="L354" s="3" t="s">
        <v>20</v>
      </c>
      <c r="M354" s="4">
        <v>8.0820900676889074E-2</v>
      </c>
    </row>
    <row r="355" spans="1:13" x14ac:dyDescent="0.3">
      <c r="A355" s="3" t="s">
        <v>248</v>
      </c>
      <c r="B355" s="3" t="s">
        <v>13</v>
      </c>
      <c r="C355" s="2">
        <v>45719</v>
      </c>
      <c r="D355" s="3" t="s">
        <v>27</v>
      </c>
      <c r="E355" s="3" t="s">
        <v>353</v>
      </c>
      <c r="F355" s="3">
        <v>9561</v>
      </c>
      <c r="G355" s="3">
        <v>642</v>
      </c>
      <c r="H355" s="3">
        <v>581</v>
      </c>
      <c r="I355" s="3">
        <v>2572</v>
      </c>
      <c r="J355" s="3">
        <v>38552</v>
      </c>
      <c r="K355" s="3">
        <v>133680</v>
      </c>
      <c r="L355" s="3" t="s">
        <v>16</v>
      </c>
      <c r="M355" s="4">
        <v>8.0670257330939563E-2</v>
      </c>
    </row>
    <row r="356" spans="1:13" x14ac:dyDescent="0.3">
      <c r="A356" s="3" t="s">
        <v>248</v>
      </c>
      <c r="B356" s="3" t="s">
        <v>13</v>
      </c>
      <c r="C356" s="2">
        <v>45719</v>
      </c>
      <c r="D356" s="3" t="s">
        <v>27</v>
      </c>
      <c r="E356" s="3" t="s">
        <v>354</v>
      </c>
      <c r="F356" s="3">
        <v>9561</v>
      </c>
      <c r="G356" s="3">
        <v>642</v>
      </c>
      <c r="H356" s="3">
        <v>581</v>
      </c>
      <c r="I356" s="3">
        <v>2572</v>
      </c>
      <c r="J356" s="3">
        <v>38552</v>
      </c>
      <c r="K356" s="3">
        <v>133680</v>
      </c>
      <c r="L356" s="3" t="s">
        <v>16</v>
      </c>
      <c r="M356" s="4">
        <v>8.0670257330939563E-2</v>
      </c>
    </row>
    <row r="357" spans="1:13" x14ac:dyDescent="0.3">
      <c r="A357" s="3" t="s">
        <v>208</v>
      </c>
      <c r="B357" s="3" t="s">
        <v>22</v>
      </c>
      <c r="C357" s="2">
        <v>45518</v>
      </c>
      <c r="D357" s="3" t="s">
        <v>34</v>
      </c>
      <c r="E357" s="3" t="s">
        <v>368</v>
      </c>
      <c r="F357" s="3">
        <v>10150</v>
      </c>
      <c r="G357" s="3">
        <v>526</v>
      </c>
      <c r="H357" s="3">
        <v>888</v>
      </c>
      <c r="I357" s="3">
        <v>1313</v>
      </c>
      <c r="J357" s="3">
        <v>51605</v>
      </c>
      <c r="K357" s="3">
        <v>143409</v>
      </c>
      <c r="L357" s="3" t="s">
        <v>16</v>
      </c>
      <c r="M357" s="4">
        <v>8.0636501195880311E-2</v>
      </c>
    </row>
    <row r="358" spans="1:13" x14ac:dyDescent="0.3">
      <c r="A358" s="3" t="s">
        <v>208</v>
      </c>
      <c r="B358" s="3" t="s">
        <v>22</v>
      </c>
      <c r="C358" s="2">
        <v>45518</v>
      </c>
      <c r="D358" s="3" t="s">
        <v>34</v>
      </c>
      <c r="E358" s="3" t="s">
        <v>369</v>
      </c>
      <c r="F358" s="3">
        <v>10150</v>
      </c>
      <c r="G358" s="3">
        <v>526</v>
      </c>
      <c r="H358" s="3">
        <v>888</v>
      </c>
      <c r="I358" s="3">
        <v>1313</v>
      </c>
      <c r="J358" s="3">
        <v>51605</v>
      </c>
      <c r="K358" s="3">
        <v>143409</v>
      </c>
      <c r="L358" s="3" t="s">
        <v>16</v>
      </c>
      <c r="M358" s="4">
        <v>8.0636501195880311E-2</v>
      </c>
    </row>
    <row r="359" spans="1:13" x14ac:dyDescent="0.3">
      <c r="A359" s="3" t="s">
        <v>227</v>
      </c>
      <c r="B359" s="3" t="s">
        <v>13</v>
      </c>
      <c r="C359" s="2">
        <v>45944</v>
      </c>
      <c r="D359" s="3" t="s">
        <v>34</v>
      </c>
      <c r="E359" s="3" t="s">
        <v>367</v>
      </c>
      <c r="F359" s="3">
        <v>9673</v>
      </c>
      <c r="G359" s="3">
        <v>393</v>
      </c>
      <c r="H359" s="3">
        <v>846</v>
      </c>
      <c r="I359" s="3">
        <v>1028</v>
      </c>
      <c r="J359" s="3">
        <v>55556</v>
      </c>
      <c r="K359" s="3">
        <v>136652</v>
      </c>
      <c r="L359" s="3" t="s">
        <v>20</v>
      </c>
      <c r="M359" s="4">
        <v>7.9852471972601938E-2</v>
      </c>
    </row>
    <row r="360" spans="1:13" x14ac:dyDescent="0.3">
      <c r="A360" s="3" t="s">
        <v>227</v>
      </c>
      <c r="B360" s="3" t="s">
        <v>13</v>
      </c>
      <c r="C360" s="2">
        <v>45944</v>
      </c>
      <c r="D360" s="3" t="s">
        <v>34</v>
      </c>
      <c r="E360" s="3" t="s">
        <v>32</v>
      </c>
      <c r="F360" s="3">
        <v>9673</v>
      </c>
      <c r="G360" s="3">
        <v>393</v>
      </c>
      <c r="H360" s="3">
        <v>846</v>
      </c>
      <c r="I360" s="3">
        <v>1028</v>
      </c>
      <c r="J360" s="3">
        <v>55556</v>
      </c>
      <c r="K360" s="3">
        <v>136652</v>
      </c>
      <c r="L360" s="3" t="s">
        <v>20</v>
      </c>
      <c r="M360" s="4">
        <v>7.9852471972601938E-2</v>
      </c>
    </row>
    <row r="361" spans="1:13" x14ac:dyDescent="0.3">
      <c r="A361" s="3" t="s">
        <v>263</v>
      </c>
      <c r="B361" s="3" t="s">
        <v>22</v>
      </c>
      <c r="C361" s="2">
        <v>45455</v>
      </c>
      <c r="D361" s="3" t="s">
        <v>23</v>
      </c>
      <c r="E361" s="3" t="s">
        <v>355</v>
      </c>
      <c r="F361" s="3">
        <v>17679</v>
      </c>
      <c r="G361" s="3">
        <v>690</v>
      </c>
      <c r="H361" s="3">
        <v>451</v>
      </c>
      <c r="I361" s="3">
        <v>2195</v>
      </c>
      <c r="J361" s="3">
        <v>4390</v>
      </c>
      <c r="K361" s="3">
        <v>235804</v>
      </c>
      <c r="L361" s="3" t="s">
        <v>45</v>
      </c>
      <c r="M361" s="4">
        <v>7.9812047293514959E-2</v>
      </c>
    </row>
    <row r="362" spans="1:13" x14ac:dyDescent="0.3">
      <c r="A362" s="3" t="s">
        <v>263</v>
      </c>
      <c r="B362" s="3" t="s">
        <v>22</v>
      </c>
      <c r="C362" s="2">
        <v>45455</v>
      </c>
      <c r="D362" s="3" t="s">
        <v>23</v>
      </c>
      <c r="E362" s="3" t="s">
        <v>356</v>
      </c>
      <c r="F362" s="3">
        <v>17679</v>
      </c>
      <c r="G362" s="3">
        <v>690</v>
      </c>
      <c r="H362" s="3">
        <v>451</v>
      </c>
      <c r="I362" s="3">
        <v>2195</v>
      </c>
      <c r="J362" s="3">
        <v>4390</v>
      </c>
      <c r="K362" s="3">
        <v>235804</v>
      </c>
      <c r="L362" s="3" t="s">
        <v>45</v>
      </c>
      <c r="M362" s="4">
        <v>7.9812047293514959E-2</v>
      </c>
    </row>
    <row r="363" spans="1:13" x14ac:dyDescent="0.3">
      <c r="A363" s="3" t="s">
        <v>303</v>
      </c>
      <c r="B363" s="3" t="s">
        <v>18</v>
      </c>
      <c r="C363" s="2">
        <v>45569</v>
      </c>
      <c r="D363" s="3" t="s">
        <v>27</v>
      </c>
      <c r="E363" s="3" t="s">
        <v>359</v>
      </c>
      <c r="F363" s="3">
        <v>15746</v>
      </c>
      <c r="G363" s="3">
        <v>258</v>
      </c>
      <c r="H363" s="3">
        <v>839</v>
      </c>
      <c r="I363" s="3">
        <v>2656</v>
      </c>
      <c r="J363" s="3">
        <v>66614</v>
      </c>
      <c r="K363" s="3">
        <v>213724</v>
      </c>
      <c r="L363" s="3" t="s">
        <v>25</v>
      </c>
      <c r="M363" s="4">
        <v>7.8807246729426739E-2</v>
      </c>
    </row>
    <row r="364" spans="1:13" x14ac:dyDescent="0.3">
      <c r="A364" s="3" t="s">
        <v>303</v>
      </c>
      <c r="B364" s="3" t="s">
        <v>18</v>
      </c>
      <c r="C364" s="2">
        <v>45569</v>
      </c>
      <c r="D364" s="3" t="s">
        <v>27</v>
      </c>
      <c r="E364" s="3" t="s">
        <v>366</v>
      </c>
      <c r="F364" s="3">
        <v>15746</v>
      </c>
      <c r="G364" s="3">
        <v>258</v>
      </c>
      <c r="H364" s="3">
        <v>839</v>
      </c>
      <c r="I364" s="3">
        <v>2656</v>
      </c>
      <c r="J364" s="3">
        <v>66614</v>
      </c>
      <c r="K364" s="3">
        <v>213724</v>
      </c>
      <c r="L364" s="3" t="s">
        <v>25</v>
      </c>
      <c r="M364" s="4">
        <v>7.8807246729426739E-2</v>
      </c>
    </row>
    <row r="365" spans="1:13" x14ac:dyDescent="0.3">
      <c r="A365" s="3" t="s">
        <v>94</v>
      </c>
      <c r="B365" s="3" t="s">
        <v>13</v>
      </c>
      <c r="C365" s="2">
        <v>45465</v>
      </c>
      <c r="D365" s="3" t="s">
        <v>14</v>
      </c>
      <c r="E365" s="3" t="s">
        <v>363</v>
      </c>
      <c r="F365" s="3">
        <v>16430</v>
      </c>
      <c r="G365" s="3">
        <v>488</v>
      </c>
      <c r="H365" s="3">
        <v>514</v>
      </c>
      <c r="I365" s="3">
        <v>1436</v>
      </c>
      <c r="J365" s="3">
        <v>30059</v>
      </c>
      <c r="K365" s="3">
        <v>223305</v>
      </c>
      <c r="L365" s="3" t="s">
        <v>29</v>
      </c>
      <c r="M365" s="4">
        <v>7.8063634938760881E-2</v>
      </c>
    </row>
    <row r="366" spans="1:13" x14ac:dyDescent="0.3">
      <c r="A366" s="3" t="s">
        <v>94</v>
      </c>
      <c r="B366" s="3" t="s">
        <v>13</v>
      </c>
      <c r="C366" s="2">
        <v>45465</v>
      </c>
      <c r="D366" s="3" t="s">
        <v>14</v>
      </c>
      <c r="E366" s="3" t="s">
        <v>364</v>
      </c>
      <c r="F366" s="3">
        <v>16430</v>
      </c>
      <c r="G366" s="3">
        <v>488</v>
      </c>
      <c r="H366" s="3">
        <v>514</v>
      </c>
      <c r="I366" s="3">
        <v>1436</v>
      </c>
      <c r="J366" s="3">
        <v>30059</v>
      </c>
      <c r="K366" s="3">
        <v>223305</v>
      </c>
      <c r="L366" s="3" t="s">
        <v>29</v>
      </c>
      <c r="M366" s="4">
        <v>7.8063634938760881E-2</v>
      </c>
    </row>
    <row r="367" spans="1:13" x14ac:dyDescent="0.3">
      <c r="A367" s="3" t="s">
        <v>160</v>
      </c>
      <c r="B367" s="3" t="s">
        <v>13</v>
      </c>
      <c r="C367" s="2">
        <v>45753</v>
      </c>
      <c r="D367" s="3" t="s">
        <v>23</v>
      </c>
      <c r="E367" s="3" t="s">
        <v>367</v>
      </c>
      <c r="F367" s="3">
        <v>8238</v>
      </c>
      <c r="G367" s="3">
        <v>766</v>
      </c>
      <c r="H367" s="3">
        <v>235</v>
      </c>
      <c r="I367" s="3">
        <v>1273</v>
      </c>
      <c r="J367" s="3">
        <v>4706</v>
      </c>
      <c r="K367" s="3">
        <v>119141</v>
      </c>
      <c r="L367" s="3" t="s">
        <v>29</v>
      </c>
      <c r="M367" s="4">
        <v>7.7546772311798629E-2</v>
      </c>
    </row>
    <row r="368" spans="1:13" x14ac:dyDescent="0.3">
      <c r="A368" s="3" t="s">
        <v>160</v>
      </c>
      <c r="B368" s="3" t="s">
        <v>13</v>
      </c>
      <c r="C368" s="2">
        <v>45753</v>
      </c>
      <c r="D368" s="3" t="s">
        <v>23</v>
      </c>
      <c r="E368" s="3" t="s">
        <v>32</v>
      </c>
      <c r="F368" s="3">
        <v>8238</v>
      </c>
      <c r="G368" s="3">
        <v>766</v>
      </c>
      <c r="H368" s="3">
        <v>235</v>
      </c>
      <c r="I368" s="3">
        <v>1273</v>
      </c>
      <c r="J368" s="3">
        <v>4706</v>
      </c>
      <c r="K368" s="3">
        <v>119141</v>
      </c>
      <c r="L368" s="3" t="s">
        <v>29</v>
      </c>
      <c r="M368" s="4">
        <v>7.7546772311798629E-2</v>
      </c>
    </row>
    <row r="369" spans="1:13" x14ac:dyDescent="0.3">
      <c r="A369" s="3" t="s">
        <v>137</v>
      </c>
      <c r="B369" s="3" t="s">
        <v>13</v>
      </c>
      <c r="C369" s="2">
        <v>45583</v>
      </c>
      <c r="D369" s="3" t="s">
        <v>34</v>
      </c>
      <c r="E369" s="3" t="s">
        <v>355</v>
      </c>
      <c r="F369" s="3">
        <v>6892</v>
      </c>
      <c r="G369" s="3">
        <v>1184</v>
      </c>
      <c r="H369" s="3">
        <v>925</v>
      </c>
      <c r="I369" s="3">
        <v>1062</v>
      </c>
      <c r="J369" s="3">
        <v>75008</v>
      </c>
      <c r="K369" s="3">
        <v>116260</v>
      </c>
      <c r="L369" s="3" t="s">
        <v>45</v>
      </c>
      <c r="M369" s="4">
        <v>7.7421297092723204E-2</v>
      </c>
    </row>
    <row r="370" spans="1:13" x14ac:dyDescent="0.3">
      <c r="A370" s="3" t="s">
        <v>137</v>
      </c>
      <c r="B370" s="3" t="s">
        <v>13</v>
      </c>
      <c r="C370" s="2">
        <v>45583</v>
      </c>
      <c r="D370" s="3" t="s">
        <v>34</v>
      </c>
      <c r="E370" s="3" t="s">
        <v>356</v>
      </c>
      <c r="F370" s="3">
        <v>6892</v>
      </c>
      <c r="G370" s="3">
        <v>1184</v>
      </c>
      <c r="H370" s="3">
        <v>925</v>
      </c>
      <c r="I370" s="3">
        <v>1062</v>
      </c>
      <c r="J370" s="3">
        <v>75008</v>
      </c>
      <c r="K370" s="3">
        <v>116260</v>
      </c>
      <c r="L370" s="3" t="s">
        <v>45</v>
      </c>
      <c r="M370" s="4">
        <v>7.7421297092723204E-2</v>
      </c>
    </row>
    <row r="371" spans="1:13" x14ac:dyDescent="0.3">
      <c r="A371" s="3" t="s">
        <v>314</v>
      </c>
      <c r="B371" s="3" t="s">
        <v>40</v>
      </c>
      <c r="C371" s="2">
        <v>45622</v>
      </c>
      <c r="D371" s="3" t="s">
        <v>27</v>
      </c>
      <c r="E371" s="3" t="s">
        <v>361</v>
      </c>
      <c r="F371" s="3">
        <v>14607</v>
      </c>
      <c r="G371" s="3">
        <v>1458</v>
      </c>
      <c r="H371" s="3">
        <v>478</v>
      </c>
      <c r="I371" s="3">
        <v>334</v>
      </c>
      <c r="J371" s="3">
        <v>49257</v>
      </c>
      <c r="K371" s="3">
        <v>214668</v>
      </c>
      <c r="L371" s="3" t="s">
        <v>29</v>
      </c>
      <c r="M371" s="4">
        <v>7.7063185942944451E-2</v>
      </c>
    </row>
    <row r="372" spans="1:13" x14ac:dyDescent="0.3">
      <c r="A372" s="3" t="s">
        <v>314</v>
      </c>
      <c r="B372" s="3" t="s">
        <v>40</v>
      </c>
      <c r="C372" s="2">
        <v>45622</v>
      </c>
      <c r="D372" s="3" t="s">
        <v>27</v>
      </c>
      <c r="E372" s="3" t="s">
        <v>362</v>
      </c>
      <c r="F372" s="3">
        <v>14607</v>
      </c>
      <c r="G372" s="3">
        <v>1458</v>
      </c>
      <c r="H372" s="3">
        <v>478</v>
      </c>
      <c r="I372" s="3">
        <v>334</v>
      </c>
      <c r="J372" s="3">
        <v>49257</v>
      </c>
      <c r="K372" s="3">
        <v>214668</v>
      </c>
      <c r="L372" s="3" t="s">
        <v>29</v>
      </c>
      <c r="M372" s="4">
        <v>7.7063185942944451E-2</v>
      </c>
    </row>
    <row r="373" spans="1:13" x14ac:dyDescent="0.3">
      <c r="A373" s="3" t="s">
        <v>42</v>
      </c>
      <c r="B373" s="3" t="s">
        <v>13</v>
      </c>
      <c r="C373" s="2">
        <v>45690</v>
      </c>
      <c r="D373" s="3" t="s">
        <v>34</v>
      </c>
      <c r="E373" s="3" t="s">
        <v>359</v>
      </c>
      <c r="F373" s="3">
        <v>12136</v>
      </c>
      <c r="G373" s="3">
        <v>1117</v>
      </c>
      <c r="H373" s="3">
        <v>834</v>
      </c>
      <c r="I373" s="3">
        <v>892</v>
      </c>
      <c r="J373" s="3">
        <v>24675</v>
      </c>
      <c r="K373" s="3">
        <v>183273</v>
      </c>
      <c r="L373" s="3" t="s">
        <v>25</v>
      </c>
      <c r="M373" s="4">
        <v>7.6863476889667326E-2</v>
      </c>
    </row>
    <row r="374" spans="1:13" x14ac:dyDescent="0.3">
      <c r="A374" s="3" t="s">
        <v>42</v>
      </c>
      <c r="B374" s="3" t="s">
        <v>13</v>
      </c>
      <c r="C374" s="2">
        <v>45690</v>
      </c>
      <c r="D374" s="3" t="s">
        <v>34</v>
      </c>
      <c r="E374" s="3" t="s">
        <v>360</v>
      </c>
      <c r="F374" s="3">
        <v>12136</v>
      </c>
      <c r="G374" s="3">
        <v>1117</v>
      </c>
      <c r="H374" s="3">
        <v>834</v>
      </c>
      <c r="I374" s="3">
        <v>892</v>
      </c>
      <c r="J374" s="3">
        <v>24675</v>
      </c>
      <c r="K374" s="3">
        <v>183273</v>
      </c>
      <c r="L374" s="3" t="s">
        <v>25</v>
      </c>
      <c r="M374" s="4">
        <v>7.6863476889667326E-2</v>
      </c>
    </row>
    <row r="375" spans="1:13" x14ac:dyDescent="0.3">
      <c r="A375" s="3" t="s">
        <v>313</v>
      </c>
      <c r="B375" s="3" t="s">
        <v>22</v>
      </c>
      <c r="C375" s="2">
        <v>45753</v>
      </c>
      <c r="D375" s="3" t="s">
        <v>14</v>
      </c>
      <c r="E375" s="3" t="s">
        <v>64</v>
      </c>
      <c r="F375" s="3">
        <v>14941</v>
      </c>
      <c r="G375" s="3">
        <v>1424</v>
      </c>
      <c r="H375" s="3">
        <v>238</v>
      </c>
      <c r="I375" s="3">
        <v>1054</v>
      </c>
      <c r="J375" s="3">
        <v>20516</v>
      </c>
      <c r="K375" s="3">
        <v>216048</v>
      </c>
      <c r="L375" s="3" t="s">
        <v>45</v>
      </c>
      <c r="M375" s="4">
        <v>7.6848663260016298E-2</v>
      </c>
    </row>
    <row r="376" spans="1:13" x14ac:dyDescent="0.3">
      <c r="A376" s="3" t="s">
        <v>152</v>
      </c>
      <c r="B376" s="3" t="s">
        <v>18</v>
      </c>
      <c r="C376" s="2">
        <v>45734</v>
      </c>
      <c r="D376" s="3" t="s">
        <v>14</v>
      </c>
      <c r="E376" s="3" t="s">
        <v>363</v>
      </c>
      <c r="F376" s="3">
        <v>5818</v>
      </c>
      <c r="G376" s="3">
        <v>1252</v>
      </c>
      <c r="H376" s="3">
        <v>687</v>
      </c>
      <c r="I376" s="3">
        <v>2300</v>
      </c>
      <c r="J376" s="3">
        <v>25081</v>
      </c>
      <c r="K376" s="3">
        <v>101212</v>
      </c>
      <c r="L376" s="3" t="s">
        <v>45</v>
      </c>
      <c r="M376" s="4">
        <v>7.6641109749832043E-2</v>
      </c>
    </row>
    <row r="377" spans="1:13" x14ac:dyDescent="0.3">
      <c r="A377" s="3" t="s">
        <v>152</v>
      </c>
      <c r="B377" s="3" t="s">
        <v>18</v>
      </c>
      <c r="C377" s="2">
        <v>45734</v>
      </c>
      <c r="D377" s="3" t="s">
        <v>14</v>
      </c>
      <c r="E377" s="3" t="s">
        <v>364</v>
      </c>
      <c r="F377" s="3">
        <v>5818</v>
      </c>
      <c r="G377" s="3">
        <v>1252</v>
      </c>
      <c r="H377" s="3">
        <v>687</v>
      </c>
      <c r="I377" s="3">
        <v>2300</v>
      </c>
      <c r="J377" s="3">
        <v>25081</v>
      </c>
      <c r="K377" s="3">
        <v>101212</v>
      </c>
      <c r="L377" s="3" t="s">
        <v>45</v>
      </c>
      <c r="M377" s="4">
        <v>7.6641109749832043E-2</v>
      </c>
    </row>
    <row r="378" spans="1:13" x14ac:dyDescent="0.3">
      <c r="A378" s="3" t="s">
        <v>148</v>
      </c>
      <c r="B378" s="3" t="s">
        <v>13</v>
      </c>
      <c r="C378" s="2">
        <v>45570</v>
      </c>
      <c r="D378" s="3" t="s">
        <v>34</v>
      </c>
      <c r="E378" s="3" t="s">
        <v>355</v>
      </c>
      <c r="F378" s="3">
        <v>16388</v>
      </c>
      <c r="G378" s="3">
        <v>1208</v>
      </c>
      <c r="H378" s="3">
        <v>417</v>
      </c>
      <c r="I378" s="3">
        <v>2306</v>
      </c>
      <c r="J378" s="3">
        <v>16865</v>
      </c>
      <c r="K378" s="3">
        <v>236733</v>
      </c>
      <c r="L378" s="3" t="s">
        <v>16</v>
      </c>
      <c r="M378" s="4">
        <v>7.6089940988370866E-2</v>
      </c>
    </row>
    <row r="379" spans="1:13" x14ac:dyDescent="0.3">
      <c r="A379" s="3" t="s">
        <v>148</v>
      </c>
      <c r="B379" s="3" t="s">
        <v>13</v>
      </c>
      <c r="C379" s="2">
        <v>45570</v>
      </c>
      <c r="D379" s="3" t="s">
        <v>34</v>
      </c>
      <c r="E379" s="3" t="s">
        <v>356</v>
      </c>
      <c r="F379" s="3">
        <v>16388</v>
      </c>
      <c r="G379" s="3">
        <v>1208</v>
      </c>
      <c r="H379" s="3">
        <v>417</v>
      </c>
      <c r="I379" s="3">
        <v>2306</v>
      </c>
      <c r="J379" s="3">
        <v>16865</v>
      </c>
      <c r="K379" s="3">
        <v>236733</v>
      </c>
      <c r="L379" s="3" t="s">
        <v>16</v>
      </c>
      <c r="M379" s="4">
        <v>7.6089940988370866E-2</v>
      </c>
    </row>
    <row r="380" spans="1:13" x14ac:dyDescent="0.3">
      <c r="A380" s="3" t="s">
        <v>247</v>
      </c>
      <c r="B380" s="3" t="s">
        <v>13</v>
      </c>
      <c r="C380" s="2">
        <v>45924</v>
      </c>
      <c r="D380" s="3" t="s">
        <v>14</v>
      </c>
      <c r="E380" s="3" t="s">
        <v>64</v>
      </c>
      <c r="F380" s="3">
        <v>11795</v>
      </c>
      <c r="G380" s="3">
        <v>958</v>
      </c>
      <c r="H380" s="3">
        <v>814</v>
      </c>
      <c r="I380" s="3">
        <v>301</v>
      </c>
      <c r="J380" s="3">
        <v>12564</v>
      </c>
      <c r="K380" s="3">
        <v>179999</v>
      </c>
      <c r="L380" s="3" t="s">
        <v>20</v>
      </c>
      <c r="M380" s="4">
        <v>7.5372640959116444E-2</v>
      </c>
    </row>
    <row r="381" spans="1:13" x14ac:dyDescent="0.3">
      <c r="A381" s="3" t="s">
        <v>269</v>
      </c>
      <c r="B381" s="3" t="s">
        <v>18</v>
      </c>
      <c r="C381" s="2">
        <v>45724</v>
      </c>
      <c r="D381" s="3" t="s">
        <v>14</v>
      </c>
      <c r="E381" s="3" t="s">
        <v>353</v>
      </c>
      <c r="F381" s="3">
        <v>5812</v>
      </c>
      <c r="G381" s="3">
        <v>934</v>
      </c>
      <c r="H381" s="3">
        <v>302</v>
      </c>
      <c r="I381" s="3">
        <v>2356</v>
      </c>
      <c r="J381" s="3">
        <v>37437</v>
      </c>
      <c r="K381" s="3">
        <v>93551</v>
      </c>
      <c r="L381" s="3" t="s">
        <v>16</v>
      </c>
      <c r="M381" s="4">
        <v>7.5338585370546551E-2</v>
      </c>
    </row>
    <row r="382" spans="1:13" x14ac:dyDescent="0.3">
      <c r="A382" s="3" t="s">
        <v>269</v>
      </c>
      <c r="B382" s="3" t="s">
        <v>18</v>
      </c>
      <c r="C382" s="2">
        <v>45724</v>
      </c>
      <c r="D382" s="3" t="s">
        <v>14</v>
      </c>
      <c r="E382" s="3" t="s">
        <v>354</v>
      </c>
      <c r="F382" s="3">
        <v>5812</v>
      </c>
      <c r="G382" s="3">
        <v>934</v>
      </c>
      <c r="H382" s="3">
        <v>302</v>
      </c>
      <c r="I382" s="3">
        <v>2356</v>
      </c>
      <c r="J382" s="3">
        <v>37437</v>
      </c>
      <c r="K382" s="3">
        <v>93551</v>
      </c>
      <c r="L382" s="3" t="s">
        <v>16</v>
      </c>
      <c r="M382" s="4">
        <v>7.5338585370546551E-2</v>
      </c>
    </row>
    <row r="383" spans="1:13" x14ac:dyDescent="0.3">
      <c r="A383" s="3" t="s">
        <v>275</v>
      </c>
      <c r="B383" s="3" t="s">
        <v>13</v>
      </c>
      <c r="C383" s="2">
        <v>45910</v>
      </c>
      <c r="D383" s="3" t="s">
        <v>14</v>
      </c>
      <c r="E383" s="3" t="s">
        <v>355</v>
      </c>
      <c r="F383" s="3">
        <v>13613</v>
      </c>
      <c r="G383" s="3">
        <v>350</v>
      </c>
      <c r="H383" s="3">
        <v>809</v>
      </c>
      <c r="I383" s="3">
        <v>2013</v>
      </c>
      <c r="J383" s="3">
        <v>20471</v>
      </c>
      <c r="K383" s="3">
        <v>198038</v>
      </c>
      <c r="L383" s="3" t="s">
        <v>20</v>
      </c>
      <c r="M383" s="4">
        <v>7.4591745018632791E-2</v>
      </c>
    </row>
    <row r="384" spans="1:13" x14ac:dyDescent="0.3">
      <c r="A384" s="3" t="s">
        <v>275</v>
      </c>
      <c r="B384" s="3" t="s">
        <v>13</v>
      </c>
      <c r="C384" s="2">
        <v>45910</v>
      </c>
      <c r="D384" s="3" t="s">
        <v>14</v>
      </c>
      <c r="E384" s="3" t="s">
        <v>356</v>
      </c>
      <c r="F384" s="3">
        <v>13613</v>
      </c>
      <c r="G384" s="3">
        <v>350</v>
      </c>
      <c r="H384" s="3">
        <v>809</v>
      </c>
      <c r="I384" s="3">
        <v>2013</v>
      </c>
      <c r="J384" s="3">
        <v>20471</v>
      </c>
      <c r="K384" s="3">
        <v>198038</v>
      </c>
      <c r="L384" s="3" t="s">
        <v>20</v>
      </c>
      <c r="M384" s="4">
        <v>7.4591745018632791E-2</v>
      </c>
    </row>
    <row r="385" spans="1:13" x14ac:dyDescent="0.3">
      <c r="A385" s="3" t="s">
        <v>49</v>
      </c>
      <c r="B385" s="3" t="s">
        <v>18</v>
      </c>
      <c r="C385" s="2">
        <v>45782</v>
      </c>
      <c r="D385" s="3" t="s">
        <v>23</v>
      </c>
      <c r="E385" s="3" t="s">
        <v>359</v>
      </c>
      <c r="F385" s="3">
        <v>10415</v>
      </c>
      <c r="G385" s="3">
        <v>1388</v>
      </c>
      <c r="H385" s="3">
        <v>725</v>
      </c>
      <c r="I385" s="3">
        <v>2462</v>
      </c>
      <c r="J385" s="3">
        <v>53082</v>
      </c>
      <c r="K385" s="3">
        <v>168267</v>
      </c>
      <c r="L385" s="3" t="s">
        <v>45</v>
      </c>
      <c r="M385" s="4">
        <v>7.4453101321114656E-2</v>
      </c>
    </row>
    <row r="386" spans="1:13" x14ac:dyDescent="0.3">
      <c r="A386" s="3" t="s">
        <v>49</v>
      </c>
      <c r="B386" s="3" t="s">
        <v>18</v>
      </c>
      <c r="C386" s="2">
        <v>45782</v>
      </c>
      <c r="D386" s="3" t="s">
        <v>23</v>
      </c>
      <c r="E386" s="3" t="s">
        <v>366</v>
      </c>
      <c r="F386" s="3">
        <v>10415</v>
      </c>
      <c r="G386" s="3">
        <v>1388</v>
      </c>
      <c r="H386" s="3">
        <v>725</v>
      </c>
      <c r="I386" s="3">
        <v>2462</v>
      </c>
      <c r="J386" s="3">
        <v>53082</v>
      </c>
      <c r="K386" s="3">
        <v>168267</v>
      </c>
      <c r="L386" s="3" t="s">
        <v>45</v>
      </c>
      <c r="M386" s="4">
        <v>7.4453101321114656E-2</v>
      </c>
    </row>
    <row r="387" spans="1:13" x14ac:dyDescent="0.3">
      <c r="A387" s="3" t="s">
        <v>288</v>
      </c>
      <c r="B387" s="3" t="s">
        <v>22</v>
      </c>
      <c r="C387" s="2">
        <v>45775</v>
      </c>
      <c r="D387" s="3" t="s">
        <v>34</v>
      </c>
      <c r="E387" s="3" t="s">
        <v>359</v>
      </c>
      <c r="F387" s="3">
        <v>10659</v>
      </c>
      <c r="G387" s="3">
        <v>1342</v>
      </c>
      <c r="H387" s="3">
        <v>408</v>
      </c>
      <c r="I387" s="3">
        <v>709</v>
      </c>
      <c r="J387" s="3">
        <v>16309</v>
      </c>
      <c r="K387" s="3">
        <v>168803</v>
      </c>
      <c r="L387" s="3" t="s">
        <v>25</v>
      </c>
      <c r="M387" s="4">
        <v>7.3511726687321907E-2</v>
      </c>
    </row>
    <row r="388" spans="1:13" x14ac:dyDescent="0.3">
      <c r="A388" s="3" t="s">
        <v>288</v>
      </c>
      <c r="B388" s="3" t="s">
        <v>22</v>
      </c>
      <c r="C388" s="2">
        <v>45775</v>
      </c>
      <c r="D388" s="3" t="s">
        <v>34</v>
      </c>
      <c r="E388" s="3" t="s">
        <v>366</v>
      </c>
      <c r="F388" s="3">
        <v>10659</v>
      </c>
      <c r="G388" s="3">
        <v>1342</v>
      </c>
      <c r="H388" s="3">
        <v>408</v>
      </c>
      <c r="I388" s="3">
        <v>709</v>
      </c>
      <c r="J388" s="3">
        <v>16309</v>
      </c>
      <c r="K388" s="3">
        <v>168803</v>
      </c>
      <c r="L388" s="3" t="s">
        <v>25</v>
      </c>
      <c r="M388" s="4">
        <v>7.3511726687321907E-2</v>
      </c>
    </row>
    <row r="389" spans="1:13" x14ac:dyDescent="0.3">
      <c r="A389" s="3" t="s">
        <v>245</v>
      </c>
      <c r="B389" s="3" t="s">
        <v>40</v>
      </c>
      <c r="C389" s="2">
        <v>45735</v>
      </c>
      <c r="D389" s="3" t="s">
        <v>34</v>
      </c>
      <c r="E389" s="3" t="s">
        <v>359</v>
      </c>
      <c r="F389" s="3">
        <v>13475</v>
      </c>
      <c r="G389" s="3">
        <v>1032</v>
      </c>
      <c r="H389" s="3">
        <v>295</v>
      </c>
      <c r="I389" s="3">
        <v>541</v>
      </c>
      <c r="J389" s="3">
        <v>43666</v>
      </c>
      <c r="K389" s="3">
        <v>202396</v>
      </c>
      <c r="L389" s="3" t="s">
        <v>45</v>
      </c>
      <c r="M389" s="4">
        <v>7.3133856400324118E-2</v>
      </c>
    </row>
    <row r="390" spans="1:13" x14ac:dyDescent="0.3">
      <c r="A390" s="3" t="s">
        <v>245</v>
      </c>
      <c r="B390" s="3" t="s">
        <v>40</v>
      </c>
      <c r="C390" s="2">
        <v>45735</v>
      </c>
      <c r="D390" s="3" t="s">
        <v>34</v>
      </c>
      <c r="E390" s="3" t="s">
        <v>360</v>
      </c>
      <c r="F390" s="3">
        <v>13475</v>
      </c>
      <c r="G390" s="3">
        <v>1032</v>
      </c>
      <c r="H390" s="3">
        <v>295</v>
      </c>
      <c r="I390" s="3">
        <v>541</v>
      </c>
      <c r="J390" s="3">
        <v>43666</v>
      </c>
      <c r="K390" s="3">
        <v>202396</v>
      </c>
      <c r="L390" s="3" t="s">
        <v>45</v>
      </c>
      <c r="M390" s="4">
        <v>7.3133856400324118E-2</v>
      </c>
    </row>
    <row r="391" spans="1:13" x14ac:dyDescent="0.3">
      <c r="A391" s="3" t="s">
        <v>51</v>
      </c>
      <c r="B391" s="3" t="s">
        <v>18</v>
      </c>
      <c r="C391" s="2">
        <v>45523</v>
      </c>
      <c r="D391" s="3" t="s">
        <v>14</v>
      </c>
      <c r="E391" s="3" t="s">
        <v>363</v>
      </c>
      <c r="F391" s="3">
        <v>15550</v>
      </c>
      <c r="G391" s="3">
        <v>204</v>
      </c>
      <c r="H391" s="3">
        <v>279</v>
      </c>
      <c r="I391" s="3">
        <v>1646</v>
      </c>
      <c r="J391" s="3">
        <v>35819</v>
      </c>
      <c r="K391" s="3">
        <v>219436</v>
      </c>
      <c r="L391" s="3" t="s">
        <v>16</v>
      </c>
      <c r="M391" s="4">
        <v>7.306458375107093E-2</v>
      </c>
    </row>
    <row r="392" spans="1:13" x14ac:dyDescent="0.3">
      <c r="A392" s="3" t="s">
        <v>51</v>
      </c>
      <c r="B392" s="3" t="s">
        <v>18</v>
      </c>
      <c r="C392" s="2">
        <v>45523</v>
      </c>
      <c r="D392" s="3" t="s">
        <v>14</v>
      </c>
      <c r="E392" s="3" t="s">
        <v>364</v>
      </c>
      <c r="F392" s="3">
        <v>15550</v>
      </c>
      <c r="G392" s="3">
        <v>204</v>
      </c>
      <c r="H392" s="3">
        <v>279</v>
      </c>
      <c r="I392" s="3">
        <v>1646</v>
      </c>
      <c r="J392" s="3">
        <v>35819</v>
      </c>
      <c r="K392" s="3">
        <v>219436</v>
      </c>
      <c r="L392" s="3" t="s">
        <v>16</v>
      </c>
      <c r="M392" s="4">
        <v>7.306458375107093E-2</v>
      </c>
    </row>
    <row r="393" spans="1:13" x14ac:dyDescent="0.3">
      <c r="A393" s="3" t="s">
        <v>265</v>
      </c>
      <c r="B393" s="3" t="s">
        <v>22</v>
      </c>
      <c r="C393" s="2">
        <v>45476</v>
      </c>
      <c r="D393" s="3" t="s">
        <v>27</v>
      </c>
      <c r="E393" s="3" t="s">
        <v>355</v>
      </c>
      <c r="F393" s="3">
        <v>12167</v>
      </c>
      <c r="G393" s="3">
        <v>364</v>
      </c>
      <c r="H393" s="3">
        <v>160</v>
      </c>
      <c r="I393" s="3">
        <v>616</v>
      </c>
      <c r="J393" s="3">
        <v>42228</v>
      </c>
      <c r="K393" s="3">
        <v>175832</v>
      </c>
      <c r="L393" s="3" t="s">
        <v>25</v>
      </c>
      <c r="M393" s="4">
        <v>7.2176850630146963E-2</v>
      </c>
    </row>
    <row r="394" spans="1:13" x14ac:dyDescent="0.3">
      <c r="A394" s="3" t="s">
        <v>265</v>
      </c>
      <c r="B394" s="3" t="s">
        <v>22</v>
      </c>
      <c r="C394" s="2">
        <v>45476</v>
      </c>
      <c r="D394" s="3" t="s">
        <v>27</v>
      </c>
      <c r="E394" s="3" t="s">
        <v>356</v>
      </c>
      <c r="F394" s="3">
        <v>12167</v>
      </c>
      <c r="G394" s="3">
        <v>364</v>
      </c>
      <c r="H394" s="3">
        <v>160</v>
      </c>
      <c r="I394" s="3">
        <v>616</v>
      </c>
      <c r="J394" s="3">
        <v>42228</v>
      </c>
      <c r="K394" s="3">
        <v>175832</v>
      </c>
      <c r="L394" s="3" t="s">
        <v>25</v>
      </c>
      <c r="M394" s="4">
        <v>7.2176850630146963E-2</v>
      </c>
    </row>
    <row r="395" spans="1:13" x14ac:dyDescent="0.3">
      <c r="A395" s="3" t="s">
        <v>125</v>
      </c>
      <c r="B395" s="3" t="s">
        <v>18</v>
      </c>
      <c r="C395" s="2">
        <v>45923</v>
      </c>
      <c r="D395" s="3" t="s">
        <v>14</v>
      </c>
      <c r="E395" s="3" t="s">
        <v>368</v>
      </c>
      <c r="F395" s="3">
        <v>10017</v>
      </c>
      <c r="G395" s="3">
        <v>1357</v>
      </c>
      <c r="H395" s="3">
        <v>966</v>
      </c>
      <c r="I395" s="3">
        <v>2871</v>
      </c>
      <c r="J395" s="3">
        <v>14800</v>
      </c>
      <c r="K395" s="3">
        <v>171691</v>
      </c>
      <c r="L395" s="3" t="s">
        <v>20</v>
      </c>
      <c r="M395" s="4">
        <v>7.1873307278774071E-2</v>
      </c>
    </row>
    <row r="396" spans="1:13" x14ac:dyDescent="0.3">
      <c r="A396" s="3" t="s">
        <v>125</v>
      </c>
      <c r="B396" s="3" t="s">
        <v>18</v>
      </c>
      <c r="C396" s="2">
        <v>45923</v>
      </c>
      <c r="D396" s="3" t="s">
        <v>14</v>
      </c>
      <c r="E396" s="3" t="s">
        <v>369</v>
      </c>
      <c r="F396" s="3">
        <v>10017</v>
      </c>
      <c r="G396" s="3">
        <v>1357</v>
      </c>
      <c r="H396" s="3">
        <v>966</v>
      </c>
      <c r="I396" s="3">
        <v>2871</v>
      </c>
      <c r="J396" s="3">
        <v>14800</v>
      </c>
      <c r="K396" s="3">
        <v>171691</v>
      </c>
      <c r="L396" s="3" t="s">
        <v>20</v>
      </c>
      <c r="M396" s="4">
        <v>7.1873307278774071E-2</v>
      </c>
    </row>
    <row r="397" spans="1:13" x14ac:dyDescent="0.3">
      <c r="A397" s="3" t="s">
        <v>213</v>
      </c>
      <c r="B397" s="3" t="s">
        <v>13</v>
      </c>
      <c r="C397" s="2">
        <v>45483</v>
      </c>
      <c r="D397" s="3" t="s">
        <v>14</v>
      </c>
      <c r="E397" s="3" t="s">
        <v>367</v>
      </c>
      <c r="F397" s="3">
        <v>8809</v>
      </c>
      <c r="G397" s="3">
        <v>1151</v>
      </c>
      <c r="H397" s="3">
        <v>908</v>
      </c>
      <c r="I397" s="3">
        <v>883</v>
      </c>
      <c r="J397" s="3">
        <v>42921</v>
      </c>
      <c r="K397" s="3">
        <v>151279</v>
      </c>
      <c r="L397" s="3" t="s">
        <v>45</v>
      </c>
      <c r="M397" s="4">
        <v>7.1840771025720687E-2</v>
      </c>
    </row>
    <row r="398" spans="1:13" x14ac:dyDescent="0.3">
      <c r="A398" s="3" t="s">
        <v>213</v>
      </c>
      <c r="B398" s="3" t="s">
        <v>13</v>
      </c>
      <c r="C398" s="2">
        <v>45483</v>
      </c>
      <c r="D398" s="3" t="s">
        <v>14</v>
      </c>
      <c r="E398" s="3" t="s">
        <v>32</v>
      </c>
      <c r="F398" s="3">
        <v>8809</v>
      </c>
      <c r="G398" s="3">
        <v>1151</v>
      </c>
      <c r="H398" s="3">
        <v>908</v>
      </c>
      <c r="I398" s="3">
        <v>883</v>
      </c>
      <c r="J398" s="3">
        <v>42921</v>
      </c>
      <c r="K398" s="3">
        <v>151279</v>
      </c>
      <c r="L398" s="3" t="s">
        <v>45</v>
      </c>
      <c r="M398" s="4">
        <v>7.1840771025720687E-2</v>
      </c>
    </row>
    <row r="399" spans="1:13" x14ac:dyDescent="0.3">
      <c r="A399" s="3" t="s">
        <v>228</v>
      </c>
      <c r="B399" s="3" t="s">
        <v>13</v>
      </c>
      <c r="C399" s="2">
        <v>45945</v>
      </c>
      <c r="D399" s="3" t="s">
        <v>14</v>
      </c>
      <c r="E399" s="3" t="s">
        <v>363</v>
      </c>
      <c r="F399" s="3">
        <v>8882</v>
      </c>
      <c r="G399" s="3">
        <v>701</v>
      </c>
      <c r="H399" s="3">
        <v>421</v>
      </c>
      <c r="I399" s="3">
        <v>2343</v>
      </c>
      <c r="J399" s="3">
        <v>13588</v>
      </c>
      <c r="K399" s="3">
        <v>139304</v>
      </c>
      <c r="L399" s="3" t="s">
        <v>20</v>
      </c>
      <c r="M399" s="4">
        <v>7.1814161833113191E-2</v>
      </c>
    </row>
    <row r="400" spans="1:13" x14ac:dyDescent="0.3">
      <c r="A400" s="3" t="s">
        <v>228</v>
      </c>
      <c r="B400" s="3" t="s">
        <v>13</v>
      </c>
      <c r="C400" s="2">
        <v>45945</v>
      </c>
      <c r="D400" s="3" t="s">
        <v>14</v>
      </c>
      <c r="E400" s="3" t="s">
        <v>364</v>
      </c>
      <c r="F400" s="3">
        <v>8882</v>
      </c>
      <c r="G400" s="3">
        <v>701</v>
      </c>
      <c r="H400" s="3">
        <v>421</v>
      </c>
      <c r="I400" s="3">
        <v>2343</v>
      </c>
      <c r="J400" s="3">
        <v>13588</v>
      </c>
      <c r="K400" s="3">
        <v>139304</v>
      </c>
      <c r="L400" s="3" t="s">
        <v>20</v>
      </c>
      <c r="M400" s="4">
        <v>7.1814161833113191E-2</v>
      </c>
    </row>
    <row r="401" spans="1:13" x14ac:dyDescent="0.3">
      <c r="A401" s="3" t="s">
        <v>151</v>
      </c>
      <c r="B401" s="3" t="s">
        <v>13</v>
      </c>
      <c r="C401" s="2">
        <v>45930</v>
      </c>
      <c r="D401" s="3" t="s">
        <v>23</v>
      </c>
      <c r="E401" s="3" t="s">
        <v>353</v>
      </c>
      <c r="F401" s="3">
        <v>8269</v>
      </c>
      <c r="G401" s="3">
        <v>250</v>
      </c>
      <c r="H401" s="3">
        <v>638</v>
      </c>
      <c r="I401" s="3">
        <v>815</v>
      </c>
      <c r="J401" s="3">
        <v>41991</v>
      </c>
      <c r="K401" s="3">
        <v>129393</v>
      </c>
      <c r="L401" s="3" t="s">
        <v>20</v>
      </c>
      <c r="M401" s="4">
        <v>7.0768897853825175E-2</v>
      </c>
    </row>
    <row r="402" spans="1:13" x14ac:dyDescent="0.3">
      <c r="A402" s="3" t="s">
        <v>151</v>
      </c>
      <c r="B402" s="3" t="s">
        <v>13</v>
      </c>
      <c r="C402" s="2">
        <v>45930</v>
      </c>
      <c r="D402" s="3" t="s">
        <v>23</v>
      </c>
      <c r="E402" s="3" t="s">
        <v>354</v>
      </c>
      <c r="F402" s="3">
        <v>8269</v>
      </c>
      <c r="G402" s="3">
        <v>250</v>
      </c>
      <c r="H402" s="3">
        <v>638</v>
      </c>
      <c r="I402" s="3">
        <v>815</v>
      </c>
      <c r="J402" s="3">
        <v>41991</v>
      </c>
      <c r="K402" s="3">
        <v>129393</v>
      </c>
      <c r="L402" s="3" t="s">
        <v>20</v>
      </c>
      <c r="M402" s="4">
        <v>7.0768897853825175E-2</v>
      </c>
    </row>
    <row r="403" spans="1:13" x14ac:dyDescent="0.3">
      <c r="A403" s="3" t="s">
        <v>293</v>
      </c>
      <c r="B403" s="3" t="s">
        <v>13</v>
      </c>
      <c r="C403" s="2">
        <v>45753</v>
      </c>
      <c r="D403" s="3" t="s">
        <v>34</v>
      </c>
      <c r="E403" s="3" t="s">
        <v>359</v>
      </c>
      <c r="F403" s="3">
        <v>15917</v>
      </c>
      <c r="G403" s="3">
        <v>1479</v>
      </c>
      <c r="H403" s="3">
        <v>196</v>
      </c>
      <c r="I403" s="3">
        <v>313</v>
      </c>
      <c r="J403" s="3">
        <v>48524</v>
      </c>
      <c r="K403" s="3">
        <v>249684</v>
      </c>
      <c r="L403" s="3" t="s">
        <v>29</v>
      </c>
      <c r="M403" s="4">
        <v>7.0457057720959296E-2</v>
      </c>
    </row>
    <row r="404" spans="1:13" x14ac:dyDescent="0.3">
      <c r="A404" s="3" t="s">
        <v>293</v>
      </c>
      <c r="B404" s="3" t="s">
        <v>13</v>
      </c>
      <c r="C404" s="2">
        <v>45753</v>
      </c>
      <c r="D404" s="3" t="s">
        <v>34</v>
      </c>
      <c r="E404" s="3" t="s">
        <v>366</v>
      </c>
      <c r="F404" s="3">
        <v>15917</v>
      </c>
      <c r="G404" s="3">
        <v>1479</v>
      </c>
      <c r="H404" s="3">
        <v>196</v>
      </c>
      <c r="I404" s="3">
        <v>313</v>
      </c>
      <c r="J404" s="3">
        <v>48524</v>
      </c>
      <c r="K404" s="3">
        <v>249684</v>
      </c>
      <c r="L404" s="3" t="s">
        <v>29</v>
      </c>
      <c r="M404" s="4">
        <v>7.0457057720959296E-2</v>
      </c>
    </row>
    <row r="405" spans="1:13" x14ac:dyDescent="0.3">
      <c r="A405" s="3" t="s">
        <v>327</v>
      </c>
      <c r="B405" s="3" t="s">
        <v>22</v>
      </c>
      <c r="C405" s="2">
        <v>45602</v>
      </c>
      <c r="D405" s="3" t="s">
        <v>14</v>
      </c>
      <c r="E405" s="3" t="s">
        <v>361</v>
      </c>
      <c r="F405" s="3">
        <v>11865</v>
      </c>
      <c r="G405" s="3">
        <v>241</v>
      </c>
      <c r="H405" s="3">
        <v>319</v>
      </c>
      <c r="I405" s="3">
        <v>703</v>
      </c>
      <c r="J405" s="3">
        <v>69596</v>
      </c>
      <c r="K405" s="3">
        <v>177513</v>
      </c>
      <c r="L405" s="3" t="s">
        <v>29</v>
      </c>
      <c r="M405" s="4">
        <v>6.999487361489018E-2</v>
      </c>
    </row>
    <row r="406" spans="1:13" x14ac:dyDescent="0.3">
      <c r="A406" s="3" t="s">
        <v>327</v>
      </c>
      <c r="B406" s="3" t="s">
        <v>22</v>
      </c>
      <c r="C406" s="2">
        <v>45602</v>
      </c>
      <c r="D406" s="3" t="s">
        <v>14</v>
      </c>
      <c r="E406" s="3" t="s">
        <v>362</v>
      </c>
      <c r="F406" s="3">
        <v>11865</v>
      </c>
      <c r="G406" s="3">
        <v>241</v>
      </c>
      <c r="H406" s="3">
        <v>319</v>
      </c>
      <c r="I406" s="3">
        <v>703</v>
      </c>
      <c r="J406" s="3">
        <v>69596</v>
      </c>
      <c r="K406" s="3">
        <v>177513</v>
      </c>
      <c r="L406" s="3" t="s">
        <v>29</v>
      </c>
      <c r="M406" s="4">
        <v>6.999487361489018E-2</v>
      </c>
    </row>
    <row r="407" spans="1:13" x14ac:dyDescent="0.3">
      <c r="A407" s="3" t="s">
        <v>335</v>
      </c>
      <c r="B407" s="3" t="s">
        <v>22</v>
      </c>
      <c r="C407" s="2">
        <v>45925</v>
      </c>
      <c r="D407" s="3" t="s">
        <v>34</v>
      </c>
      <c r="E407" s="3" t="s">
        <v>367</v>
      </c>
      <c r="F407" s="3">
        <v>12568</v>
      </c>
      <c r="G407" s="3">
        <v>541</v>
      </c>
      <c r="H407" s="3">
        <v>273</v>
      </c>
      <c r="I407" s="3">
        <v>2767</v>
      </c>
      <c r="J407" s="3">
        <v>22331</v>
      </c>
      <c r="K407" s="3">
        <v>192747</v>
      </c>
      <c r="L407" s="3" t="s">
        <v>20</v>
      </c>
      <c r="M407" s="4">
        <v>6.9427799135654514E-2</v>
      </c>
    </row>
    <row r="408" spans="1:13" x14ac:dyDescent="0.3">
      <c r="A408" s="3" t="s">
        <v>335</v>
      </c>
      <c r="B408" s="3" t="s">
        <v>22</v>
      </c>
      <c r="C408" s="2">
        <v>45925</v>
      </c>
      <c r="D408" s="3" t="s">
        <v>34</v>
      </c>
      <c r="E408" s="3" t="s">
        <v>32</v>
      </c>
      <c r="F408" s="3">
        <v>12568</v>
      </c>
      <c r="G408" s="3">
        <v>541</v>
      </c>
      <c r="H408" s="3">
        <v>273</v>
      </c>
      <c r="I408" s="3">
        <v>2767</v>
      </c>
      <c r="J408" s="3">
        <v>22331</v>
      </c>
      <c r="K408" s="3">
        <v>192747</v>
      </c>
      <c r="L408" s="3" t="s">
        <v>20</v>
      </c>
      <c r="M408" s="4">
        <v>6.9427799135654514E-2</v>
      </c>
    </row>
    <row r="409" spans="1:13" x14ac:dyDescent="0.3">
      <c r="A409" s="3" t="s">
        <v>80</v>
      </c>
      <c r="B409" s="3" t="s">
        <v>18</v>
      </c>
      <c r="C409" s="2">
        <v>45917</v>
      </c>
      <c r="D409" s="3" t="s">
        <v>23</v>
      </c>
      <c r="E409" s="3" t="s">
        <v>361</v>
      </c>
      <c r="F409" s="3">
        <v>15456</v>
      </c>
      <c r="G409" s="3">
        <v>590</v>
      </c>
      <c r="H409" s="3">
        <v>555</v>
      </c>
      <c r="I409" s="3">
        <v>2882</v>
      </c>
      <c r="J409" s="3">
        <v>49816</v>
      </c>
      <c r="K409" s="3">
        <v>240422</v>
      </c>
      <c r="L409" s="3" t="s">
        <v>20</v>
      </c>
      <c r="M409" s="4">
        <v>6.9049421433978589E-2</v>
      </c>
    </row>
    <row r="410" spans="1:13" x14ac:dyDescent="0.3">
      <c r="A410" s="3" t="s">
        <v>80</v>
      </c>
      <c r="B410" s="3" t="s">
        <v>18</v>
      </c>
      <c r="C410" s="2">
        <v>45917</v>
      </c>
      <c r="D410" s="3" t="s">
        <v>23</v>
      </c>
      <c r="E410" s="3" t="s">
        <v>362</v>
      </c>
      <c r="F410" s="3">
        <v>15456</v>
      </c>
      <c r="G410" s="3">
        <v>590</v>
      </c>
      <c r="H410" s="3">
        <v>555</v>
      </c>
      <c r="I410" s="3">
        <v>2882</v>
      </c>
      <c r="J410" s="3">
        <v>49816</v>
      </c>
      <c r="K410" s="3">
        <v>240422</v>
      </c>
      <c r="L410" s="3" t="s">
        <v>20</v>
      </c>
      <c r="M410" s="4">
        <v>6.9049421433978589E-2</v>
      </c>
    </row>
    <row r="411" spans="1:13" x14ac:dyDescent="0.3">
      <c r="A411" s="3" t="s">
        <v>72</v>
      </c>
      <c r="B411" s="3" t="s">
        <v>18</v>
      </c>
      <c r="C411" s="2">
        <v>45663</v>
      </c>
      <c r="D411" s="3" t="s">
        <v>14</v>
      </c>
      <c r="E411" s="3" t="s">
        <v>357</v>
      </c>
      <c r="F411" s="3">
        <v>11860</v>
      </c>
      <c r="G411" s="3">
        <v>1448</v>
      </c>
      <c r="H411" s="3">
        <v>893</v>
      </c>
      <c r="I411" s="3">
        <v>490</v>
      </c>
      <c r="J411" s="3">
        <v>23518</v>
      </c>
      <c r="K411" s="3">
        <v>206205</v>
      </c>
      <c r="L411" s="3" t="s">
        <v>16</v>
      </c>
      <c r="M411" s="4">
        <v>6.8868359157149436E-2</v>
      </c>
    </row>
    <row r="412" spans="1:13" x14ac:dyDescent="0.3">
      <c r="A412" s="3" t="s">
        <v>72</v>
      </c>
      <c r="B412" s="3" t="s">
        <v>18</v>
      </c>
      <c r="C412" s="2">
        <v>45663</v>
      </c>
      <c r="D412" s="3" t="s">
        <v>14</v>
      </c>
      <c r="E412" s="3" t="s">
        <v>358</v>
      </c>
      <c r="F412" s="3">
        <v>11860</v>
      </c>
      <c r="G412" s="3">
        <v>1448</v>
      </c>
      <c r="H412" s="3">
        <v>893</v>
      </c>
      <c r="I412" s="3">
        <v>490</v>
      </c>
      <c r="J412" s="3">
        <v>23518</v>
      </c>
      <c r="K412" s="3">
        <v>206205</v>
      </c>
      <c r="L412" s="3" t="s">
        <v>16</v>
      </c>
      <c r="M412" s="4">
        <v>6.8868359157149436E-2</v>
      </c>
    </row>
    <row r="413" spans="1:13" x14ac:dyDescent="0.3">
      <c r="A413" s="3" t="s">
        <v>198</v>
      </c>
      <c r="B413" s="3" t="s">
        <v>22</v>
      </c>
      <c r="C413" s="2">
        <v>45748</v>
      </c>
      <c r="D413" s="3" t="s">
        <v>14</v>
      </c>
      <c r="E413" s="3" t="s">
        <v>361</v>
      </c>
      <c r="F413" s="3">
        <v>6432</v>
      </c>
      <c r="G413" s="3">
        <v>1272</v>
      </c>
      <c r="H413" s="3">
        <v>498</v>
      </c>
      <c r="I413" s="3">
        <v>677</v>
      </c>
      <c r="J413" s="3">
        <v>47305</v>
      </c>
      <c r="K413" s="3">
        <v>119134</v>
      </c>
      <c r="L413" s="3" t="s">
        <v>16</v>
      </c>
      <c r="M413" s="4">
        <v>6.8846844729464299E-2</v>
      </c>
    </row>
    <row r="414" spans="1:13" x14ac:dyDescent="0.3">
      <c r="A414" s="3" t="s">
        <v>198</v>
      </c>
      <c r="B414" s="3" t="s">
        <v>22</v>
      </c>
      <c r="C414" s="2">
        <v>45748</v>
      </c>
      <c r="D414" s="3" t="s">
        <v>14</v>
      </c>
      <c r="E414" s="3" t="s">
        <v>362</v>
      </c>
      <c r="F414" s="3">
        <v>6432</v>
      </c>
      <c r="G414" s="3">
        <v>1272</v>
      </c>
      <c r="H414" s="3">
        <v>498</v>
      </c>
      <c r="I414" s="3">
        <v>677</v>
      </c>
      <c r="J414" s="3">
        <v>47305</v>
      </c>
      <c r="K414" s="3">
        <v>119134</v>
      </c>
      <c r="L414" s="3" t="s">
        <v>16</v>
      </c>
      <c r="M414" s="4">
        <v>6.8846844729464299E-2</v>
      </c>
    </row>
    <row r="415" spans="1:13" x14ac:dyDescent="0.3">
      <c r="A415" s="3" t="s">
        <v>315</v>
      </c>
      <c r="B415" s="3" t="s">
        <v>22</v>
      </c>
      <c r="C415" s="2">
        <v>45537</v>
      </c>
      <c r="D415" s="3" t="s">
        <v>27</v>
      </c>
      <c r="E415" s="3" t="s">
        <v>359</v>
      </c>
      <c r="F415" s="3">
        <v>11765</v>
      </c>
      <c r="G415" s="3">
        <v>693</v>
      </c>
      <c r="H415" s="3">
        <v>729</v>
      </c>
      <c r="I415" s="3">
        <v>744</v>
      </c>
      <c r="J415" s="3">
        <v>97772</v>
      </c>
      <c r="K415" s="3">
        <v>194243</v>
      </c>
      <c r="L415" s="3" t="s">
        <v>16</v>
      </c>
      <c r="M415" s="4">
        <v>6.7889190344053579E-2</v>
      </c>
    </row>
    <row r="416" spans="1:13" x14ac:dyDescent="0.3">
      <c r="A416" s="3" t="s">
        <v>315</v>
      </c>
      <c r="B416" s="3" t="s">
        <v>22</v>
      </c>
      <c r="C416" s="2">
        <v>45537</v>
      </c>
      <c r="D416" s="3" t="s">
        <v>27</v>
      </c>
      <c r="E416" s="3" t="s">
        <v>360</v>
      </c>
      <c r="F416" s="3">
        <v>11765</v>
      </c>
      <c r="G416" s="3">
        <v>693</v>
      </c>
      <c r="H416" s="3">
        <v>729</v>
      </c>
      <c r="I416" s="3">
        <v>744</v>
      </c>
      <c r="J416" s="3">
        <v>97772</v>
      </c>
      <c r="K416" s="3">
        <v>194243</v>
      </c>
      <c r="L416" s="3" t="s">
        <v>16</v>
      </c>
      <c r="M416" s="4">
        <v>6.7889190344053579E-2</v>
      </c>
    </row>
    <row r="417" spans="1:13" x14ac:dyDescent="0.3">
      <c r="A417" s="3" t="s">
        <v>277</v>
      </c>
      <c r="B417" s="3" t="s">
        <v>40</v>
      </c>
      <c r="C417" s="2">
        <v>45675</v>
      </c>
      <c r="D417" s="3" t="s">
        <v>23</v>
      </c>
      <c r="E417" s="3" t="s">
        <v>367</v>
      </c>
      <c r="F417" s="3">
        <v>12589</v>
      </c>
      <c r="G417" s="3">
        <v>346</v>
      </c>
      <c r="H417" s="3">
        <v>459</v>
      </c>
      <c r="I417" s="3">
        <v>1407</v>
      </c>
      <c r="J417" s="3">
        <v>29254</v>
      </c>
      <c r="K417" s="3">
        <v>198059</v>
      </c>
      <c r="L417" s="3" t="s">
        <v>25</v>
      </c>
      <c r="M417" s="4">
        <v>6.7626313371268162E-2</v>
      </c>
    </row>
    <row r="418" spans="1:13" x14ac:dyDescent="0.3">
      <c r="A418" s="3" t="s">
        <v>277</v>
      </c>
      <c r="B418" s="3" t="s">
        <v>40</v>
      </c>
      <c r="C418" s="2">
        <v>45675</v>
      </c>
      <c r="D418" s="3" t="s">
        <v>23</v>
      </c>
      <c r="E418" s="3" t="s">
        <v>32</v>
      </c>
      <c r="F418" s="3">
        <v>12589</v>
      </c>
      <c r="G418" s="3">
        <v>346</v>
      </c>
      <c r="H418" s="3">
        <v>459</v>
      </c>
      <c r="I418" s="3">
        <v>1407</v>
      </c>
      <c r="J418" s="3">
        <v>29254</v>
      </c>
      <c r="K418" s="3">
        <v>198059</v>
      </c>
      <c r="L418" s="3" t="s">
        <v>25</v>
      </c>
      <c r="M418" s="4">
        <v>6.7626313371268162E-2</v>
      </c>
    </row>
    <row r="419" spans="1:13" x14ac:dyDescent="0.3">
      <c r="A419" s="3" t="s">
        <v>147</v>
      </c>
      <c r="B419" s="3" t="s">
        <v>18</v>
      </c>
      <c r="C419" s="2">
        <v>45619</v>
      </c>
      <c r="D419" s="3" t="s">
        <v>23</v>
      </c>
      <c r="E419" s="3" t="s">
        <v>32</v>
      </c>
      <c r="F419" s="3">
        <v>9941</v>
      </c>
      <c r="G419" s="3">
        <v>1329</v>
      </c>
      <c r="H419" s="3">
        <v>238</v>
      </c>
      <c r="I419" s="3">
        <v>869</v>
      </c>
      <c r="J419" s="3">
        <v>40281</v>
      </c>
      <c r="K419" s="3">
        <v>172311</v>
      </c>
      <c r="L419" s="3" t="s">
        <v>25</v>
      </c>
      <c r="M419" s="4">
        <v>6.6786217943137702E-2</v>
      </c>
    </row>
    <row r="420" spans="1:13" x14ac:dyDescent="0.3">
      <c r="A420" s="3" t="s">
        <v>135</v>
      </c>
      <c r="B420" s="3" t="s">
        <v>40</v>
      </c>
      <c r="C420" s="2">
        <v>45475</v>
      </c>
      <c r="D420" s="3" t="s">
        <v>34</v>
      </c>
      <c r="E420" s="3" t="s">
        <v>361</v>
      </c>
      <c r="F420" s="3">
        <v>12320</v>
      </c>
      <c r="G420" s="3">
        <v>1157</v>
      </c>
      <c r="H420" s="3">
        <v>365</v>
      </c>
      <c r="I420" s="3">
        <v>584</v>
      </c>
      <c r="J420" s="3">
        <v>66634</v>
      </c>
      <c r="K420" s="3">
        <v>210102</v>
      </c>
      <c r="L420" s="3" t="s">
        <v>29</v>
      </c>
      <c r="M420" s="4">
        <v>6.5882285746922925E-2</v>
      </c>
    </row>
    <row r="421" spans="1:13" x14ac:dyDescent="0.3">
      <c r="A421" s="3" t="s">
        <v>135</v>
      </c>
      <c r="B421" s="3" t="s">
        <v>40</v>
      </c>
      <c r="C421" s="2">
        <v>45475</v>
      </c>
      <c r="D421" s="3" t="s">
        <v>34</v>
      </c>
      <c r="E421" s="3" t="s">
        <v>362</v>
      </c>
      <c r="F421" s="3">
        <v>12320</v>
      </c>
      <c r="G421" s="3">
        <v>1157</v>
      </c>
      <c r="H421" s="3">
        <v>365</v>
      </c>
      <c r="I421" s="3">
        <v>584</v>
      </c>
      <c r="J421" s="3">
        <v>66634</v>
      </c>
      <c r="K421" s="3">
        <v>210102</v>
      </c>
      <c r="L421" s="3" t="s">
        <v>29</v>
      </c>
      <c r="M421" s="4">
        <v>6.5882285746922925E-2</v>
      </c>
    </row>
    <row r="422" spans="1:13" x14ac:dyDescent="0.3">
      <c r="A422" s="3" t="s">
        <v>258</v>
      </c>
      <c r="B422" s="3" t="s">
        <v>13</v>
      </c>
      <c r="C422" s="2">
        <v>45573</v>
      </c>
      <c r="D422" s="3" t="s">
        <v>23</v>
      </c>
      <c r="E422" s="3" t="s">
        <v>64</v>
      </c>
      <c r="F422" s="3">
        <v>8738</v>
      </c>
      <c r="G422" s="3">
        <v>295</v>
      </c>
      <c r="H422" s="3">
        <v>529</v>
      </c>
      <c r="I422" s="3">
        <v>442</v>
      </c>
      <c r="J422" s="3">
        <v>25286</v>
      </c>
      <c r="K422" s="3">
        <v>147522</v>
      </c>
      <c r="L422" s="3" t="s">
        <v>29</v>
      </c>
      <c r="M422" s="4">
        <v>6.4817450956467515E-2</v>
      </c>
    </row>
    <row r="423" spans="1:13" x14ac:dyDescent="0.3">
      <c r="A423" s="3" t="s">
        <v>89</v>
      </c>
      <c r="B423" s="3" t="s">
        <v>18</v>
      </c>
      <c r="C423" s="2">
        <v>45729</v>
      </c>
      <c r="D423" s="3" t="s">
        <v>34</v>
      </c>
      <c r="E423" s="3" t="s">
        <v>357</v>
      </c>
      <c r="F423" s="3">
        <v>6544</v>
      </c>
      <c r="G423" s="3">
        <v>749</v>
      </c>
      <c r="H423" s="3">
        <v>888</v>
      </c>
      <c r="I423" s="3">
        <v>594</v>
      </c>
      <c r="J423" s="3">
        <v>18171</v>
      </c>
      <c r="K423" s="3">
        <v>126475</v>
      </c>
      <c r="L423" s="3" t="s">
        <v>25</v>
      </c>
      <c r="M423" s="4">
        <v>6.4684720300454635E-2</v>
      </c>
    </row>
    <row r="424" spans="1:13" x14ac:dyDescent="0.3">
      <c r="A424" s="3" t="s">
        <v>89</v>
      </c>
      <c r="B424" s="3" t="s">
        <v>18</v>
      </c>
      <c r="C424" s="2">
        <v>45729</v>
      </c>
      <c r="D424" s="3" t="s">
        <v>34</v>
      </c>
      <c r="E424" s="3" t="s">
        <v>358</v>
      </c>
      <c r="F424" s="3">
        <v>6544</v>
      </c>
      <c r="G424" s="3">
        <v>749</v>
      </c>
      <c r="H424" s="3">
        <v>888</v>
      </c>
      <c r="I424" s="3">
        <v>594</v>
      </c>
      <c r="J424" s="3">
        <v>18171</v>
      </c>
      <c r="K424" s="3">
        <v>126475</v>
      </c>
      <c r="L424" s="3" t="s">
        <v>25</v>
      </c>
      <c r="M424" s="4">
        <v>6.4684720300454635E-2</v>
      </c>
    </row>
    <row r="425" spans="1:13" x14ac:dyDescent="0.3">
      <c r="A425" s="3" t="s">
        <v>254</v>
      </c>
      <c r="B425" s="3" t="s">
        <v>22</v>
      </c>
      <c r="C425" s="2">
        <v>45454</v>
      </c>
      <c r="D425" s="3" t="s">
        <v>27</v>
      </c>
      <c r="E425" s="3" t="s">
        <v>64</v>
      </c>
      <c r="F425" s="3">
        <v>14910</v>
      </c>
      <c r="G425" s="3">
        <v>778</v>
      </c>
      <c r="H425" s="3">
        <v>289</v>
      </c>
      <c r="I425" s="3">
        <v>2541</v>
      </c>
      <c r="J425" s="3">
        <v>14309</v>
      </c>
      <c r="K425" s="3">
        <v>247815</v>
      </c>
      <c r="L425" s="3" t="s">
        <v>25</v>
      </c>
      <c r="M425" s="4">
        <v>6.4471480741682297E-2</v>
      </c>
    </row>
    <row r="426" spans="1:13" x14ac:dyDescent="0.3">
      <c r="A426" s="3" t="s">
        <v>190</v>
      </c>
      <c r="B426" s="3" t="s">
        <v>13</v>
      </c>
      <c r="C426" s="2">
        <v>45574</v>
      </c>
      <c r="D426" s="3" t="s">
        <v>27</v>
      </c>
      <c r="E426" s="3" t="s">
        <v>365</v>
      </c>
      <c r="F426" s="3">
        <v>7240</v>
      </c>
      <c r="G426" s="3">
        <v>1384</v>
      </c>
      <c r="H426" s="3">
        <v>954</v>
      </c>
      <c r="I426" s="3">
        <v>2335</v>
      </c>
      <c r="J426" s="3">
        <v>6757</v>
      </c>
      <c r="K426" s="3">
        <v>150448</v>
      </c>
      <c r="L426" s="3" t="s">
        <v>25</v>
      </c>
      <c r="M426" s="4">
        <v>6.3663192598106988E-2</v>
      </c>
    </row>
    <row r="427" spans="1:13" x14ac:dyDescent="0.3">
      <c r="A427" s="3" t="s">
        <v>190</v>
      </c>
      <c r="B427" s="3" t="s">
        <v>13</v>
      </c>
      <c r="C427" s="2">
        <v>45574</v>
      </c>
      <c r="D427" s="3" t="s">
        <v>27</v>
      </c>
      <c r="E427" s="3" t="s">
        <v>359</v>
      </c>
      <c r="F427" s="3">
        <v>7240</v>
      </c>
      <c r="G427" s="3">
        <v>1384</v>
      </c>
      <c r="H427" s="3">
        <v>954</v>
      </c>
      <c r="I427" s="3">
        <v>2335</v>
      </c>
      <c r="J427" s="3">
        <v>6757</v>
      </c>
      <c r="K427" s="3">
        <v>150448</v>
      </c>
      <c r="L427" s="3" t="s">
        <v>25</v>
      </c>
      <c r="M427" s="4">
        <v>6.3663192598106988E-2</v>
      </c>
    </row>
    <row r="428" spans="1:13" x14ac:dyDescent="0.3">
      <c r="A428" s="3" t="s">
        <v>246</v>
      </c>
      <c r="B428" s="3" t="s">
        <v>22</v>
      </c>
      <c r="C428" s="2">
        <v>45707</v>
      </c>
      <c r="D428" s="3" t="s">
        <v>27</v>
      </c>
      <c r="E428" s="3" t="s">
        <v>365</v>
      </c>
      <c r="F428" s="3">
        <v>8168</v>
      </c>
      <c r="G428" s="3">
        <v>512</v>
      </c>
      <c r="H428" s="3">
        <v>442</v>
      </c>
      <c r="I428" s="3">
        <v>2343</v>
      </c>
      <c r="J428" s="3">
        <v>2753</v>
      </c>
      <c r="K428" s="3">
        <v>143896</v>
      </c>
      <c r="L428" s="3" t="s">
        <v>45</v>
      </c>
      <c r="M428" s="4">
        <v>6.3393006059932172E-2</v>
      </c>
    </row>
    <row r="429" spans="1:13" x14ac:dyDescent="0.3">
      <c r="A429" s="3" t="s">
        <v>246</v>
      </c>
      <c r="B429" s="3" t="s">
        <v>22</v>
      </c>
      <c r="C429" s="2">
        <v>45707</v>
      </c>
      <c r="D429" s="3" t="s">
        <v>27</v>
      </c>
      <c r="E429" s="3" t="s">
        <v>359</v>
      </c>
      <c r="F429" s="3">
        <v>8168</v>
      </c>
      <c r="G429" s="3">
        <v>512</v>
      </c>
      <c r="H429" s="3">
        <v>442</v>
      </c>
      <c r="I429" s="3">
        <v>2343</v>
      </c>
      <c r="J429" s="3">
        <v>2753</v>
      </c>
      <c r="K429" s="3">
        <v>143896</v>
      </c>
      <c r="L429" s="3" t="s">
        <v>45</v>
      </c>
      <c r="M429" s="4">
        <v>6.3393006059932172E-2</v>
      </c>
    </row>
    <row r="430" spans="1:13" x14ac:dyDescent="0.3">
      <c r="A430" s="3" t="s">
        <v>185</v>
      </c>
      <c r="B430" s="3" t="s">
        <v>22</v>
      </c>
      <c r="C430" s="2">
        <v>45459</v>
      </c>
      <c r="D430" s="3" t="s">
        <v>23</v>
      </c>
      <c r="E430" s="3" t="s">
        <v>353</v>
      </c>
      <c r="F430" s="3">
        <v>12160</v>
      </c>
      <c r="G430" s="3">
        <v>1405</v>
      </c>
      <c r="H430" s="3">
        <v>769</v>
      </c>
      <c r="I430" s="3">
        <v>1980</v>
      </c>
      <c r="J430" s="3">
        <v>33174</v>
      </c>
      <c r="K430" s="3">
        <v>226481</v>
      </c>
      <c r="L430" s="3" t="s">
        <v>16</v>
      </c>
      <c r="M430" s="4">
        <v>6.329007731332871E-2</v>
      </c>
    </row>
    <row r="431" spans="1:13" x14ac:dyDescent="0.3">
      <c r="A431" s="3" t="s">
        <v>185</v>
      </c>
      <c r="B431" s="3" t="s">
        <v>22</v>
      </c>
      <c r="C431" s="2">
        <v>45459</v>
      </c>
      <c r="D431" s="3" t="s">
        <v>23</v>
      </c>
      <c r="E431" s="3" t="s">
        <v>354</v>
      </c>
      <c r="F431" s="3">
        <v>12160</v>
      </c>
      <c r="G431" s="3">
        <v>1405</v>
      </c>
      <c r="H431" s="3">
        <v>769</v>
      </c>
      <c r="I431" s="3">
        <v>1980</v>
      </c>
      <c r="J431" s="3">
        <v>33174</v>
      </c>
      <c r="K431" s="3">
        <v>226481</v>
      </c>
      <c r="L431" s="3" t="s">
        <v>16</v>
      </c>
      <c r="M431" s="4">
        <v>6.329007731332871E-2</v>
      </c>
    </row>
    <row r="432" spans="1:13" x14ac:dyDescent="0.3">
      <c r="A432" s="3" t="s">
        <v>331</v>
      </c>
      <c r="B432" s="3" t="s">
        <v>40</v>
      </c>
      <c r="C432" s="2">
        <v>45783</v>
      </c>
      <c r="D432" s="3" t="s">
        <v>34</v>
      </c>
      <c r="E432" s="3" t="s">
        <v>353</v>
      </c>
      <c r="F432" s="3">
        <v>7287</v>
      </c>
      <c r="G432" s="3">
        <v>1240</v>
      </c>
      <c r="H432" s="3">
        <v>686</v>
      </c>
      <c r="I432" s="3">
        <v>1255</v>
      </c>
      <c r="J432" s="3">
        <v>15403</v>
      </c>
      <c r="K432" s="3">
        <v>147971</v>
      </c>
      <c r="L432" s="3" t="s">
        <v>16</v>
      </c>
      <c r="M432" s="4">
        <v>6.2262200025680704E-2</v>
      </c>
    </row>
    <row r="433" spans="1:13" x14ac:dyDescent="0.3">
      <c r="A433" s="3" t="s">
        <v>331</v>
      </c>
      <c r="B433" s="3" t="s">
        <v>40</v>
      </c>
      <c r="C433" s="2">
        <v>45783</v>
      </c>
      <c r="D433" s="3" t="s">
        <v>34</v>
      </c>
      <c r="E433" s="3" t="s">
        <v>354</v>
      </c>
      <c r="F433" s="3">
        <v>7287</v>
      </c>
      <c r="G433" s="3">
        <v>1240</v>
      </c>
      <c r="H433" s="3">
        <v>686</v>
      </c>
      <c r="I433" s="3">
        <v>1255</v>
      </c>
      <c r="J433" s="3">
        <v>15403</v>
      </c>
      <c r="K433" s="3">
        <v>147971</v>
      </c>
      <c r="L433" s="3" t="s">
        <v>16</v>
      </c>
      <c r="M433" s="4">
        <v>6.2262200025680704E-2</v>
      </c>
    </row>
    <row r="434" spans="1:13" x14ac:dyDescent="0.3">
      <c r="A434" s="3" t="s">
        <v>121</v>
      </c>
      <c r="B434" s="3" t="s">
        <v>13</v>
      </c>
      <c r="C434" s="2">
        <v>45766</v>
      </c>
      <c r="D434" s="3" t="s">
        <v>14</v>
      </c>
      <c r="E434" s="3" t="s">
        <v>361</v>
      </c>
      <c r="F434" s="3">
        <v>8881</v>
      </c>
      <c r="G434" s="3">
        <v>210</v>
      </c>
      <c r="H434" s="3">
        <v>673</v>
      </c>
      <c r="I434" s="3">
        <v>1565</v>
      </c>
      <c r="J434" s="3">
        <v>24847</v>
      </c>
      <c r="K434" s="3">
        <v>156891</v>
      </c>
      <c r="L434" s="3" t="s">
        <v>25</v>
      </c>
      <c r="M434" s="4">
        <v>6.223429004850501E-2</v>
      </c>
    </row>
    <row r="435" spans="1:13" x14ac:dyDescent="0.3">
      <c r="A435" s="3" t="s">
        <v>121</v>
      </c>
      <c r="B435" s="3" t="s">
        <v>13</v>
      </c>
      <c r="C435" s="2">
        <v>45766</v>
      </c>
      <c r="D435" s="3" t="s">
        <v>14</v>
      </c>
      <c r="E435" s="3" t="s">
        <v>362</v>
      </c>
      <c r="F435" s="3">
        <v>8881</v>
      </c>
      <c r="G435" s="3">
        <v>210</v>
      </c>
      <c r="H435" s="3">
        <v>673</v>
      </c>
      <c r="I435" s="3">
        <v>1565</v>
      </c>
      <c r="J435" s="3">
        <v>24847</v>
      </c>
      <c r="K435" s="3">
        <v>156891</v>
      </c>
      <c r="L435" s="3" t="s">
        <v>25</v>
      </c>
      <c r="M435" s="4">
        <v>6.223429004850501E-2</v>
      </c>
    </row>
    <row r="436" spans="1:13" x14ac:dyDescent="0.3">
      <c r="A436" s="3" t="s">
        <v>192</v>
      </c>
      <c r="B436" s="3" t="s">
        <v>40</v>
      </c>
      <c r="C436" s="2">
        <v>45587</v>
      </c>
      <c r="D436" s="3" t="s">
        <v>23</v>
      </c>
      <c r="E436" s="3" t="s">
        <v>361</v>
      </c>
      <c r="F436" s="3">
        <v>12478</v>
      </c>
      <c r="G436" s="3">
        <v>484</v>
      </c>
      <c r="H436" s="3">
        <v>332</v>
      </c>
      <c r="I436" s="3">
        <v>2734</v>
      </c>
      <c r="J436" s="3">
        <v>43338</v>
      </c>
      <c r="K436" s="3">
        <v>213895</v>
      </c>
      <c r="L436" s="3" t="s">
        <v>29</v>
      </c>
      <c r="M436" s="4">
        <v>6.2151990462610156E-2</v>
      </c>
    </row>
    <row r="437" spans="1:13" x14ac:dyDescent="0.3">
      <c r="A437" s="3" t="s">
        <v>192</v>
      </c>
      <c r="B437" s="3" t="s">
        <v>40</v>
      </c>
      <c r="C437" s="2">
        <v>45587</v>
      </c>
      <c r="D437" s="3" t="s">
        <v>23</v>
      </c>
      <c r="E437" s="3" t="s">
        <v>362</v>
      </c>
      <c r="F437" s="3">
        <v>12478</v>
      </c>
      <c r="G437" s="3">
        <v>484</v>
      </c>
      <c r="H437" s="3">
        <v>332</v>
      </c>
      <c r="I437" s="3">
        <v>2734</v>
      </c>
      <c r="J437" s="3">
        <v>43338</v>
      </c>
      <c r="K437" s="3">
        <v>213895</v>
      </c>
      <c r="L437" s="3" t="s">
        <v>29</v>
      </c>
      <c r="M437" s="4">
        <v>6.2151990462610156E-2</v>
      </c>
    </row>
    <row r="438" spans="1:13" x14ac:dyDescent="0.3">
      <c r="A438" s="3" t="s">
        <v>306</v>
      </c>
      <c r="B438" s="3" t="s">
        <v>13</v>
      </c>
      <c r="C438" s="2">
        <v>45672</v>
      </c>
      <c r="D438" s="3" t="s">
        <v>23</v>
      </c>
      <c r="E438" s="3" t="s">
        <v>355</v>
      </c>
      <c r="F438" s="3">
        <v>11333</v>
      </c>
      <c r="G438" s="3">
        <v>920</v>
      </c>
      <c r="H438" s="3">
        <v>294</v>
      </c>
      <c r="I438" s="3">
        <v>606</v>
      </c>
      <c r="J438" s="3">
        <v>59490</v>
      </c>
      <c r="K438" s="3">
        <v>202082</v>
      </c>
      <c r="L438" s="3" t="s">
        <v>25</v>
      </c>
      <c r="M438" s="4">
        <v>6.2088657079799291E-2</v>
      </c>
    </row>
    <row r="439" spans="1:13" x14ac:dyDescent="0.3">
      <c r="A439" s="3" t="s">
        <v>306</v>
      </c>
      <c r="B439" s="3" t="s">
        <v>13</v>
      </c>
      <c r="C439" s="2">
        <v>45672</v>
      </c>
      <c r="D439" s="3" t="s">
        <v>23</v>
      </c>
      <c r="E439" s="3" t="s">
        <v>356</v>
      </c>
      <c r="F439" s="3">
        <v>11333</v>
      </c>
      <c r="G439" s="3">
        <v>920</v>
      </c>
      <c r="H439" s="3">
        <v>294</v>
      </c>
      <c r="I439" s="3">
        <v>606</v>
      </c>
      <c r="J439" s="3">
        <v>59490</v>
      </c>
      <c r="K439" s="3">
        <v>202082</v>
      </c>
      <c r="L439" s="3" t="s">
        <v>25</v>
      </c>
      <c r="M439" s="4">
        <v>6.2088657079799291E-2</v>
      </c>
    </row>
    <row r="440" spans="1:13" x14ac:dyDescent="0.3">
      <c r="A440" s="3" t="s">
        <v>205</v>
      </c>
      <c r="B440" s="3" t="s">
        <v>13</v>
      </c>
      <c r="C440" s="2">
        <v>45629</v>
      </c>
      <c r="D440" s="3" t="s">
        <v>14</v>
      </c>
      <c r="E440" s="3" t="s">
        <v>361</v>
      </c>
      <c r="F440" s="3">
        <v>2055</v>
      </c>
      <c r="G440" s="3">
        <v>675</v>
      </c>
      <c r="H440" s="3">
        <v>257</v>
      </c>
      <c r="I440" s="3">
        <v>820</v>
      </c>
      <c r="J440" s="3">
        <v>33534</v>
      </c>
      <c r="K440" s="3">
        <v>48125</v>
      </c>
      <c r="L440" s="3" t="s">
        <v>16</v>
      </c>
      <c r="M440" s="4">
        <v>6.2067532467532466E-2</v>
      </c>
    </row>
    <row r="441" spans="1:13" x14ac:dyDescent="0.3">
      <c r="A441" s="3" t="s">
        <v>205</v>
      </c>
      <c r="B441" s="3" t="s">
        <v>13</v>
      </c>
      <c r="C441" s="2">
        <v>45629</v>
      </c>
      <c r="D441" s="3" t="s">
        <v>14</v>
      </c>
      <c r="E441" s="3" t="s">
        <v>362</v>
      </c>
      <c r="F441" s="3">
        <v>2055</v>
      </c>
      <c r="G441" s="3">
        <v>675</v>
      </c>
      <c r="H441" s="3">
        <v>257</v>
      </c>
      <c r="I441" s="3">
        <v>820</v>
      </c>
      <c r="J441" s="3">
        <v>33534</v>
      </c>
      <c r="K441" s="3">
        <v>48125</v>
      </c>
      <c r="L441" s="3" t="s">
        <v>16</v>
      </c>
      <c r="M441" s="4">
        <v>6.2067532467532466E-2</v>
      </c>
    </row>
    <row r="442" spans="1:13" x14ac:dyDescent="0.3">
      <c r="A442" s="3" t="s">
        <v>117</v>
      </c>
      <c r="B442" s="3" t="s">
        <v>13</v>
      </c>
      <c r="C442" s="2">
        <v>45584</v>
      </c>
      <c r="D442" s="3" t="s">
        <v>34</v>
      </c>
      <c r="E442" s="3" t="s">
        <v>359</v>
      </c>
      <c r="F442" s="3">
        <v>6673</v>
      </c>
      <c r="G442" s="3">
        <v>826</v>
      </c>
      <c r="H442" s="3">
        <v>321</v>
      </c>
      <c r="I442" s="3">
        <v>577</v>
      </c>
      <c r="J442" s="3">
        <v>19262</v>
      </c>
      <c r="K442" s="3">
        <v>132324</v>
      </c>
      <c r="L442" s="3" t="s">
        <v>45</v>
      </c>
      <c r="M442" s="4">
        <v>5.9097367068710133E-2</v>
      </c>
    </row>
    <row r="443" spans="1:13" x14ac:dyDescent="0.3">
      <c r="A443" s="3" t="s">
        <v>117</v>
      </c>
      <c r="B443" s="3" t="s">
        <v>13</v>
      </c>
      <c r="C443" s="2">
        <v>45584</v>
      </c>
      <c r="D443" s="3" t="s">
        <v>34</v>
      </c>
      <c r="E443" s="3" t="s">
        <v>360</v>
      </c>
      <c r="F443" s="3">
        <v>6673</v>
      </c>
      <c r="G443" s="3">
        <v>826</v>
      </c>
      <c r="H443" s="3">
        <v>321</v>
      </c>
      <c r="I443" s="3">
        <v>577</v>
      </c>
      <c r="J443" s="3">
        <v>19262</v>
      </c>
      <c r="K443" s="3">
        <v>132324</v>
      </c>
      <c r="L443" s="3" t="s">
        <v>45</v>
      </c>
      <c r="M443" s="4">
        <v>5.9097367068710133E-2</v>
      </c>
    </row>
    <row r="444" spans="1:13" x14ac:dyDescent="0.3">
      <c r="A444" s="3" t="s">
        <v>83</v>
      </c>
      <c r="B444" s="3" t="s">
        <v>13</v>
      </c>
      <c r="C444" s="2">
        <v>45727</v>
      </c>
      <c r="D444" s="3" t="s">
        <v>34</v>
      </c>
      <c r="E444" s="3" t="s">
        <v>353</v>
      </c>
      <c r="F444" s="3">
        <v>7997</v>
      </c>
      <c r="G444" s="3">
        <v>1238</v>
      </c>
      <c r="H444" s="3">
        <v>438</v>
      </c>
      <c r="I444" s="3">
        <v>1874</v>
      </c>
      <c r="J444" s="3">
        <v>36272</v>
      </c>
      <c r="K444" s="3">
        <v>165818</v>
      </c>
      <c r="L444" s="3" t="s">
        <v>45</v>
      </c>
      <c r="M444" s="4">
        <v>5.8335042034037318E-2</v>
      </c>
    </row>
    <row r="445" spans="1:13" x14ac:dyDescent="0.3">
      <c r="A445" s="3" t="s">
        <v>83</v>
      </c>
      <c r="B445" s="3" t="s">
        <v>13</v>
      </c>
      <c r="C445" s="2">
        <v>45727</v>
      </c>
      <c r="D445" s="3" t="s">
        <v>34</v>
      </c>
      <c r="E445" s="3" t="s">
        <v>354</v>
      </c>
      <c r="F445" s="3">
        <v>7997</v>
      </c>
      <c r="G445" s="3">
        <v>1238</v>
      </c>
      <c r="H445" s="3">
        <v>438</v>
      </c>
      <c r="I445" s="3">
        <v>1874</v>
      </c>
      <c r="J445" s="3">
        <v>36272</v>
      </c>
      <c r="K445" s="3">
        <v>165818</v>
      </c>
      <c r="L445" s="3" t="s">
        <v>45</v>
      </c>
      <c r="M445" s="4">
        <v>5.8335042034037318E-2</v>
      </c>
    </row>
    <row r="446" spans="1:13" x14ac:dyDescent="0.3">
      <c r="A446" s="3" t="s">
        <v>47</v>
      </c>
      <c r="B446" s="3" t="s">
        <v>18</v>
      </c>
      <c r="C446" s="2">
        <v>45907</v>
      </c>
      <c r="D446" s="3" t="s">
        <v>23</v>
      </c>
      <c r="E446" s="3" t="s">
        <v>357</v>
      </c>
      <c r="F446" s="3">
        <v>3015</v>
      </c>
      <c r="G446" s="3">
        <v>997</v>
      </c>
      <c r="H446" s="3">
        <v>783</v>
      </c>
      <c r="I446" s="3">
        <v>617</v>
      </c>
      <c r="J446" s="3">
        <v>77167</v>
      </c>
      <c r="K446" s="3">
        <v>82229</v>
      </c>
      <c r="L446" s="3" t="s">
        <v>20</v>
      </c>
      <c r="M446" s="4">
        <v>5.8312760704860814E-2</v>
      </c>
    </row>
    <row r="447" spans="1:13" x14ac:dyDescent="0.3">
      <c r="A447" s="3" t="s">
        <v>47</v>
      </c>
      <c r="B447" s="3" t="s">
        <v>18</v>
      </c>
      <c r="C447" s="2">
        <v>45907</v>
      </c>
      <c r="D447" s="3" t="s">
        <v>23</v>
      </c>
      <c r="E447" s="3" t="s">
        <v>358</v>
      </c>
      <c r="F447" s="3">
        <v>3015</v>
      </c>
      <c r="G447" s="3">
        <v>997</v>
      </c>
      <c r="H447" s="3">
        <v>783</v>
      </c>
      <c r="I447" s="3">
        <v>617</v>
      </c>
      <c r="J447" s="3">
        <v>77167</v>
      </c>
      <c r="K447" s="3">
        <v>82229</v>
      </c>
      <c r="L447" s="3" t="s">
        <v>20</v>
      </c>
      <c r="M447" s="4">
        <v>5.8312760704860814E-2</v>
      </c>
    </row>
    <row r="448" spans="1:13" x14ac:dyDescent="0.3">
      <c r="A448" s="3" t="s">
        <v>324</v>
      </c>
      <c r="B448" s="3" t="s">
        <v>22</v>
      </c>
      <c r="C448" s="2">
        <v>45764</v>
      </c>
      <c r="D448" s="3" t="s">
        <v>23</v>
      </c>
      <c r="E448" s="3" t="s">
        <v>363</v>
      </c>
      <c r="F448" s="3">
        <v>2009</v>
      </c>
      <c r="G448" s="3">
        <v>1037</v>
      </c>
      <c r="H448" s="3">
        <v>344</v>
      </c>
      <c r="I448" s="3">
        <v>2277</v>
      </c>
      <c r="J448" s="3">
        <v>85743</v>
      </c>
      <c r="K448" s="3">
        <v>58743</v>
      </c>
      <c r="L448" s="3" t="s">
        <v>29</v>
      </c>
      <c r="M448" s="4">
        <v>5.7709003625963942E-2</v>
      </c>
    </row>
    <row r="449" spans="1:13" x14ac:dyDescent="0.3">
      <c r="A449" s="3" t="s">
        <v>324</v>
      </c>
      <c r="B449" s="3" t="s">
        <v>22</v>
      </c>
      <c r="C449" s="2">
        <v>45764</v>
      </c>
      <c r="D449" s="3" t="s">
        <v>23</v>
      </c>
      <c r="E449" s="3" t="s">
        <v>364</v>
      </c>
      <c r="F449" s="3">
        <v>2009</v>
      </c>
      <c r="G449" s="3">
        <v>1037</v>
      </c>
      <c r="H449" s="3">
        <v>344</v>
      </c>
      <c r="I449" s="3">
        <v>2277</v>
      </c>
      <c r="J449" s="3">
        <v>85743</v>
      </c>
      <c r="K449" s="3">
        <v>58743</v>
      </c>
      <c r="L449" s="3" t="s">
        <v>29</v>
      </c>
      <c r="M449" s="4">
        <v>5.7709003625963942E-2</v>
      </c>
    </row>
    <row r="450" spans="1:13" x14ac:dyDescent="0.3">
      <c r="A450" s="3" t="s">
        <v>67</v>
      </c>
      <c r="B450" s="3" t="s">
        <v>22</v>
      </c>
      <c r="C450" s="2">
        <v>45504</v>
      </c>
      <c r="D450" s="3" t="s">
        <v>14</v>
      </c>
      <c r="E450" s="3" t="s">
        <v>359</v>
      </c>
      <c r="F450" s="3">
        <v>2404</v>
      </c>
      <c r="G450" s="3">
        <v>774</v>
      </c>
      <c r="H450" s="3">
        <v>661</v>
      </c>
      <c r="I450" s="3">
        <v>662</v>
      </c>
      <c r="J450" s="3">
        <v>12676</v>
      </c>
      <c r="K450" s="3">
        <v>66916</v>
      </c>
      <c r="L450" s="3" t="s">
        <v>16</v>
      </c>
      <c r="M450" s="4">
        <v>5.7370434574690654E-2</v>
      </c>
    </row>
    <row r="451" spans="1:13" x14ac:dyDescent="0.3">
      <c r="A451" s="3" t="s">
        <v>67</v>
      </c>
      <c r="B451" s="3" t="s">
        <v>22</v>
      </c>
      <c r="C451" s="2">
        <v>45504</v>
      </c>
      <c r="D451" s="3" t="s">
        <v>14</v>
      </c>
      <c r="E451" s="3" t="s">
        <v>366</v>
      </c>
      <c r="F451" s="3">
        <v>2404</v>
      </c>
      <c r="G451" s="3">
        <v>774</v>
      </c>
      <c r="H451" s="3">
        <v>661</v>
      </c>
      <c r="I451" s="3">
        <v>662</v>
      </c>
      <c r="J451" s="3">
        <v>12676</v>
      </c>
      <c r="K451" s="3">
        <v>66916</v>
      </c>
      <c r="L451" s="3" t="s">
        <v>16</v>
      </c>
      <c r="M451" s="4">
        <v>5.7370434574690654E-2</v>
      </c>
    </row>
    <row r="452" spans="1:13" x14ac:dyDescent="0.3">
      <c r="A452" s="3" t="s">
        <v>169</v>
      </c>
      <c r="B452" s="3" t="s">
        <v>22</v>
      </c>
      <c r="C452" s="2">
        <v>45694</v>
      </c>
      <c r="D452" s="3" t="s">
        <v>14</v>
      </c>
      <c r="E452" s="3" t="s">
        <v>353</v>
      </c>
      <c r="F452" s="3">
        <v>2666</v>
      </c>
      <c r="G452" s="3">
        <v>1136</v>
      </c>
      <c r="H452" s="3">
        <v>989</v>
      </c>
      <c r="I452" s="3">
        <v>1710</v>
      </c>
      <c r="J452" s="3">
        <v>36467</v>
      </c>
      <c r="K452" s="3">
        <v>83753</v>
      </c>
      <c r="L452" s="3" t="s">
        <v>25</v>
      </c>
      <c r="M452" s="4">
        <v>5.7203921053574198E-2</v>
      </c>
    </row>
    <row r="453" spans="1:13" x14ac:dyDescent="0.3">
      <c r="A453" s="3" t="s">
        <v>169</v>
      </c>
      <c r="B453" s="3" t="s">
        <v>22</v>
      </c>
      <c r="C453" s="2">
        <v>45694</v>
      </c>
      <c r="D453" s="3" t="s">
        <v>14</v>
      </c>
      <c r="E453" s="3" t="s">
        <v>354</v>
      </c>
      <c r="F453" s="3">
        <v>2666</v>
      </c>
      <c r="G453" s="3">
        <v>1136</v>
      </c>
      <c r="H453" s="3">
        <v>989</v>
      </c>
      <c r="I453" s="3">
        <v>1710</v>
      </c>
      <c r="J453" s="3">
        <v>36467</v>
      </c>
      <c r="K453" s="3">
        <v>83753</v>
      </c>
      <c r="L453" s="3" t="s">
        <v>25</v>
      </c>
      <c r="M453" s="4">
        <v>5.7203921053574198E-2</v>
      </c>
    </row>
    <row r="454" spans="1:13" x14ac:dyDescent="0.3">
      <c r="A454" s="3" t="s">
        <v>62</v>
      </c>
      <c r="B454" s="3" t="s">
        <v>40</v>
      </c>
      <c r="C454" s="2">
        <v>45720</v>
      </c>
      <c r="D454" s="3" t="s">
        <v>23</v>
      </c>
      <c r="E454" s="3" t="s">
        <v>32</v>
      </c>
      <c r="F454" s="3">
        <v>12344</v>
      </c>
      <c r="G454" s="3">
        <v>815</v>
      </c>
      <c r="H454" s="3">
        <v>298</v>
      </c>
      <c r="I454" s="3">
        <v>2439</v>
      </c>
      <c r="J454" s="3">
        <v>6259</v>
      </c>
      <c r="K454" s="3">
        <v>237133</v>
      </c>
      <c r="L454" s="3" t="s">
        <v>29</v>
      </c>
      <c r="M454" s="4">
        <v>5.6748744375519224E-2</v>
      </c>
    </row>
    <row r="455" spans="1:13" x14ac:dyDescent="0.3">
      <c r="A455" s="3" t="s">
        <v>132</v>
      </c>
      <c r="B455" s="3" t="s">
        <v>40</v>
      </c>
      <c r="C455" s="2">
        <v>45545</v>
      </c>
      <c r="D455" s="3" t="s">
        <v>34</v>
      </c>
      <c r="E455" s="3" t="s">
        <v>363</v>
      </c>
      <c r="F455" s="3">
        <v>6637</v>
      </c>
      <c r="G455" s="3">
        <v>595</v>
      </c>
      <c r="H455" s="3">
        <v>161</v>
      </c>
      <c r="I455" s="3">
        <v>2653</v>
      </c>
      <c r="J455" s="3">
        <v>19334</v>
      </c>
      <c r="K455" s="3">
        <v>131155</v>
      </c>
      <c r="L455" s="3" t="s">
        <v>25</v>
      </c>
      <c r="M455" s="4">
        <v>5.6368419046166747E-2</v>
      </c>
    </row>
    <row r="456" spans="1:13" x14ac:dyDescent="0.3">
      <c r="A456" s="3" t="s">
        <v>132</v>
      </c>
      <c r="B456" s="3" t="s">
        <v>40</v>
      </c>
      <c r="C456" s="2">
        <v>45545</v>
      </c>
      <c r="D456" s="3" t="s">
        <v>34</v>
      </c>
      <c r="E456" s="3" t="s">
        <v>364</v>
      </c>
      <c r="F456" s="3">
        <v>6637</v>
      </c>
      <c r="G456" s="3">
        <v>595</v>
      </c>
      <c r="H456" s="3">
        <v>161</v>
      </c>
      <c r="I456" s="3">
        <v>2653</v>
      </c>
      <c r="J456" s="3">
        <v>19334</v>
      </c>
      <c r="K456" s="3">
        <v>131155</v>
      </c>
      <c r="L456" s="3" t="s">
        <v>25</v>
      </c>
      <c r="M456" s="4">
        <v>5.6368419046166747E-2</v>
      </c>
    </row>
    <row r="457" spans="1:13" x14ac:dyDescent="0.3">
      <c r="A457" s="3" t="s">
        <v>123</v>
      </c>
      <c r="B457" s="3" t="s">
        <v>40</v>
      </c>
      <c r="C457" s="2">
        <v>45449</v>
      </c>
      <c r="D457" s="3" t="s">
        <v>23</v>
      </c>
      <c r="E457" s="3" t="s">
        <v>365</v>
      </c>
      <c r="F457" s="3">
        <v>11521</v>
      </c>
      <c r="G457" s="3">
        <v>1071</v>
      </c>
      <c r="H457" s="3">
        <v>762</v>
      </c>
      <c r="I457" s="3">
        <v>2539</v>
      </c>
      <c r="J457" s="3">
        <v>12701</v>
      </c>
      <c r="K457" s="3">
        <v>238350</v>
      </c>
      <c r="L457" s="3" t="s">
        <v>25</v>
      </c>
      <c r="M457" s="4">
        <v>5.6026851269142017E-2</v>
      </c>
    </row>
    <row r="458" spans="1:13" x14ac:dyDescent="0.3">
      <c r="A458" s="3" t="s">
        <v>123</v>
      </c>
      <c r="B458" s="3" t="s">
        <v>40</v>
      </c>
      <c r="C458" s="2">
        <v>45449</v>
      </c>
      <c r="D458" s="3" t="s">
        <v>23</v>
      </c>
      <c r="E458" s="3" t="s">
        <v>359</v>
      </c>
      <c r="F458" s="3">
        <v>11521</v>
      </c>
      <c r="G458" s="3">
        <v>1071</v>
      </c>
      <c r="H458" s="3">
        <v>762</v>
      </c>
      <c r="I458" s="3">
        <v>2539</v>
      </c>
      <c r="J458" s="3">
        <v>12701</v>
      </c>
      <c r="K458" s="3">
        <v>238350</v>
      </c>
      <c r="L458" s="3" t="s">
        <v>25</v>
      </c>
      <c r="M458" s="4">
        <v>5.6026851269142017E-2</v>
      </c>
    </row>
    <row r="459" spans="1:13" x14ac:dyDescent="0.3">
      <c r="A459" s="3" t="s">
        <v>84</v>
      </c>
      <c r="B459" s="3" t="s">
        <v>40</v>
      </c>
      <c r="C459" s="2">
        <v>45918</v>
      </c>
      <c r="D459" s="3" t="s">
        <v>34</v>
      </c>
      <c r="E459" s="3" t="s">
        <v>359</v>
      </c>
      <c r="F459" s="3">
        <v>4048</v>
      </c>
      <c r="G459" s="3">
        <v>677</v>
      </c>
      <c r="H459" s="3">
        <v>911</v>
      </c>
      <c r="I459" s="3">
        <v>2429</v>
      </c>
      <c r="J459" s="3">
        <v>27361</v>
      </c>
      <c r="K459" s="3">
        <v>101272</v>
      </c>
      <c r="L459" s="3" t="s">
        <v>20</v>
      </c>
      <c r="M459" s="4">
        <v>5.5652105221581483E-2</v>
      </c>
    </row>
    <row r="460" spans="1:13" x14ac:dyDescent="0.3">
      <c r="A460" s="3" t="s">
        <v>84</v>
      </c>
      <c r="B460" s="3" t="s">
        <v>40</v>
      </c>
      <c r="C460" s="2">
        <v>45918</v>
      </c>
      <c r="D460" s="3" t="s">
        <v>34</v>
      </c>
      <c r="E460" s="3" t="s">
        <v>366</v>
      </c>
      <c r="F460" s="3">
        <v>4048</v>
      </c>
      <c r="G460" s="3">
        <v>677</v>
      </c>
      <c r="H460" s="3">
        <v>911</v>
      </c>
      <c r="I460" s="3">
        <v>2429</v>
      </c>
      <c r="J460" s="3">
        <v>27361</v>
      </c>
      <c r="K460" s="3">
        <v>101272</v>
      </c>
      <c r="L460" s="3" t="s">
        <v>20</v>
      </c>
      <c r="M460" s="4">
        <v>5.5652105221581483E-2</v>
      </c>
    </row>
    <row r="461" spans="1:13" x14ac:dyDescent="0.3">
      <c r="A461" s="3" t="s">
        <v>53</v>
      </c>
      <c r="B461" s="3" t="s">
        <v>13</v>
      </c>
      <c r="C461" s="2">
        <v>45544</v>
      </c>
      <c r="D461" s="3" t="s">
        <v>27</v>
      </c>
      <c r="E461" s="3" t="s">
        <v>357</v>
      </c>
      <c r="F461" s="3">
        <v>6158</v>
      </c>
      <c r="G461" s="3">
        <v>277</v>
      </c>
      <c r="H461" s="3">
        <v>512</v>
      </c>
      <c r="I461" s="3">
        <v>2189</v>
      </c>
      <c r="J461" s="3">
        <v>76881</v>
      </c>
      <c r="K461" s="3">
        <v>124878</v>
      </c>
      <c r="L461" s="3" t="s">
        <v>29</v>
      </c>
      <c r="M461" s="4">
        <v>5.563029516808405E-2</v>
      </c>
    </row>
    <row r="462" spans="1:13" x14ac:dyDescent="0.3">
      <c r="A462" s="3" t="s">
        <v>53</v>
      </c>
      <c r="B462" s="3" t="s">
        <v>13</v>
      </c>
      <c r="C462" s="2">
        <v>45544</v>
      </c>
      <c r="D462" s="3" t="s">
        <v>27</v>
      </c>
      <c r="E462" s="3" t="s">
        <v>358</v>
      </c>
      <c r="F462" s="3">
        <v>6158</v>
      </c>
      <c r="G462" s="3">
        <v>277</v>
      </c>
      <c r="H462" s="3">
        <v>512</v>
      </c>
      <c r="I462" s="3">
        <v>2189</v>
      </c>
      <c r="J462" s="3">
        <v>76881</v>
      </c>
      <c r="K462" s="3">
        <v>124878</v>
      </c>
      <c r="L462" s="3" t="s">
        <v>29</v>
      </c>
      <c r="M462" s="4">
        <v>5.563029516808405E-2</v>
      </c>
    </row>
    <row r="463" spans="1:13" x14ac:dyDescent="0.3">
      <c r="A463" s="3" t="s">
        <v>138</v>
      </c>
      <c r="B463" s="3" t="s">
        <v>40</v>
      </c>
      <c r="C463" s="2">
        <v>45926</v>
      </c>
      <c r="D463" s="3" t="s">
        <v>34</v>
      </c>
      <c r="E463" s="3" t="s">
        <v>32</v>
      </c>
      <c r="F463" s="3">
        <v>9043</v>
      </c>
      <c r="G463" s="3">
        <v>1192</v>
      </c>
      <c r="H463" s="3">
        <v>810</v>
      </c>
      <c r="I463" s="3">
        <v>1550</v>
      </c>
      <c r="J463" s="3">
        <v>5221</v>
      </c>
      <c r="K463" s="3">
        <v>199476</v>
      </c>
      <c r="L463" s="3" t="s">
        <v>20</v>
      </c>
      <c r="M463" s="4">
        <v>5.5370069582305642E-2</v>
      </c>
    </row>
    <row r="464" spans="1:13" x14ac:dyDescent="0.3">
      <c r="A464" s="3" t="s">
        <v>104</v>
      </c>
      <c r="B464" s="3" t="s">
        <v>18</v>
      </c>
      <c r="C464" s="2">
        <v>45724</v>
      </c>
      <c r="D464" s="3" t="s">
        <v>23</v>
      </c>
      <c r="E464" s="3" t="s">
        <v>363</v>
      </c>
      <c r="F464" s="3">
        <v>10580</v>
      </c>
      <c r="G464" s="3">
        <v>427</v>
      </c>
      <c r="H464" s="3">
        <v>790</v>
      </c>
      <c r="I464" s="3">
        <v>2814</v>
      </c>
      <c r="J464" s="3">
        <v>24916</v>
      </c>
      <c r="K464" s="3">
        <v>213312</v>
      </c>
      <c r="L464" s="3" t="s">
        <v>45</v>
      </c>
      <c r="M464" s="4">
        <v>5.530396789678968E-2</v>
      </c>
    </row>
    <row r="465" spans="1:13" x14ac:dyDescent="0.3">
      <c r="A465" s="3" t="s">
        <v>104</v>
      </c>
      <c r="B465" s="3" t="s">
        <v>18</v>
      </c>
      <c r="C465" s="2">
        <v>45724</v>
      </c>
      <c r="D465" s="3" t="s">
        <v>23</v>
      </c>
      <c r="E465" s="3" t="s">
        <v>364</v>
      </c>
      <c r="F465" s="3">
        <v>10580</v>
      </c>
      <c r="G465" s="3">
        <v>427</v>
      </c>
      <c r="H465" s="3">
        <v>790</v>
      </c>
      <c r="I465" s="3">
        <v>2814</v>
      </c>
      <c r="J465" s="3">
        <v>24916</v>
      </c>
      <c r="K465" s="3">
        <v>213312</v>
      </c>
      <c r="L465" s="3" t="s">
        <v>45</v>
      </c>
      <c r="M465" s="4">
        <v>5.530396789678968E-2</v>
      </c>
    </row>
    <row r="466" spans="1:13" x14ac:dyDescent="0.3">
      <c r="A466" s="3" t="s">
        <v>156</v>
      </c>
      <c r="B466" s="3" t="s">
        <v>22</v>
      </c>
      <c r="C466" s="2">
        <v>45586</v>
      </c>
      <c r="D466" s="3" t="s">
        <v>27</v>
      </c>
      <c r="E466" s="3" t="s">
        <v>359</v>
      </c>
      <c r="F466" s="3">
        <v>8254</v>
      </c>
      <c r="G466" s="3">
        <v>1405</v>
      </c>
      <c r="H466" s="3">
        <v>165</v>
      </c>
      <c r="I466" s="3">
        <v>2504</v>
      </c>
      <c r="J466" s="3">
        <v>8081</v>
      </c>
      <c r="K466" s="3">
        <v>177710</v>
      </c>
      <c r="L466" s="3" t="s">
        <v>16</v>
      </c>
      <c r="M466" s="4">
        <v>5.5281075910190762E-2</v>
      </c>
    </row>
    <row r="467" spans="1:13" x14ac:dyDescent="0.3">
      <c r="A467" s="3" t="s">
        <v>156</v>
      </c>
      <c r="B467" s="3" t="s">
        <v>22</v>
      </c>
      <c r="C467" s="2">
        <v>45586</v>
      </c>
      <c r="D467" s="3" t="s">
        <v>27</v>
      </c>
      <c r="E467" s="3" t="s">
        <v>360</v>
      </c>
      <c r="F467" s="3">
        <v>8254</v>
      </c>
      <c r="G467" s="3">
        <v>1405</v>
      </c>
      <c r="H467" s="3">
        <v>165</v>
      </c>
      <c r="I467" s="3">
        <v>2504</v>
      </c>
      <c r="J467" s="3">
        <v>8081</v>
      </c>
      <c r="K467" s="3">
        <v>177710</v>
      </c>
      <c r="L467" s="3" t="s">
        <v>16</v>
      </c>
      <c r="M467" s="4">
        <v>5.5281075910190762E-2</v>
      </c>
    </row>
    <row r="468" spans="1:13" x14ac:dyDescent="0.3">
      <c r="A468" s="3" t="s">
        <v>329</v>
      </c>
      <c r="B468" s="3" t="s">
        <v>22</v>
      </c>
      <c r="C468" s="2">
        <v>45791</v>
      </c>
      <c r="D468" s="3" t="s">
        <v>14</v>
      </c>
      <c r="E468" s="3" t="s">
        <v>359</v>
      </c>
      <c r="F468" s="3">
        <v>9041</v>
      </c>
      <c r="G468" s="3">
        <v>1133</v>
      </c>
      <c r="H468" s="3">
        <v>612</v>
      </c>
      <c r="I468" s="3">
        <v>1687</v>
      </c>
      <c r="J468" s="3">
        <v>28102</v>
      </c>
      <c r="K468" s="3">
        <v>195683</v>
      </c>
      <c r="L468" s="3" t="s">
        <v>29</v>
      </c>
      <c r="M468" s="4">
        <v>5.5119760020032396E-2</v>
      </c>
    </row>
    <row r="469" spans="1:13" x14ac:dyDescent="0.3">
      <c r="A469" s="3" t="s">
        <v>329</v>
      </c>
      <c r="B469" s="3" t="s">
        <v>22</v>
      </c>
      <c r="C469" s="2">
        <v>45791</v>
      </c>
      <c r="D469" s="3" t="s">
        <v>14</v>
      </c>
      <c r="E469" s="3" t="s">
        <v>366</v>
      </c>
      <c r="F469" s="3">
        <v>9041</v>
      </c>
      <c r="G469" s="3">
        <v>1133</v>
      </c>
      <c r="H469" s="3">
        <v>612</v>
      </c>
      <c r="I469" s="3">
        <v>1687</v>
      </c>
      <c r="J469" s="3">
        <v>28102</v>
      </c>
      <c r="K469" s="3">
        <v>195683</v>
      </c>
      <c r="L469" s="3" t="s">
        <v>29</v>
      </c>
      <c r="M469" s="4">
        <v>5.5119760020032396E-2</v>
      </c>
    </row>
    <row r="470" spans="1:13" x14ac:dyDescent="0.3">
      <c r="A470" s="3" t="s">
        <v>149</v>
      </c>
      <c r="B470" s="3" t="s">
        <v>18</v>
      </c>
      <c r="C470" s="2">
        <v>45929</v>
      </c>
      <c r="D470" s="3" t="s">
        <v>27</v>
      </c>
      <c r="E470" s="3" t="s">
        <v>367</v>
      </c>
      <c r="F470" s="3">
        <v>7569</v>
      </c>
      <c r="G470" s="3">
        <v>803</v>
      </c>
      <c r="H470" s="3">
        <v>804</v>
      </c>
      <c r="I470" s="3">
        <v>1753</v>
      </c>
      <c r="J470" s="3">
        <v>43582</v>
      </c>
      <c r="K470" s="3">
        <v>166945</v>
      </c>
      <c r="L470" s="3" t="s">
        <v>20</v>
      </c>
      <c r="M470" s="4">
        <v>5.4964209769684629E-2</v>
      </c>
    </row>
    <row r="471" spans="1:13" x14ac:dyDescent="0.3">
      <c r="A471" s="3" t="s">
        <v>149</v>
      </c>
      <c r="B471" s="3" t="s">
        <v>18</v>
      </c>
      <c r="C471" s="2">
        <v>45929</v>
      </c>
      <c r="D471" s="3" t="s">
        <v>27</v>
      </c>
      <c r="E471" s="3" t="s">
        <v>32</v>
      </c>
      <c r="F471" s="3">
        <v>7569</v>
      </c>
      <c r="G471" s="3">
        <v>803</v>
      </c>
      <c r="H471" s="3">
        <v>804</v>
      </c>
      <c r="I471" s="3">
        <v>1753</v>
      </c>
      <c r="J471" s="3">
        <v>43582</v>
      </c>
      <c r="K471" s="3">
        <v>166945</v>
      </c>
      <c r="L471" s="3" t="s">
        <v>20</v>
      </c>
      <c r="M471" s="4">
        <v>5.4964209769684629E-2</v>
      </c>
    </row>
    <row r="472" spans="1:13" x14ac:dyDescent="0.3">
      <c r="A472" s="3" t="s">
        <v>233</v>
      </c>
      <c r="B472" s="3" t="s">
        <v>40</v>
      </c>
      <c r="C472" s="2">
        <v>45587</v>
      </c>
      <c r="D472" s="3" t="s">
        <v>23</v>
      </c>
      <c r="E472" s="3" t="s">
        <v>357</v>
      </c>
      <c r="F472" s="3">
        <v>7750</v>
      </c>
      <c r="G472" s="3">
        <v>1146</v>
      </c>
      <c r="H472" s="3">
        <v>415</v>
      </c>
      <c r="I472" s="3">
        <v>1411</v>
      </c>
      <c r="J472" s="3">
        <v>85339</v>
      </c>
      <c r="K472" s="3">
        <v>172439</v>
      </c>
      <c r="L472" s="3" t="s">
        <v>25</v>
      </c>
      <c r="M472" s="4">
        <v>5.3995905798572247E-2</v>
      </c>
    </row>
    <row r="473" spans="1:13" x14ac:dyDescent="0.3">
      <c r="A473" s="3" t="s">
        <v>233</v>
      </c>
      <c r="B473" s="3" t="s">
        <v>40</v>
      </c>
      <c r="C473" s="2">
        <v>45587</v>
      </c>
      <c r="D473" s="3" t="s">
        <v>23</v>
      </c>
      <c r="E473" s="3" t="s">
        <v>358</v>
      </c>
      <c r="F473" s="3">
        <v>7750</v>
      </c>
      <c r="G473" s="3">
        <v>1146</v>
      </c>
      <c r="H473" s="3">
        <v>415</v>
      </c>
      <c r="I473" s="3">
        <v>1411</v>
      </c>
      <c r="J473" s="3">
        <v>85339</v>
      </c>
      <c r="K473" s="3">
        <v>172439</v>
      </c>
      <c r="L473" s="3" t="s">
        <v>25</v>
      </c>
      <c r="M473" s="4">
        <v>5.3995905798572247E-2</v>
      </c>
    </row>
    <row r="474" spans="1:13" x14ac:dyDescent="0.3">
      <c r="A474" s="3" t="s">
        <v>130</v>
      </c>
      <c r="B474" s="3" t="s">
        <v>40</v>
      </c>
      <c r="C474" s="2">
        <v>45603</v>
      </c>
      <c r="D474" s="3" t="s">
        <v>34</v>
      </c>
      <c r="E474" s="3" t="s">
        <v>365</v>
      </c>
      <c r="F474" s="3">
        <v>11550</v>
      </c>
      <c r="G474" s="3">
        <v>501</v>
      </c>
      <c r="H474" s="3">
        <v>646</v>
      </c>
      <c r="I474" s="3">
        <v>773</v>
      </c>
      <c r="J474" s="3">
        <v>17841</v>
      </c>
      <c r="K474" s="3">
        <v>237576</v>
      </c>
      <c r="L474" s="3" t="s">
        <v>29</v>
      </c>
      <c r="M474" s="4">
        <v>5.3443950567397383E-2</v>
      </c>
    </row>
    <row r="475" spans="1:13" x14ac:dyDescent="0.3">
      <c r="A475" s="3" t="s">
        <v>130</v>
      </c>
      <c r="B475" s="3" t="s">
        <v>40</v>
      </c>
      <c r="C475" s="2">
        <v>45603</v>
      </c>
      <c r="D475" s="3" t="s">
        <v>34</v>
      </c>
      <c r="E475" s="3" t="s">
        <v>359</v>
      </c>
      <c r="F475" s="3">
        <v>11550</v>
      </c>
      <c r="G475" s="3">
        <v>501</v>
      </c>
      <c r="H475" s="3">
        <v>646</v>
      </c>
      <c r="I475" s="3">
        <v>773</v>
      </c>
      <c r="J475" s="3">
        <v>17841</v>
      </c>
      <c r="K475" s="3">
        <v>237576</v>
      </c>
      <c r="L475" s="3" t="s">
        <v>29</v>
      </c>
      <c r="M475" s="4">
        <v>5.3443950567397383E-2</v>
      </c>
    </row>
    <row r="476" spans="1:13" x14ac:dyDescent="0.3">
      <c r="A476" s="3" t="s">
        <v>65</v>
      </c>
      <c r="B476" s="3" t="s">
        <v>18</v>
      </c>
      <c r="C476" s="2">
        <v>45713</v>
      </c>
      <c r="D476" s="3" t="s">
        <v>34</v>
      </c>
      <c r="E476" s="3" t="s">
        <v>367</v>
      </c>
      <c r="F476" s="3">
        <v>10702</v>
      </c>
      <c r="G476" s="3">
        <v>621</v>
      </c>
      <c r="H476" s="3">
        <v>445</v>
      </c>
      <c r="I476" s="3">
        <v>2918</v>
      </c>
      <c r="J476" s="3">
        <v>54808</v>
      </c>
      <c r="K476" s="3">
        <v>220225</v>
      </c>
      <c r="L476" s="3" t="s">
        <v>16</v>
      </c>
      <c r="M476" s="4">
        <v>5.3436258372119426E-2</v>
      </c>
    </row>
    <row r="477" spans="1:13" x14ac:dyDescent="0.3">
      <c r="A477" s="3" t="s">
        <v>65</v>
      </c>
      <c r="B477" s="3" t="s">
        <v>18</v>
      </c>
      <c r="C477" s="2">
        <v>45713</v>
      </c>
      <c r="D477" s="3" t="s">
        <v>34</v>
      </c>
      <c r="E477" s="3" t="s">
        <v>32</v>
      </c>
      <c r="F477" s="3">
        <v>10702</v>
      </c>
      <c r="G477" s="3">
        <v>621</v>
      </c>
      <c r="H477" s="3">
        <v>445</v>
      </c>
      <c r="I477" s="3">
        <v>2918</v>
      </c>
      <c r="J477" s="3">
        <v>54808</v>
      </c>
      <c r="K477" s="3">
        <v>220225</v>
      </c>
      <c r="L477" s="3" t="s">
        <v>16</v>
      </c>
      <c r="M477" s="4">
        <v>5.3436258372119426E-2</v>
      </c>
    </row>
    <row r="478" spans="1:13" x14ac:dyDescent="0.3">
      <c r="A478" s="3" t="s">
        <v>43</v>
      </c>
      <c r="B478" s="3" t="s">
        <v>13</v>
      </c>
      <c r="C478" s="2">
        <v>45494</v>
      </c>
      <c r="D478" s="3" t="s">
        <v>23</v>
      </c>
      <c r="E478" s="3" t="s">
        <v>355</v>
      </c>
      <c r="F478" s="3">
        <v>2009</v>
      </c>
      <c r="G478" s="3">
        <v>1072</v>
      </c>
      <c r="H478" s="3">
        <v>550</v>
      </c>
      <c r="I478" s="3">
        <v>1437</v>
      </c>
      <c r="J478" s="3">
        <v>22982</v>
      </c>
      <c r="K478" s="3">
        <v>69426</v>
      </c>
      <c r="L478" s="3" t="s">
        <v>29</v>
      </c>
      <c r="M478" s="4">
        <v>5.2300290957278256E-2</v>
      </c>
    </row>
    <row r="479" spans="1:13" x14ac:dyDescent="0.3">
      <c r="A479" s="3" t="s">
        <v>43</v>
      </c>
      <c r="B479" s="3" t="s">
        <v>13</v>
      </c>
      <c r="C479" s="2">
        <v>45494</v>
      </c>
      <c r="D479" s="3" t="s">
        <v>23</v>
      </c>
      <c r="E479" s="3" t="s">
        <v>356</v>
      </c>
      <c r="F479" s="3">
        <v>2009</v>
      </c>
      <c r="G479" s="3">
        <v>1072</v>
      </c>
      <c r="H479" s="3">
        <v>550</v>
      </c>
      <c r="I479" s="3">
        <v>1437</v>
      </c>
      <c r="J479" s="3">
        <v>22982</v>
      </c>
      <c r="K479" s="3">
        <v>69426</v>
      </c>
      <c r="L479" s="3" t="s">
        <v>29</v>
      </c>
      <c r="M479" s="4">
        <v>5.2300290957278256E-2</v>
      </c>
    </row>
    <row r="480" spans="1:13" x14ac:dyDescent="0.3">
      <c r="A480" s="3" t="s">
        <v>305</v>
      </c>
      <c r="B480" s="3" t="s">
        <v>13</v>
      </c>
      <c r="C480" s="2">
        <v>45601</v>
      </c>
      <c r="D480" s="3" t="s">
        <v>23</v>
      </c>
      <c r="E480" s="3" t="s">
        <v>64</v>
      </c>
      <c r="F480" s="3">
        <v>8469</v>
      </c>
      <c r="G480" s="3">
        <v>935</v>
      </c>
      <c r="H480" s="3">
        <v>211</v>
      </c>
      <c r="I480" s="3">
        <v>2635</v>
      </c>
      <c r="J480" s="3">
        <v>21890</v>
      </c>
      <c r="K480" s="3">
        <v>184539</v>
      </c>
      <c r="L480" s="3" t="s">
        <v>45</v>
      </c>
      <c r="M480" s="4">
        <v>5.2102807536618279E-2</v>
      </c>
    </row>
    <row r="481" spans="1:13" x14ac:dyDescent="0.3">
      <c r="A481" s="3" t="s">
        <v>38</v>
      </c>
      <c r="B481" s="3" t="s">
        <v>13</v>
      </c>
      <c r="C481" s="2">
        <v>45534</v>
      </c>
      <c r="D481" s="3" t="s">
        <v>34</v>
      </c>
      <c r="E481" s="3" t="s">
        <v>355</v>
      </c>
      <c r="F481" s="3">
        <v>6804</v>
      </c>
      <c r="G481" s="3">
        <v>787</v>
      </c>
      <c r="H481" s="3">
        <v>970</v>
      </c>
      <c r="I481" s="3">
        <v>1095</v>
      </c>
      <c r="J481" s="3">
        <v>56343</v>
      </c>
      <c r="K481" s="3">
        <v>164677</v>
      </c>
      <c r="L481" s="3" t="s">
        <v>16</v>
      </c>
      <c r="M481" s="4">
        <v>5.1986616224487935E-2</v>
      </c>
    </row>
    <row r="482" spans="1:13" x14ac:dyDescent="0.3">
      <c r="A482" s="3" t="s">
        <v>38</v>
      </c>
      <c r="B482" s="3" t="s">
        <v>13</v>
      </c>
      <c r="C482" s="2">
        <v>45534</v>
      </c>
      <c r="D482" s="3" t="s">
        <v>34</v>
      </c>
      <c r="E482" s="3" t="s">
        <v>356</v>
      </c>
      <c r="F482" s="3">
        <v>6804</v>
      </c>
      <c r="G482" s="3">
        <v>787</v>
      </c>
      <c r="H482" s="3">
        <v>970</v>
      </c>
      <c r="I482" s="3">
        <v>1095</v>
      </c>
      <c r="J482" s="3">
        <v>56343</v>
      </c>
      <c r="K482" s="3">
        <v>164677</v>
      </c>
      <c r="L482" s="3" t="s">
        <v>16</v>
      </c>
      <c r="M482" s="4">
        <v>5.1986616224487935E-2</v>
      </c>
    </row>
    <row r="483" spans="1:13" x14ac:dyDescent="0.3">
      <c r="A483" s="3" t="s">
        <v>66</v>
      </c>
      <c r="B483" s="3" t="s">
        <v>22</v>
      </c>
      <c r="C483" s="2">
        <v>45642</v>
      </c>
      <c r="D483" s="3" t="s">
        <v>14</v>
      </c>
      <c r="E483" s="3" t="s">
        <v>359</v>
      </c>
      <c r="F483" s="3">
        <v>2384</v>
      </c>
      <c r="G483" s="3">
        <v>1246</v>
      </c>
      <c r="H483" s="3">
        <v>160</v>
      </c>
      <c r="I483" s="3">
        <v>2004</v>
      </c>
      <c r="J483" s="3">
        <v>2701</v>
      </c>
      <c r="K483" s="3">
        <v>73142</v>
      </c>
      <c r="L483" s="3" t="s">
        <v>16</v>
      </c>
      <c r="M483" s="4">
        <v>5.1817013480626728E-2</v>
      </c>
    </row>
    <row r="484" spans="1:13" x14ac:dyDescent="0.3">
      <c r="A484" s="3" t="s">
        <v>66</v>
      </c>
      <c r="B484" s="3" t="s">
        <v>22</v>
      </c>
      <c r="C484" s="2">
        <v>45642</v>
      </c>
      <c r="D484" s="3" t="s">
        <v>14</v>
      </c>
      <c r="E484" s="3" t="s">
        <v>360</v>
      </c>
      <c r="F484" s="3">
        <v>2384</v>
      </c>
      <c r="G484" s="3">
        <v>1246</v>
      </c>
      <c r="H484" s="3">
        <v>160</v>
      </c>
      <c r="I484" s="3">
        <v>2004</v>
      </c>
      <c r="J484" s="3">
        <v>2701</v>
      </c>
      <c r="K484" s="3">
        <v>73142</v>
      </c>
      <c r="L484" s="3" t="s">
        <v>16</v>
      </c>
      <c r="M484" s="4">
        <v>5.1817013480626728E-2</v>
      </c>
    </row>
    <row r="485" spans="1:13" x14ac:dyDescent="0.3">
      <c r="A485" s="3" t="s">
        <v>56</v>
      </c>
      <c r="B485" s="3" t="s">
        <v>22</v>
      </c>
      <c r="C485" s="2">
        <v>45715</v>
      </c>
      <c r="D485" s="3" t="s">
        <v>14</v>
      </c>
      <c r="E485" s="3" t="s">
        <v>361</v>
      </c>
      <c r="F485" s="3">
        <v>8970</v>
      </c>
      <c r="G485" s="3">
        <v>331</v>
      </c>
      <c r="H485" s="3">
        <v>968</v>
      </c>
      <c r="I485" s="3">
        <v>2296</v>
      </c>
      <c r="J485" s="3">
        <v>24613</v>
      </c>
      <c r="K485" s="3">
        <v>198562</v>
      </c>
      <c r="L485" s="3" t="s">
        <v>29</v>
      </c>
      <c r="M485" s="4">
        <v>5.1716844109144754E-2</v>
      </c>
    </row>
    <row r="486" spans="1:13" x14ac:dyDescent="0.3">
      <c r="A486" s="3" t="s">
        <v>56</v>
      </c>
      <c r="B486" s="3" t="s">
        <v>22</v>
      </c>
      <c r="C486" s="2">
        <v>45715</v>
      </c>
      <c r="D486" s="3" t="s">
        <v>14</v>
      </c>
      <c r="E486" s="3" t="s">
        <v>362</v>
      </c>
      <c r="F486" s="3">
        <v>8970</v>
      </c>
      <c r="G486" s="3">
        <v>331</v>
      </c>
      <c r="H486" s="3">
        <v>968</v>
      </c>
      <c r="I486" s="3">
        <v>2296</v>
      </c>
      <c r="J486" s="3">
        <v>24613</v>
      </c>
      <c r="K486" s="3">
        <v>198562</v>
      </c>
      <c r="L486" s="3" t="s">
        <v>29</v>
      </c>
      <c r="M486" s="4">
        <v>5.1716844109144754E-2</v>
      </c>
    </row>
    <row r="487" spans="1:13" x14ac:dyDescent="0.3">
      <c r="A487" s="3" t="s">
        <v>236</v>
      </c>
      <c r="B487" s="3" t="s">
        <v>13</v>
      </c>
      <c r="C487" s="2">
        <v>45754</v>
      </c>
      <c r="D487" s="3" t="s">
        <v>34</v>
      </c>
      <c r="E487" s="3" t="s">
        <v>367</v>
      </c>
      <c r="F487" s="3">
        <v>3062</v>
      </c>
      <c r="G487" s="3">
        <v>1124</v>
      </c>
      <c r="H487" s="3">
        <v>538</v>
      </c>
      <c r="I487" s="3">
        <v>2935</v>
      </c>
      <c r="J487" s="3">
        <v>69749</v>
      </c>
      <c r="K487" s="3">
        <v>91924</v>
      </c>
      <c r="L487" s="3" t="s">
        <v>29</v>
      </c>
      <c r="M487" s="4">
        <v>5.1390278926069365E-2</v>
      </c>
    </row>
    <row r="488" spans="1:13" x14ac:dyDescent="0.3">
      <c r="A488" s="3" t="s">
        <v>236</v>
      </c>
      <c r="B488" s="3" t="s">
        <v>13</v>
      </c>
      <c r="C488" s="2">
        <v>45754</v>
      </c>
      <c r="D488" s="3" t="s">
        <v>34</v>
      </c>
      <c r="E488" s="3" t="s">
        <v>32</v>
      </c>
      <c r="F488" s="3">
        <v>3062</v>
      </c>
      <c r="G488" s="3">
        <v>1124</v>
      </c>
      <c r="H488" s="3">
        <v>538</v>
      </c>
      <c r="I488" s="3">
        <v>2935</v>
      </c>
      <c r="J488" s="3">
        <v>69749</v>
      </c>
      <c r="K488" s="3">
        <v>91924</v>
      </c>
      <c r="L488" s="3" t="s">
        <v>29</v>
      </c>
      <c r="M488" s="4">
        <v>5.1390278926069365E-2</v>
      </c>
    </row>
    <row r="489" spans="1:13" x14ac:dyDescent="0.3">
      <c r="A489" s="3" t="s">
        <v>297</v>
      </c>
      <c r="B489" s="3" t="s">
        <v>22</v>
      </c>
      <c r="C489" s="2">
        <v>45592</v>
      </c>
      <c r="D489" s="3" t="s">
        <v>34</v>
      </c>
      <c r="E489" s="3" t="s">
        <v>353</v>
      </c>
      <c r="F489" s="3">
        <v>7560</v>
      </c>
      <c r="G489" s="3">
        <v>1139</v>
      </c>
      <c r="H489" s="3">
        <v>248</v>
      </c>
      <c r="I489" s="3">
        <v>1624</v>
      </c>
      <c r="J489" s="3">
        <v>72237</v>
      </c>
      <c r="K489" s="3">
        <v>177084</v>
      </c>
      <c r="L489" s="3" t="s">
        <v>25</v>
      </c>
      <c r="M489" s="4">
        <v>5.0524045085947912E-2</v>
      </c>
    </row>
    <row r="490" spans="1:13" x14ac:dyDescent="0.3">
      <c r="A490" s="3" t="s">
        <v>297</v>
      </c>
      <c r="B490" s="3" t="s">
        <v>22</v>
      </c>
      <c r="C490" s="2">
        <v>45592</v>
      </c>
      <c r="D490" s="3" t="s">
        <v>34</v>
      </c>
      <c r="E490" s="3" t="s">
        <v>354</v>
      </c>
      <c r="F490" s="3">
        <v>7560</v>
      </c>
      <c r="G490" s="3">
        <v>1139</v>
      </c>
      <c r="H490" s="3">
        <v>248</v>
      </c>
      <c r="I490" s="3">
        <v>1624</v>
      </c>
      <c r="J490" s="3">
        <v>72237</v>
      </c>
      <c r="K490" s="3">
        <v>177084</v>
      </c>
      <c r="L490" s="3" t="s">
        <v>25</v>
      </c>
      <c r="M490" s="4">
        <v>5.0524045085947912E-2</v>
      </c>
    </row>
    <row r="491" spans="1:13" x14ac:dyDescent="0.3">
      <c r="A491" s="3" t="s">
        <v>255</v>
      </c>
      <c r="B491" s="3" t="s">
        <v>18</v>
      </c>
      <c r="C491" s="2">
        <v>45685</v>
      </c>
      <c r="D491" s="3" t="s">
        <v>34</v>
      </c>
      <c r="E491" s="3" t="s">
        <v>361</v>
      </c>
      <c r="F491" s="3">
        <v>9943</v>
      </c>
      <c r="G491" s="3">
        <v>1274</v>
      </c>
      <c r="H491" s="3">
        <v>336</v>
      </c>
      <c r="I491" s="3">
        <v>389</v>
      </c>
      <c r="J491" s="3">
        <v>6145</v>
      </c>
      <c r="K491" s="3">
        <v>231305</v>
      </c>
      <c r="L491" s="3" t="s">
        <v>16</v>
      </c>
      <c r="M491" s="4">
        <v>4.9947039623008581E-2</v>
      </c>
    </row>
    <row r="492" spans="1:13" x14ac:dyDescent="0.3">
      <c r="A492" s="3" t="s">
        <v>255</v>
      </c>
      <c r="B492" s="3" t="s">
        <v>18</v>
      </c>
      <c r="C492" s="2">
        <v>45685</v>
      </c>
      <c r="D492" s="3" t="s">
        <v>34</v>
      </c>
      <c r="E492" s="3" t="s">
        <v>362</v>
      </c>
      <c r="F492" s="3">
        <v>9943</v>
      </c>
      <c r="G492" s="3">
        <v>1274</v>
      </c>
      <c r="H492" s="3">
        <v>336</v>
      </c>
      <c r="I492" s="3">
        <v>389</v>
      </c>
      <c r="J492" s="3">
        <v>6145</v>
      </c>
      <c r="K492" s="3">
        <v>231305</v>
      </c>
      <c r="L492" s="3" t="s">
        <v>16</v>
      </c>
      <c r="M492" s="4">
        <v>4.9947039623008581E-2</v>
      </c>
    </row>
    <row r="493" spans="1:13" x14ac:dyDescent="0.3">
      <c r="A493" s="3" t="s">
        <v>207</v>
      </c>
      <c r="B493" s="3" t="s">
        <v>18</v>
      </c>
      <c r="C493" s="2">
        <v>45657</v>
      </c>
      <c r="D493" s="3" t="s">
        <v>14</v>
      </c>
      <c r="E493" s="3" t="s">
        <v>353</v>
      </c>
      <c r="F493" s="3">
        <v>10717</v>
      </c>
      <c r="G493" s="3">
        <v>760</v>
      </c>
      <c r="H493" s="3">
        <v>460</v>
      </c>
      <c r="I493" s="3">
        <v>1316</v>
      </c>
      <c r="J493" s="3">
        <v>18164</v>
      </c>
      <c r="K493" s="3">
        <v>240641</v>
      </c>
      <c r="L493" s="3" t="s">
        <v>45</v>
      </c>
      <c r="M493" s="4">
        <v>4.9605013277039242E-2</v>
      </c>
    </row>
    <row r="494" spans="1:13" x14ac:dyDescent="0.3">
      <c r="A494" s="3" t="s">
        <v>207</v>
      </c>
      <c r="B494" s="3" t="s">
        <v>18</v>
      </c>
      <c r="C494" s="2">
        <v>45657</v>
      </c>
      <c r="D494" s="3" t="s">
        <v>14</v>
      </c>
      <c r="E494" s="3" t="s">
        <v>354</v>
      </c>
      <c r="F494" s="3">
        <v>10717</v>
      </c>
      <c r="G494" s="3">
        <v>760</v>
      </c>
      <c r="H494" s="3">
        <v>460</v>
      </c>
      <c r="I494" s="3">
        <v>1316</v>
      </c>
      <c r="J494" s="3">
        <v>18164</v>
      </c>
      <c r="K494" s="3">
        <v>240641</v>
      </c>
      <c r="L494" s="3" t="s">
        <v>45</v>
      </c>
      <c r="M494" s="4">
        <v>4.9605013277039242E-2</v>
      </c>
    </row>
    <row r="495" spans="1:13" x14ac:dyDescent="0.3">
      <c r="A495" s="3" t="s">
        <v>100</v>
      </c>
      <c r="B495" s="3" t="s">
        <v>13</v>
      </c>
      <c r="C495" s="2">
        <v>45744</v>
      </c>
      <c r="D495" s="3" t="s">
        <v>23</v>
      </c>
      <c r="E495" s="3" t="s">
        <v>353</v>
      </c>
      <c r="F495" s="3">
        <v>6363</v>
      </c>
      <c r="G495" s="3">
        <v>1341</v>
      </c>
      <c r="H495" s="3">
        <v>222</v>
      </c>
      <c r="I495" s="3">
        <v>2712</v>
      </c>
      <c r="J495" s="3">
        <v>19987</v>
      </c>
      <c r="K495" s="3">
        <v>160585</v>
      </c>
      <c r="L495" s="3" t="s">
        <v>25</v>
      </c>
      <c r="M495" s="4">
        <v>4.9357038328611019E-2</v>
      </c>
    </row>
    <row r="496" spans="1:13" x14ac:dyDescent="0.3">
      <c r="A496" s="3" t="s">
        <v>100</v>
      </c>
      <c r="B496" s="3" t="s">
        <v>13</v>
      </c>
      <c r="C496" s="2">
        <v>45744</v>
      </c>
      <c r="D496" s="3" t="s">
        <v>23</v>
      </c>
      <c r="E496" s="3" t="s">
        <v>354</v>
      </c>
      <c r="F496" s="3">
        <v>6363</v>
      </c>
      <c r="G496" s="3">
        <v>1341</v>
      </c>
      <c r="H496" s="3">
        <v>222</v>
      </c>
      <c r="I496" s="3">
        <v>2712</v>
      </c>
      <c r="J496" s="3">
        <v>19987</v>
      </c>
      <c r="K496" s="3">
        <v>160585</v>
      </c>
      <c r="L496" s="3" t="s">
        <v>25</v>
      </c>
      <c r="M496" s="4">
        <v>4.9357038328611019E-2</v>
      </c>
    </row>
    <row r="497" spans="1:13" x14ac:dyDescent="0.3">
      <c r="A497" s="3" t="s">
        <v>166</v>
      </c>
      <c r="B497" s="3" t="s">
        <v>18</v>
      </c>
      <c r="C497" s="2">
        <v>45564</v>
      </c>
      <c r="D497" s="3" t="s">
        <v>34</v>
      </c>
      <c r="E497" s="3" t="s">
        <v>355</v>
      </c>
      <c r="F497" s="3">
        <v>10472</v>
      </c>
      <c r="G497" s="3">
        <v>401</v>
      </c>
      <c r="H497" s="3">
        <v>668</v>
      </c>
      <c r="I497" s="3">
        <v>383</v>
      </c>
      <c r="J497" s="3">
        <v>37571</v>
      </c>
      <c r="K497" s="3">
        <v>249203</v>
      </c>
      <c r="L497" s="3" t="s">
        <v>25</v>
      </c>
      <c r="M497" s="4">
        <v>4.6311641513143903E-2</v>
      </c>
    </row>
    <row r="498" spans="1:13" x14ac:dyDescent="0.3">
      <c r="A498" s="3" t="s">
        <v>166</v>
      </c>
      <c r="B498" s="3" t="s">
        <v>18</v>
      </c>
      <c r="C498" s="2">
        <v>45564</v>
      </c>
      <c r="D498" s="3" t="s">
        <v>34</v>
      </c>
      <c r="E498" s="3" t="s">
        <v>356</v>
      </c>
      <c r="F498" s="3">
        <v>10472</v>
      </c>
      <c r="G498" s="3">
        <v>401</v>
      </c>
      <c r="H498" s="3">
        <v>668</v>
      </c>
      <c r="I498" s="3">
        <v>383</v>
      </c>
      <c r="J498" s="3">
        <v>37571</v>
      </c>
      <c r="K498" s="3">
        <v>249203</v>
      </c>
      <c r="L498" s="3" t="s">
        <v>25</v>
      </c>
      <c r="M498" s="4">
        <v>4.6311641513143903E-2</v>
      </c>
    </row>
    <row r="499" spans="1:13" x14ac:dyDescent="0.3">
      <c r="A499" s="3" t="s">
        <v>48</v>
      </c>
      <c r="B499" s="3" t="s">
        <v>22</v>
      </c>
      <c r="C499" s="2">
        <v>45530</v>
      </c>
      <c r="D499" s="3" t="s">
        <v>34</v>
      </c>
      <c r="E499" s="3" t="s">
        <v>363</v>
      </c>
      <c r="F499" s="3">
        <v>4193</v>
      </c>
      <c r="G499" s="3">
        <v>924</v>
      </c>
      <c r="H499" s="3">
        <v>707</v>
      </c>
      <c r="I499" s="3">
        <v>2696</v>
      </c>
      <c r="J499" s="3">
        <v>55075</v>
      </c>
      <c r="K499" s="3">
        <v>126652</v>
      </c>
      <c r="L499" s="3" t="s">
        <v>29</v>
      </c>
      <c r="M499" s="4">
        <v>4.5984271863057827E-2</v>
      </c>
    </row>
    <row r="500" spans="1:13" x14ac:dyDescent="0.3">
      <c r="A500" s="3" t="s">
        <v>48</v>
      </c>
      <c r="B500" s="3" t="s">
        <v>22</v>
      </c>
      <c r="C500" s="2">
        <v>45530</v>
      </c>
      <c r="D500" s="3" t="s">
        <v>34</v>
      </c>
      <c r="E500" s="3" t="s">
        <v>364</v>
      </c>
      <c r="F500" s="3">
        <v>4193</v>
      </c>
      <c r="G500" s="3">
        <v>924</v>
      </c>
      <c r="H500" s="3">
        <v>707</v>
      </c>
      <c r="I500" s="3">
        <v>2696</v>
      </c>
      <c r="J500" s="3">
        <v>55075</v>
      </c>
      <c r="K500" s="3">
        <v>126652</v>
      </c>
      <c r="L500" s="3" t="s">
        <v>29</v>
      </c>
      <c r="M500" s="4">
        <v>4.5984271863057827E-2</v>
      </c>
    </row>
    <row r="501" spans="1:13" x14ac:dyDescent="0.3">
      <c r="A501" s="3" t="s">
        <v>93</v>
      </c>
      <c r="B501" s="3" t="s">
        <v>22</v>
      </c>
      <c r="C501" s="2">
        <v>45762</v>
      </c>
      <c r="D501" s="3" t="s">
        <v>34</v>
      </c>
      <c r="E501" s="3" t="s">
        <v>357</v>
      </c>
      <c r="F501" s="3">
        <v>5419</v>
      </c>
      <c r="G501" s="3">
        <v>1150</v>
      </c>
      <c r="H501" s="3">
        <v>656</v>
      </c>
      <c r="I501" s="3">
        <v>1990</v>
      </c>
      <c r="J501" s="3">
        <v>410</v>
      </c>
      <c r="K501" s="3">
        <v>158154</v>
      </c>
      <c r="L501" s="3" t="s">
        <v>25</v>
      </c>
      <c r="M501" s="4">
        <v>4.5683321319726342E-2</v>
      </c>
    </row>
    <row r="502" spans="1:13" x14ac:dyDescent="0.3">
      <c r="A502" s="3" t="s">
        <v>93</v>
      </c>
      <c r="B502" s="3" t="s">
        <v>22</v>
      </c>
      <c r="C502" s="2">
        <v>45762</v>
      </c>
      <c r="D502" s="3" t="s">
        <v>34</v>
      </c>
      <c r="E502" s="3" t="s">
        <v>358</v>
      </c>
      <c r="F502" s="3">
        <v>5419</v>
      </c>
      <c r="G502" s="3">
        <v>1150</v>
      </c>
      <c r="H502" s="3">
        <v>656</v>
      </c>
      <c r="I502" s="3">
        <v>1990</v>
      </c>
      <c r="J502" s="3">
        <v>410</v>
      </c>
      <c r="K502" s="3">
        <v>158154</v>
      </c>
      <c r="L502" s="3" t="s">
        <v>25</v>
      </c>
      <c r="M502" s="4">
        <v>4.5683321319726342E-2</v>
      </c>
    </row>
    <row r="503" spans="1:13" x14ac:dyDescent="0.3">
      <c r="A503" s="3" t="s">
        <v>181</v>
      </c>
      <c r="B503" s="3" t="s">
        <v>18</v>
      </c>
      <c r="C503" s="2">
        <v>45516</v>
      </c>
      <c r="D503" s="3" t="s">
        <v>34</v>
      </c>
      <c r="E503" s="3" t="s">
        <v>355</v>
      </c>
      <c r="F503" s="3">
        <v>8376</v>
      </c>
      <c r="G503" s="3">
        <v>1154</v>
      </c>
      <c r="H503" s="3">
        <v>422</v>
      </c>
      <c r="I503" s="3">
        <v>1907</v>
      </c>
      <c r="J503" s="3">
        <v>36874</v>
      </c>
      <c r="K503" s="3">
        <v>218486</v>
      </c>
      <c r="L503" s="3" t="s">
        <v>25</v>
      </c>
      <c r="M503" s="4">
        <v>4.5549829279679245E-2</v>
      </c>
    </row>
    <row r="504" spans="1:13" x14ac:dyDescent="0.3">
      <c r="A504" s="3" t="s">
        <v>181</v>
      </c>
      <c r="B504" s="3" t="s">
        <v>18</v>
      </c>
      <c r="C504" s="2">
        <v>45516</v>
      </c>
      <c r="D504" s="3" t="s">
        <v>34</v>
      </c>
      <c r="E504" s="3" t="s">
        <v>356</v>
      </c>
      <c r="F504" s="3">
        <v>8376</v>
      </c>
      <c r="G504" s="3">
        <v>1154</v>
      </c>
      <c r="H504" s="3">
        <v>422</v>
      </c>
      <c r="I504" s="3">
        <v>1907</v>
      </c>
      <c r="J504" s="3">
        <v>36874</v>
      </c>
      <c r="K504" s="3">
        <v>218486</v>
      </c>
      <c r="L504" s="3" t="s">
        <v>25</v>
      </c>
      <c r="M504" s="4">
        <v>4.5549829279679245E-2</v>
      </c>
    </row>
    <row r="505" spans="1:13" x14ac:dyDescent="0.3">
      <c r="A505" s="3" t="s">
        <v>319</v>
      </c>
      <c r="B505" s="3" t="s">
        <v>40</v>
      </c>
      <c r="C505" s="2">
        <v>45786</v>
      </c>
      <c r="D505" s="3" t="s">
        <v>34</v>
      </c>
      <c r="E505" s="3" t="s">
        <v>363</v>
      </c>
      <c r="F505" s="3">
        <v>8988</v>
      </c>
      <c r="G505" s="3">
        <v>228</v>
      </c>
      <c r="H505" s="3">
        <v>766</v>
      </c>
      <c r="I505" s="3">
        <v>652</v>
      </c>
      <c r="J505" s="3">
        <v>63789</v>
      </c>
      <c r="K505" s="3">
        <v>219785</v>
      </c>
      <c r="L505" s="3" t="s">
        <v>25</v>
      </c>
      <c r="M505" s="4">
        <v>4.541711217781013E-2</v>
      </c>
    </row>
    <row r="506" spans="1:13" x14ac:dyDescent="0.3">
      <c r="A506" s="3" t="s">
        <v>319</v>
      </c>
      <c r="B506" s="3" t="s">
        <v>40</v>
      </c>
      <c r="C506" s="2">
        <v>45786</v>
      </c>
      <c r="D506" s="3" t="s">
        <v>34</v>
      </c>
      <c r="E506" s="3" t="s">
        <v>364</v>
      </c>
      <c r="F506" s="3">
        <v>8988</v>
      </c>
      <c r="G506" s="3">
        <v>228</v>
      </c>
      <c r="H506" s="3">
        <v>766</v>
      </c>
      <c r="I506" s="3">
        <v>652</v>
      </c>
      <c r="J506" s="3">
        <v>63789</v>
      </c>
      <c r="K506" s="3">
        <v>219785</v>
      </c>
      <c r="L506" s="3" t="s">
        <v>25</v>
      </c>
      <c r="M506" s="4">
        <v>4.541711217781013E-2</v>
      </c>
    </row>
    <row r="507" spans="1:13" x14ac:dyDescent="0.3">
      <c r="A507" s="3" t="s">
        <v>334</v>
      </c>
      <c r="B507" s="3" t="s">
        <v>13</v>
      </c>
      <c r="C507" s="2">
        <v>45924</v>
      </c>
      <c r="D507" s="3" t="s">
        <v>23</v>
      </c>
      <c r="E507" s="3" t="s">
        <v>365</v>
      </c>
      <c r="F507" s="3">
        <v>3342</v>
      </c>
      <c r="G507" s="3">
        <v>787</v>
      </c>
      <c r="H507" s="3">
        <v>375</v>
      </c>
      <c r="I507" s="3">
        <v>907</v>
      </c>
      <c r="J507" s="3">
        <v>85823</v>
      </c>
      <c r="K507" s="3">
        <v>99189</v>
      </c>
      <c r="L507" s="3" t="s">
        <v>20</v>
      </c>
      <c r="M507" s="4">
        <v>4.5408260996683103E-2</v>
      </c>
    </row>
    <row r="508" spans="1:13" x14ac:dyDescent="0.3">
      <c r="A508" s="3" t="s">
        <v>334</v>
      </c>
      <c r="B508" s="3" t="s">
        <v>13</v>
      </c>
      <c r="C508" s="2">
        <v>45924</v>
      </c>
      <c r="D508" s="3" t="s">
        <v>23</v>
      </c>
      <c r="E508" s="3" t="s">
        <v>359</v>
      </c>
      <c r="F508" s="3">
        <v>3342</v>
      </c>
      <c r="G508" s="3">
        <v>787</v>
      </c>
      <c r="H508" s="3">
        <v>375</v>
      </c>
      <c r="I508" s="3">
        <v>907</v>
      </c>
      <c r="J508" s="3">
        <v>85823</v>
      </c>
      <c r="K508" s="3">
        <v>99189</v>
      </c>
      <c r="L508" s="3" t="s">
        <v>20</v>
      </c>
      <c r="M508" s="4">
        <v>4.5408260996683103E-2</v>
      </c>
    </row>
    <row r="509" spans="1:13" x14ac:dyDescent="0.3">
      <c r="A509" s="3" t="s">
        <v>126</v>
      </c>
      <c r="B509" s="3" t="s">
        <v>40</v>
      </c>
      <c r="C509" s="2">
        <v>45446</v>
      </c>
      <c r="D509" s="3" t="s">
        <v>14</v>
      </c>
      <c r="E509" s="3" t="s">
        <v>359</v>
      </c>
      <c r="F509" s="3">
        <v>8941</v>
      </c>
      <c r="G509" s="3">
        <v>911</v>
      </c>
      <c r="H509" s="3">
        <v>166</v>
      </c>
      <c r="I509" s="3">
        <v>1217</v>
      </c>
      <c r="J509" s="3">
        <v>68817</v>
      </c>
      <c r="K509" s="3">
        <v>221180</v>
      </c>
      <c r="L509" s="3" t="s">
        <v>45</v>
      </c>
      <c r="M509" s="4">
        <v>4.5293426168731353E-2</v>
      </c>
    </row>
    <row r="510" spans="1:13" x14ac:dyDescent="0.3">
      <c r="A510" s="3" t="s">
        <v>126</v>
      </c>
      <c r="B510" s="3" t="s">
        <v>40</v>
      </c>
      <c r="C510" s="2">
        <v>45446</v>
      </c>
      <c r="D510" s="3" t="s">
        <v>14</v>
      </c>
      <c r="E510" s="3" t="s">
        <v>366</v>
      </c>
      <c r="F510" s="3">
        <v>8941</v>
      </c>
      <c r="G510" s="3">
        <v>911</v>
      </c>
      <c r="H510" s="3">
        <v>166</v>
      </c>
      <c r="I510" s="3">
        <v>1217</v>
      </c>
      <c r="J510" s="3">
        <v>68817</v>
      </c>
      <c r="K510" s="3">
        <v>221180</v>
      </c>
      <c r="L510" s="3" t="s">
        <v>45</v>
      </c>
      <c r="M510" s="4">
        <v>4.5293426168731353E-2</v>
      </c>
    </row>
    <row r="511" spans="1:13" x14ac:dyDescent="0.3">
      <c r="A511" s="3" t="s">
        <v>170</v>
      </c>
      <c r="B511" s="3" t="s">
        <v>22</v>
      </c>
      <c r="C511" s="2">
        <v>45931</v>
      </c>
      <c r="D511" s="3" t="s">
        <v>34</v>
      </c>
      <c r="E511" s="3" t="s">
        <v>32</v>
      </c>
      <c r="F511" s="3">
        <v>6188</v>
      </c>
      <c r="G511" s="3">
        <v>774</v>
      </c>
      <c r="H511" s="3">
        <v>647</v>
      </c>
      <c r="I511" s="3">
        <v>1830</v>
      </c>
      <c r="J511" s="3">
        <v>55436</v>
      </c>
      <c r="K511" s="3">
        <v>175542</v>
      </c>
      <c r="L511" s="3" t="s">
        <v>20</v>
      </c>
      <c r="M511" s="4">
        <v>4.3345752013763089E-2</v>
      </c>
    </row>
    <row r="512" spans="1:13" x14ac:dyDescent="0.3">
      <c r="A512" s="3" t="s">
        <v>73</v>
      </c>
      <c r="B512" s="3" t="s">
        <v>22</v>
      </c>
      <c r="C512" s="2">
        <v>45705</v>
      </c>
      <c r="D512" s="3" t="s">
        <v>23</v>
      </c>
      <c r="E512" s="3" t="s">
        <v>355</v>
      </c>
      <c r="F512" s="3">
        <v>7989</v>
      </c>
      <c r="G512" s="3">
        <v>1206</v>
      </c>
      <c r="H512" s="3">
        <v>376</v>
      </c>
      <c r="I512" s="3">
        <v>2769</v>
      </c>
      <c r="J512" s="3">
        <v>27550</v>
      </c>
      <c r="K512" s="3">
        <v>221749</v>
      </c>
      <c r="L512" s="3" t="s">
        <v>25</v>
      </c>
      <c r="M512" s="4">
        <v>4.3161412227338117E-2</v>
      </c>
    </row>
    <row r="513" spans="1:13" x14ac:dyDescent="0.3">
      <c r="A513" s="3" t="s">
        <v>73</v>
      </c>
      <c r="B513" s="3" t="s">
        <v>22</v>
      </c>
      <c r="C513" s="2">
        <v>45705</v>
      </c>
      <c r="D513" s="3" t="s">
        <v>23</v>
      </c>
      <c r="E513" s="3" t="s">
        <v>356</v>
      </c>
      <c r="F513" s="3">
        <v>7989</v>
      </c>
      <c r="G513" s="3">
        <v>1206</v>
      </c>
      <c r="H513" s="3">
        <v>376</v>
      </c>
      <c r="I513" s="3">
        <v>2769</v>
      </c>
      <c r="J513" s="3">
        <v>27550</v>
      </c>
      <c r="K513" s="3">
        <v>221749</v>
      </c>
      <c r="L513" s="3" t="s">
        <v>25</v>
      </c>
      <c r="M513" s="4">
        <v>4.3161412227338117E-2</v>
      </c>
    </row>
    <row r="514" spans="1:13" x14ac:dyDescent="0.3">
      <c r="A514" s="3" t="s">
        <v>105</v>
      </c>
      <c r="B514" s="3" t="s">
        <v>40</v>
      </c>
      <c r="C514" s="2">
        <v>45749</v>
      </c>
      <c r="D514" s="3" t="s">
        <v>23</v>
      </c>
      <c r="E514" s="3" t="s">
        <v>365</v>
      </c>
      <c r="F514" s="3">
        <v>6858</v>
      </c>
      <c r="G514" s="3">
        <v>415</v>
      </c>
      <c r="H514" s="3">
        <v>366</v>
      </c>
      <c r="I514" s="3">
        <v>2761</v>
      </c>
      <c r="J514" s="3">
        <v>2988</v>
      </c>
      <c r="K514" s="3">
        <v>177348</v>
      </c>
      <c r="L514" s="3" t="s">
        <v>16</v>
      </c>
      <c r="M514" s="4">
        <v>4.3073505198818141E-2</v>
      </c>
    </row>
    <row r="515" spans="1:13" x14ac:dyDescent="0.3">
      <c r="A515" s="3" t="s">
        <v>105</v>
      </c>
      <c r="B515" s="3" t="s">
        <v>40</v>
      </c>
      <c r="C515" s="2">
        <v>45749</v>
      </c>
      <c r="D515" s="3" t="s">
        <v>23</v>
      </c>
      <c r="E515" s="3" t="s">
        <v>359</v>
      </c>
      <c r="F515" s="3">
        <v>6858</v>
      </c>
      <c r="G515" s="3">
        <v>415</v>
      </c>
      <c r="H515" s="3">
        <v>366</v>
      </c>
      <c r="I515" s="3">
        <v>2761</v>
      </c>
      <c r="J515" s="3">
        <v>2988</v>
      </c>
      <c r="K515" s="3">
        <v>177348</v>
      </c>
      <c r="L515" s="3" t="s">
        <v>16</v>
      </c>
      <c r="M515" s="4">
        <v>4.3073505198818141E-2</v>
      </c>
    </row>
    <row r="516" spans="1:13" x14ac:dyDescent="0.3">
      <c r="A516" s="3" t="s">
        <v>178</v>
      </c>
      <c r="B516" s="3" t="s">
        <v>22</v>
      </c>
      <c r="C516" s="2">
        <v>45741</v>
      </c>
      <c r="D516" s="3" t="s">
        <v>34</v>
      </c>
      <c r="E516" s="3" t="s">
        <v>357</v>
      </c>
      <c r="F516" s="3">
        <v>5900</v>
      </c>
      <c r="G516" s="3">
        <v>546</v>
      </c>
      <c r="H516" s="3">
        <v>592</v>
      </c>
      <c r="I516" s="3">
        <v>1594</v>
      </c>
      <c r="J516" s="3">
        <v>38627</v>
      </c>
      <c r="K516" s="3">
        <v>164398</v>
      </c>
      <c r="L516" s="3" t="s">
        <v>45</v>
      </c>
      <c r="M516" s="4">
        <v>4.2810739790021778E-2</v>
      </c>
    </row>
    <row r="517" spans="1:13" x14ac:dyDescent="0.3">
      <c r="A517" s="3" t="s">
        <v>178</v>
      </c>
      <c r="B517" s="3" t="s">
        <v>22</v>
      </c>
      <c r="C517" s="2">
        <v>45741</v>
      </c>
      <c r="D517" s="3" t="s">
        <v>34</v>
      </c>
      <c r="E517" s="3" t="s">
        <v>358</v>
      </c>
      <c r="F517" s="3">
        <v>5900</v>
      </c>
      <c r="G517" s="3">
        <v>546</v>
      </c>
      <c r="H517" s="3">
        <v>592</v>
      </c>
      <c r="I517" s="3">
        <v>1594</v>
      </c>
      <c r="J517" s="3">
        <v>38627</v>
      </c>
      <c r="K517" s="3">
        <v>164398</v>
      </c>
      <c r="L517" s="3" t="s">
        <v>45</v>
      </c>
      <c r="M517" s="4">
        <v>4.2810739790021778E-2</v>
      </c>
    </row>
    <row r="518" spans="1:13" x14ac:dyDescent="0.3">
      <c r="A518" s="3" t="s">
        <v>243</v>
      </c>
      <c r="B518" s="3" t="s">
        <v>18</v>
      </c>
      <c r="C518" s="2">
        <v>45655</v>
      </c>
      <c r="D518" s="3" t="s">
        <v>34</v>
      </c>
      <c r="E518" s="3" t="s">
        <v>64</v>
      </c>
      <c r="F518" s="3">
        <v>8288</v>
      </c>
      <c r="G518" s="3">
        <v>1401</v>
      </c>
      <c r="H518" s="3">
        <v>819</v>
      </c>
      <c r="I518" s="3">
        <v>1235</v>
      </c>
      <c r="J518" s="3">
        <v>33446</v>
      </c>
      <c r="K518" s="3">
        <v>248786</v>
      </c>
      <c r="L518" s="3" t="s">
        <v>16</v>
      </c>
      <c r="M518" s="4">
        <v>4.2237103373984064E-2</v>
      </c>
    </row>
    <row r="519" spans="1:13" x14ac:dyDescent="0.3">
      <c r="A519" s="3" t="s">
        <v>310</v>
      </c>
      <c r="B519" s="3" t="s">
        <v>18</v>
      </c>
      <c r="C519" s="2">
        <v>45658</v>
      </c>
      <c r="D519" s="3" t="s">
        <v>27</v>
      </c>
      <c r="E519" s="3" t="s">
        <v>361</v>
      </c>
      <c r="F519" s="3">
        <v>8283</v>
      </c>
      <c r="G519" s="3">
        <v>720</v>
      </c>
      <c r="H519" s="3">
        <v>888</v>
      </c>
      <c r="I519" s="3">
        <v>611</v>
      </c>
      <c r="J519" s="3">
        <v>52791</v>
      </c>
      <c r="K519" s="3">
        <v>235229</v>
      </c>
      <c r="L519" s="3" t="s">
        <v>16</v>
      </c>
      <c r="M519" s="4">
        <v>4.2048386891072105E-2</v>
      </c>
    </row>
    <row r="520" spans="1:13" x14ac:dyDescent="0.3">
      <c r="A520" s="3" t="s">
        <v>310</v>
      </c>
      <c r="B520" s="3" t="s">
        <v>18</v>
      </c>
      <c r="C520" s="2">
        <v>45658</v>
      </c>
      <c r="D520" s="3" t="s">
        <v>27</v>
      </c>
      <c r="E520" s="3" t="s">
        <v>362</v>
      </c>
      <c r="F520" s="3">
        <v>8283</v>
      </c>
      <c r="G520" s="3">
        <v>720</v>
      </c>
      <c r="H520" s="3">
        <v>888</v>
      </c>
      <c r="I520" s="3">
        <v>611</v>
      </c>
      <c r="J520" s="3">
        <v>52791</v>
      </c>
      <c r="K520" s="3">
        <v>235229</v>
      </c>
      <c r="L520" s="3" t="s">
        <v>16</v>
      </c>
      <c r="M520" s="4">
        <v>4.2048386891072105E-2</v>
      </c>
    </row>
    <row r="521" spans="1:13" x14ac:dyDescent="0.3">
      <c r="A521" s="3" t="s">
        <v>242</v>
      </c>
      <c r="B521" s="3" t="s">
        <v>22</v>
      </c>
      <c r="C521" s="2">
        <v>45467</v>
      </c>
      <c r="D521" s="3" t="s">
        <v>14</v>
      </c>
      <c r="E521" s="3" t="s">
        <v>359</v>
      </c>
      <c r="F521" s="3">
        <v>6632</v>
      </c>
      <c r="G521" s="3">
        <v>254</v>
      </c>
      <c r="H521" s="3">
        <v>525</v>
      </c>
      <c r="I521" s="3">
        <v>1013</v>
      </c>
      <c r="J521" s="3">
        <v>13838</v>
      </c>
      <c r="K521" s="3">
        <v>180180</v>
      </c>
      <c r="L521" s="3" t="s">
        <v>16</v>
      </c>
      <c r="M521" s="4">
        <v>4.1131091131091133E-2</v>
      </c>
    </row>
    <row r="522" spans="1:13" x14ac:dyDescent="0.3">
      <c r="A522" s="3" t="s">
        <v>242</v>
      </c>
      <c r="B522" s="3" t="s">
        <v>22</v>
      </c>
      <c r="C522" s="2">
        <v>45467</v>
      </c>
      <c r="D522" s="3" t="s">
        <v>14</v>
      </c>
      <c r="E522" s="3" t="s">
        <v>366</v>
      </c>
      <c r="F522" s="3">
        <v>6632</v>
      </c>
      <c r="G522" s="3">
        <v>254</v>
      </c>
      <c r="H522" s="3">
        <v>525</v>
      </c>
      <c r="I522" s="3">
        <v>1013</v>
      </c>
      <c r="J522" s="3">
        <v>13838</v>
      </c>
      <c r="K522" s="3">
        <v>180180</v>
      </c>
      <c r="L522" s="3" t="s">
        <v>16</v>
      </c>
      <c r="M522" s="4">
        <v>4.1131091131091133E-2</v>
      </c>
    </row>
    <row r="523" spans="1:13" x14ac:dyDescent="0.3">
      <c r="A523" s="3" t="s">
        <v>292</v>
      </c>
      <c r="B523" s="3" t="s">
        <v>13</v>
      </c>
      <c r="C523" s="2">
        <v>45917</v>
      </c>
      <c r="D523" s="3" t="s">
        <v>34</v>
      </c>
      <c r="E523" s="3" t="s">
        <v>361</v>
      </c>
      <c r="F523" s="3">
        <v>2117</v>
      </c>
      <c r="G523" s="3">
        <v>1133</v>
      </c>
      <c r="H523" s="3">
        <v>203</v>
      </c>
      <c r="I523" s="3">
        <v>1173</v>
      </c>
      <c r="J523" s="3">
        <v>40125</v>
      </c>
      <c r="K523" s="3">
        <v>85379</v>
      </c>
      <c r="L523" s="3" t="s">
        <v>20</v>
      </c>
      <c r="M523" s="4">
        <v>4.0443200318579509E-2</v>
      </c>
    </row>
    <row r="524" spans="1:13" x14ac:dyDescent="0.3">
      <c r="A524" s="3" t="s">
        <v>292</v>
      </c>
      <c r="B524" s="3" t="s">
        <v>13</v>
      </c>
      <c r="C524" s="2">
        <v>45917</v>
      </c>
      <c r="D524" s="3" t="s">
        <v>34</v>
      </c>
      <c r="E524" s="3" t="s">
        <v>362</v>
      </c>
      <c r="F524" s="3">
        <v>2117</v>
      </c>
      <c r="G524" s="3">
        <v>1133</v>
      </c>
      <c r="H524" s="3">
        <v>203</v>
      </c>
      <c r="I524" s="3">
        <v>1173</v>
      </c>
      <c r="J524" s="3">
        <v>40125</v>
      </c>
      <c r="K524" s="3">
        <v>85379</v>
      </c>
      <c r="L524" s="3" t="s">
        <v>20</v>
      </c>
      <c r="M524" s="4">
        <v>4.0443200318579509E-2</v>
      </c>
    </row>
    <row r="525" spans="1:13" x14ac:dyDescent="0.3">
      <c r="A525" s="3" t="s">
        <v>218</v>
      </c>
      <c r="B525" s="3" t="s">
        <v>13</v>
      </c>
      <c r="C525" s="2">
        <v>45504</v>
      </c>
      <c r="D525" s="3" t="s">
        <v>27</v>
      </c>
      <c r="E525" s="3" t="s">
        <v>357</v>
      </c>
      <c r="F525" s="3">
        <v>7122</v>
      </c>
      <c r="G525" s="3">
        <v>628</v>
      </c>
      <c r="H525" s="3">
        <v>757</v>
      </c>
      <c r="I525" s="3">
        <v>2313</v>
      </c>
      <c r="J525" s="3">
        <v>50924</v>
      </c>
      <c r="K525" s="3">
        <v>210954</v>
      </c>
      <c r="L525" s="3" t="s">
        <v>45</v>
      </c>
      <c r="M525" s="4">
        <v>4.0326327066564277E-2</v>
      </c>
    </row>
    <row r="526" spans="1:13" x14ac:dyDescent="0.3">
      <c r="A526" s="3" t="s">
        <v>218</v>
      </c>
      <c r="B526" s="3" t="s">
        <v>13</v>
      </c>
      <c r="C526" s="2">
        <v>45504</v>
      </c>
      <c r="D526" s="3" t="s">
        <v>27</v>
      </c>
      <c r="E526" s="3" t="s">
        <v>358</v>
      </c>
      <c r="F526" s="3">
        <v>7122</v>
      </c>
      <c r="G526" s="3">
        <v>628</v>
      </c>
      <c r="H526" s="3">
        <v>757</v>
      </c>
      <c r="I526" s="3">
        <v>2313</v>
      </c>
      <c r="J526" s="3">
        <v>50924</v>
      </c>
      <c r="K526" s="3">
        <v>210954</v>
      </c>
      <c r="L526" s="3" t="s">
        <v>45</v>
      </c>
      <c r="M526" s="4">
        <v>4.0326327066564277E-2</v>
      </c>
    </row>
    <row r="527" spans="1:13" x14ac:dyDescent="0.3">
      <c r="A527" s="3" t="s">
        <v>114</v>
      </c>
      <c r="B527" s="3" t="s">
        <v>13</v>
      </c>
      <c r="C527" s="2">
        <v>45922</v>
      </c>
      <c r="D527" s="3" t="s">
        <v>27</v>
      </c>
      <c r="E527" s="3" t="s">
        <v>368</v>
      </c>
      <c r="F527" s="3">
        <v>8996</v>
      </c>
      <c r="G527" s="3">
        <v>329</v>
      </c>
      <c r="H527" s="3">
        <v>378</v>
      </c>
      <c r="I527" s="3">
        <v>2384</v>
      </c>
      <c r="J527" s="3">
        <v>39404</v>
      </c>
      <c r="K527" s="3">
        <v>242724</v>
      </c>
      <c r="L527" s="3" t="s">
        <v>20</v>
      </c>
      <c r="M527" s="4">
        <v>3.9975445361810122E-2</v>
      </c>
    </row>
    <row r="528" spans="1:13" x14ac:dyDescent="0.3">
      <c r="A528" s="3" t="s">
        <v>114</v>
      </c>
      <c r="B528" s="3" t="s">
        <v>13</v>
      </c>
      <c r="C528" s="2">
        <v>45922</v>
      </c>
      <c r="D528" s="3" t="s">
        <v>27</v>
      </c>
      <c r="E528" s="3" t="s">
        <v>369</v>
      </c>
      <c r="F528" s="3">
        <v>8996</v>
      </c>
      <c r="G528" s="3">
        <v>329</v>
      </c>
      <c r="H528" s="3">
        <v>378</v>
      </c>
      <c r="I528" s="3">
        <v>2384</v>
      </c>
      <c r="J528" s="3">
        <v>39404</v>
      </c>
      <c r="K528" s="3">
        <v>242724</v>
      </c>
      <c r="L528" s="3" t="s">
        <v>20</v>
      </c>
      <c r="M528" s="4">
        <v>3.9975445361810122E-2</v>
      </c>
    </row>
    <row r="529" spans="1:13" x14ac:dyDescent="0.3">
      <c r="A529" s="3" t="s">
        <v>46</v>
      </c>
      <c r="B529" s="3" t="s">
        <v>13</v>
      </c>
      <c r="C529" s="2">
        <v>45906</v>
      </c>
      <c r="D529" s="3" t="s">
        <v>23</v>
      </c>
      <c r="E529" s="3" t="s">
        <v>363</v>
      </c>
      <c r="F529" s="3">
        <v>7124</v>
      </c>
      <c r="G529" s="3">
        <v>469</v>
      </c>
      <c r="H529" s="3">
        <v>851</v>
      </c>
      <c r="I529" s="3">
        <v>2571</v>
      </c>
      <c r="J529" s="3">
        <v>33802</v>
      </c>
      <c r="K529" s="3">
        <v>216313</v>
      </c>
      <c r="L529" s="3" t="s">
        <v>20</v>
      </c>
      <c r="M529" s="4">
        <v>3.9036026498638549E-2</v>
      </c>
    </row>
    <row r="530" spans="1:13" x14ac:dyDescent="0.3">
      <c r="A530" s="3" t="s">
        <v>46</v>
      </c>
      <c r="B530" s="3" t="s">
        <v>13</v>
      </c>
      <c r="C530" s="2">
        <v>45906</v>
      </c>
      <c r="D530" s="3" t="s">
        <v>23</v>
      </c>
      <c r="E530" s="3" t="s">
        <v>364</v>
      </c>
      <c r="F530" s="3">
        <v>7124</v>
      </c>
      <c r="G530" s="3">
        <v>469</v>
      </c>
      <c r="H530" s="3">
        <v>851</v>
      </c>
      <c r="I530" s="3">
        <v>2571</v>
      </c>
      <c r="J530" s="3">
        <v>33802</v>
      </c>
      <c r="K530" s="3">
        <v>216313</v>
      </c>
      <c r="L530" s="3" t="s">
        <v>20</v>
      </c>
      <c r="M530" s="4">
        <v>3.9036026498638549E-2</v>
      </c>
    </row>
    <row r="531" spans="1:13" x14ac:dyDescent="0.3">
      <c r="A531" s="3" t="s">
        <v>311</v>
      </c>
      <c r="B531" s="3" t="s">
        <v>22</v>
      </c>
      <c r="C531" s="2">
        <v>45509</v>
      </c>
      <c r="D531" s="3" t="s">
        <v>23</v>
      </c>
      <c r="E531" s="3" t="s">
        <v>363</v>
      </c>
      <c r="F531" s="3">
        <v>4048</v>
      </c>
      <c r="G531" s="3">
        <v>751</v>
      </c>
      <c r="H531" s="3">
        <v>930</v>
      </c>
      <c r="I531" s="3">
        <v>1382</v>
      </c>
      <c r="J531" s="3">
        <v>16844</v>
      </c>
      <c r="K531" s="3">
        <v>148177</v>
      </c>
      <c r="L531" s="3" t="s">
        <v>29</v>
      </c>
      <c r="M531" s="4">
        <v>3.8663220337839206E-2</v>
      </c>
    </row>
    <row r="532" spans="1:13" x14ac:dyDescent="0.3">
      <c r="A532" s="3" t="s">
        <v>311</v>
      </c>
      <c r="B532" s="3" t="s">
        <v>22</v>
      </c>
      <c r="C532" s="2">
        <v>45509</v>
      </c>
      <c r="D532" s="3" t="s">
        <v>23</v>
      </c>
      <c r="E532" s="3" t="s">
        <v>364</v>
      </c>
      <c r="F532" s="3">
        <v>4048</v>
      </c>
      <c r="G532" s="3">
        <v>751</v>
      </c>
      <c r="H532" s="3">
        <v>930</v>
      </c>
      <c r="I532" s="3">
        <v>1382</v>
      </c>
      <c r="J532" s="3">
        <v>16844</v>
      </c>
      <c r="K532" s="3">
        <v>148177</v>
      </c>
      <c r="L532" s="3" t="s">
        <v>29</v>
      </c>
      <c r="M532" s="4">
        <v>3.8663220337839206E-2</v>
      </c>
    </row>
    <row r="533" spans="1:13" x14ac:dyDescent="0.3">
      <c r="A533" s="3" t="s">
        <v>177</v>
      </c>
      <c r="B533" s="3" t="s">
        <v>18</v>
      </c>
      <c r="C533" s="2">
        <v>45933</v>
      </c>
      <c r="D533" s="3" t="s">
        <v>14</v>
      </c>
      <c r="E533" s="3" t="s">
        <v>365</v>
      </c>
      <c r="F533" s="3">
        <v>6777</v>
      </c>
      <c r="G533" s="3">
        <v>617</v>
      </c>
      <c r="H533" s="3">
        <v>551</v>
      </c>
      <c r="I533" s="3">
        <v>2109</v>
      </c>
      <c r="J533" s="3">
        <v>18559</v>
      </c>
      <c r="K533" s="3">
        <v>208452</v>
      </c>
      <c r="L533" s="3" t="s">
        <v>20</v>
      </c>
      <c r="M533" s="4">
        <v>3.8114290100358834E-2</v>
      </c>
    </row>
    <row r="534" spans="1:13" x14ac:dyDescent="0.3">
      <c r="A534" s="3" t="s">
        <v>177</v>
      </c>
      <c r="B534" s="3" t="s">
        <v>18</v>
      </c>
      <c r="C534" s="2">
        <v>45933</v>
      </c>
      <c r="D534" s="3" t="s">
        <v>14</v>
      </c>
      <c r="E534" s="3" t="s">
        <v>359</v>
      </c>
      <c r="F534" s="3">
        <v>6777</v>
      </c>
      <c r="G534" s="3">
        <v>617</v>
      </c>
      <c r="H534" s="3">
        <v>551</v>
      </c>
      <c r="I534" s="3">
        <v>2109</v>
      </c>
      <c r="J534" s="3">
        <v>18559</v>
      </c>
      <c r="K534" s="3">
        <v>208452</v>
      </c>
      <c r="L534" s="3" t="s">
        <v>20</v>
      </c>
      <c r="M534" s="4">
        <v>3.8114290100358834E-2</v>
      </c>
    </row>
    <row r="535" spans="1:13" x14ac:dyDescent="0.3">
      <c r="A535" s="3" t="s">
        <v>78</v>
      </c>
      <c r="B535" s="3" t="s">
        <v>40</v>
      </c>
      <c r="C535" s="2">
        <v>45916</v>
      </c>
      <c r="D535" s="3" t="s">
        <v>23</v>
      </c>
      <c r="E535" s="3" t="s">
        <v>64</v>
      </c>
      <c r="F535" s="3">
        <v>6809</v>
      </c>
      <c r="G535" s="3">
        <v>397</v>
      </c>
      <c r="H535" s="3">
        <v>813</v>
      </c>
      <c r="I535" s="3">
        <v>1125</v>
      </c>
      <c r="J535" s="3">
        <v>12206</v>
      </c>
      <c r="K535" s="3">
        <v>218136</v>
      </c>
      <c r="L535" s="3" t="s">
        <v>20</v>
      </c>
      <c r="M535" s="4">
        <v>3.6761469908680823E-2</v>
      </c>
    </row>
    <row r="536" spans="1:13" x14ac:dyDescent="0.3">
      <c r="A536" s="3" t="s">
        <v>317</v>
      </c>
      <c r="B536" s="3" t="s">
        <v>18</v>
      </c>
      <c r="C536" s="2">
        <v>45738</v>
      </c>
      <c r="D536" s="3" t="s">
        <v>27</v>
      </c>
      <c r="E536" s="3" t="s">
        <v>359</v>
      </c>
      <c r="F536" s="3">
        <v>3917</v>
      </c>
      <c r="G536" s="3">
        <v>865</v>
      </c>
      <c r="H536" s="3">
        <v>759</v>
      </c>
      <c r="I536" s="3">
        <v>2282</v>
      </c>
      <c r="J536" s="3">
        <v>56125</v>
      </c>
      <c r="K536" s="3">
        <v>154014</v>
      </c>
      <c r="L536" s="3" t="s">
        <v>16</v>
      </c>
      <c r="M536" s="4">
        <v>3.5977248821535704E-2</v>
      </c>
    </row>
    <row r="537" spans="1:13" x14ac:dyDescent="0.3">
      <c r="A537" s="3" t="s">
        <v>317</v>
      </c>
      <c r="B537" s="3" t="s">
        <v>18</v>
      </c>
      <c r="C537" s="2">
        <v>45738</v>
      </c>
      <c r="D537" s="3" t="s">
        <v>27</v>
      </c>
      <c r="E537" s="3" t="s">
        <v>366</v>
      </c>
      <c r="F537" s="3">
        <v>3917</v>
      </c>
      <c r="G537" s="3">
        <v>865</v>
      </c>
      <c r="H537" s="3">
        <v>759</v>
      </c>
      <c r="I537" s="3">
        <v>2282</v>
      </c>
      <c r="J537" s="3">
        <v>56125</v>
      </c>
      <c r="K537" s="3">
        <v>154014</v>
      </c>
      <c r="L537" s="3" t="s">
        <v>16</v>
      </c>
      <c r="M537" s="4">
        <v>3.5977248821535704E-2</v>
      </c>
    </row>
    <row r="538" spans="1:13" x14ac:dyDescent="0.3">
      <c r="A538" s="3" t="s">
        <v>316</v>
      </c>
      <c r="B538" s="3" t="s">
        <v>40</v>
      </c>
      <c r="C538" s="2">
        <v>45918</v>
      </c>
      <c r="D538" s="3" t="s">
        <v>27</v>
      </c>
      <c r="E538" s="3" t="s">
        <v>361</v>
      </c>
      <c r="F538" s="3">
        <v>3828</v>
      </c>
      <c r="G538" s="3">
        <v>203</v>
      </c>
      <c r="H538" s="3">
        <v>506</v>
      </c>
      <c r="I538" s="3">
        <v>2440</v>
      </c>
      <c r="J538" s="3">
        <v>63650</v>
      </c>
      <c r="K538" s="3">
        <v>126365</v>
      </c>
      <c r="L538" s="3" t="s">
        <v>20</v>
      </c>
      <c r="M538" s="4">
        <v>3.5903929094290347E-2</v>
      </c>
    </row>
    <row r="539" spans="1:13" x14ac:dyDescent="0.3">
      <c r="A539" s="3" t="s">
        <v>316</v>
      </c>
      <c r="B539" s="3" t="s">
        <v>40</v>
      </c>
      <c r="C539" s="2">
        <v>45918</v>
      </c>
      <c r="D539" s="3" t="s">
        <v>27</v>
      </c>
      <c r="E539" s="3" t="s">
        <v>362</v>
      </c>
      <c r="F539" s="3">
        <v>3828</v>
      </c>
      <c r="G539" s="3">
        <v>203</v>
      </c>
      <c r="H539" s="3">
        <v>506</v>
      </c>
      <c r="I539" s="3">
        <v>2440</v>
      </c>
      <c r="J539" s="3">
        <v>63650</v>
      </c>
      <c r="K539" s="3">
        <v>126365</v>
      </c>
      <c r="L539" s="3" t="s">
        <v>20</v>
      </c>
      <c r="M539" s="4">
        <v>3.5903929094290347E-2</v>
      </c>
    </row>
    <row r="540" spans="1:13" x14ac:dyDescent="0.3">
      <c r="A540" s="3" t="s">
        <v>214</v>
      </c>
      <c r="B540" s="3" t="s">
        <v>13</v>
      </c>
      <c r="C540" s="2">
        <v>45940</v>
      </c>
      <c r="D540" s="3" t="s">
        <v>34</v>
      </c>
      <c r="E540" s="3" t="s">
        <v>357</v>
      </c>
      <c r="F540" s="3">
        <v>6621</v>
      </c>
      <c r="G540" s="3">
        <v>922</v>
      </c>
      <c r="H540" s="3">
        <v>930</v>
      </c>
      <c r="I540" s="3">
        <v>694</v>
      </c>
      <c r="J540" s="3">
        <v>839</v>
      </c>
      <c r="K540" s="3">
        <v>243532</v>
      </c>
      <c r="L540" s="3" t="s">
        <v>20</v>
      </c>
      <c r="M540" s="4">
        <v>3.479214230573395E-2</v>
      </c>
    </row>
    <row r="541" spans="1:13" x14ac:dyDescent="0.3">
      <c r="A541" s="3" t="s">
        <v>214</v>
      </c>
      <c r="B541" s="3" t="s">
        <v>13</v>
      </c>
      <c r="C541" s="2">
        <v>45940</v>
      </c>
      <c r="D541" s="3" t="s">
        <v>34</v>
      </c>
      <c r="E541" s="3" t="s">
        <v>358</v>
      </c>
      <c r="F541" s="3">
        <v>6621</v>
      </c>
      <c r="G541" s="3">
        <v>922</v>
      </c>
      <c r="H541" s="3">
        <v>930</v>
      </c>
      <c r="I541" s="3">
        <v>694</v>
      </c>
      <c r="J541" s="3">
        <v>839</v>
      </c>
      <c r="K541" s="3">
        <v>243532</v>
      </c>
      <c r="L541" s="3" t="s">
        <v>20</v>
      </c>
      <c r="M541" s="4">
        <v>3.479214230573395E-2</v>
      </c>
    </row>
    <row r="542" spans="1:13" x14ac:dyDescent="0.3">
      <c r="A542" s="3" t="s">
        <v>217</v>
      </c>
      <c r="B542" s="3" t="s">
        <v>22</v>
      </c>
      <c r="C542" s="2">
        <v>45942</v>
      </c>
      <c r="D542" s="3" t="s">
        <v>34</v>
      </c>
      <c r="E542" s="3" t="s">
        <v>363</v>
      </c>
      <c r="F542" s="3">
        <v>7126</v>
      </c>
      <c r="G542" s="3">
        <v>484</v>
      </c>
      <c r="H542" s="3">
        <v>565</v>
      </c>
      <c r="I542" s="3">
        <v>573</v>
      </c>
      <c r="J542" s="3">
        <v>7389</v>
      </c>
      <c r="K542" s="3">
        <v>237096</v>
      </c>
      <c r="L542" s="3" t="s">
        <v>20</v>
      </c>
      <c r="M542" s="4">
        <v>3.4479704423524646E-2</v>
      </c>
    </row>
    <row r="543" spans="1:13" x14ac:dyDescent="0.3">
      <c r="A543" s="3" t="s">
        <v>217</v>
      </c>
      <c r="B543" s="3" t="s">
        <v>22</v>
      </c>
      <c r="C543" s="2">
        <v>45942</v>
      </c>
      <c r="D543" s="3" t="s">
        <v>34</v>
      </c>
      <c r="E543" s="3" t="s">
        <v>364</v>
      </c>
      <c r="F543" s="3">
        <v>7126</v>
      </c>
      <c r="G543" s="3">
        <v>484</v>
      </c>
      <c r="H543" s="3">
        <v>565</v>
      </c>
      <c r="I543" s="3">
        <v>573</v>
      </c>
      <c r="J543" s="3">
        <v>7389</v>
      </c>
      <c r="K543" s="3">
        <v>237096</v>
      </c>
      <c r="L543" s="3" t="s">
        <v>20</v>
      </c>
      <c r="M543" s="4">
        <v>3.4479704423524646E-2</v>
      </c>
    </row>
    <row r="544" spans="1:13" x14ac:dyDescent="0.3">
      <c r="A544" s="3" t="s">
        <v>146</v>
      </c>
      <c r="B544" s="3" t="s">
        <v>13</v>
      </c>
      <c r="C544" s="2">
        <v>45502</v>
      </c>
      <c r="D544" s="3" t="s">
        <v>27</v>
      </c>
      <c r="E544" s="3" t="s">
        <v>363</v>
      </c>
      <c r="F544" s="3">
        <v>6164</v>
      </c>
      <c r="G544" s="3">
        <v>326</v>
      </c>
      <c r="H544" s="3">
        <v>615</v>
      </c>
      <c r="I544" s="3">
        <v>2806</v>
      </c>
      <c r="J544" s="3">
        <v>38579</v>
      </c>
      <c r="K544" s="3">
        <v>206129</v>
      </c>
      <c r="L544" s="3" t="s">
        <v>45</v>
      </c>
      <c r="M544" s="4">
        <v>3.4468706489625425E-2</v>
      </c>
    </row>
    <row r="545" spans="1:13" x14ac:dyDescent="0.3">
      <c r="A545" s="3" t="s">
        <v>146</v>
      </c>
      <c r="B545" s="3" t="s">
        <v>13</v>
      </c>
      <c r="C545" s="2">
        <v>45502</v>
      </c>
      <c r="D545" s="3" t="s">
        <v>27</v>
      </c>
      <c r="E545" s="3" t="s">
        <v>364</v>
      </c>
      <c r="F545" s="3">
        <v>6164</v>
      </c>
      <c r="G545" s="3">
        <v>326</v>
      </c>
      <c r="H545" s="3">
        <v>615</v>
      </c>
      <c r="I545" s="3">
        <v>2806</v>
      </c>
      <c r="J545" s="3">
        <v>38579</v>
      </c>
      <c r="K545" s="3">
        <v>206129</v>
      </c>
      <c r="L545" s="3" t="s">
        <v>45</v>
      </c>
      <c r="M545" s="4">
        <v>3.4468706489625425E-2</v>
      </c>
    </row>
    <row r="546" spans="1:13" x14ac:dyDescent="0.3">
      <c r="A546" s="3" t="s">
        <v>328</v>
      </c>
      <c r="B546" s="3" t="s">
        <v>13</v>
      </c>
      <c r="C546" s="2">
        <v>45613</v>
      </c>
      <c r="D546" s="3" t="s">
        <v>34</v>
      </c>
      <c r="E546" s="3" t="s">
        <v>361</v>
      </c>
      <c r="F546" s="3">
        <v>4219</v>
      </c>
      <c r="G546" s="3">
        <v>240</v>
      </c>
      <c r="H546" s="3">
        <v>670</v>
      </c>
      <c r="I546" s="3">
        <v>815</v>
      </c>
      <c r="J546" s="3">
        <v>11978</v>
      </c>
      <c r="K546" s="3">
        <v>159735</v>
      </c>
      <c r="L546" s="3" t="s">
        <v>29</v>
      </c>
      <c r="M546" s="4">
        <v>3.2109431245500357E-2</v>
      </c>
    </row>
    <row r="547" spans="1:13" x14ac:dyDescent="0.3">
      <c r="A547" s="3" t="s">
        <v>328</v>
      </c>
      <c r="B547" s="3" t="s">
        <v>13</v>
      </c>
      <c r="C547" s="2">
        <v>45613</v>
      </c>
      <c r="D547" s="3" t="s">
        <v>34</v>
      </c>
      <c r="E547" s="3" t="s">
        <v>362</v>
      </c>
      <c r="F547" s="3">
        <v>4219</v>
      </c>
      <c r="G547" s="3">
        <v>240</v>
      </c>
      <c r="H547" s="3">
        <v>670</v>
      </c>
      <c r="I547" s="3">
        <v>815</v>
      </c>
      <c r="J547" s="3">
        <v>11978</v>
      </c>
      <c r="K547" s="3">
        <v>159735</v>
      </c>
      <c r="L547" s="3" t="s">
        <v>29</v>
      </c>
      <c r="M547" s="4">
        <v>3.2109431245500357E-2</v>
      </c>
    </row>
    <row r="548" spans="1:13" x14ac:dyDescent="0.3">
      <c r="A548" s="3" t="s">
        <v>309</v>
      </c>
      <c r="B548" s="3" t="s">
        <v>18</v>
      </c>
      <c r="C548" s="2">
        <v>45577</v>
      </c>
      <c r="D548" s="3" t="s">
        <v>14</v>
      </c>
      <c r="E548" s="3" t="s">
        <v>368</v>
      </c>
      <c r="F548" s="3">
        <v>6208</v>
      </c>
      <c r="G548" s="3">
        <v>725</v>
      </c>
      <c r="H548" s="3">
        <v>309</v>
      </c>
      <c r="I548" s="3">
        <v>848</v>
      </c>
      <c r="J548" s="3">
        <v>39319</v>
      </c>
      <c r="K548" s="3">
        <v>225763</v>
      </c>
      <c r="L548" s="3" t="s">
        <v>16</v>
      </c>
      <c r="M548" s="4">
        <v>3.207788698768177E-2</v>
      </c>
    </row>
    <row r="549" spans="1:13" x14ac:dyDescent="0.3">
      <c r="A549" s="3" t="s">
        <v>309</v>
      </c>
      <c r="B549" s="3" t="s">
        <v>18</v>
      </c>
      <c r="C549" s="2">
        <v>45577</v>
      </c>
      <c r="D549" s="3" t="s">
        <v>14</v>
      </c>
      <c r="E549" s="3" t="s">
        <v>369</v>
      </c>
      <c r="F549" s="3">
        <v>6208</v>
      </c>
      <c r="G549" s="3">
        <v>725</v>
      </c>
      <c r="H549" s="3">
        <v>309</v>
      </c>
      <c r="I549" s="3">
        <v>848</v>
      </c>
      <c r="J549" s="3">
        <v>39319</v>
      </c>
      <c r="K549" s="3">
        <v>225763</v>
      </c>
      <c r="L549" s="3" t="s">
        <v>16</v>
      </c>
      <c r="M549" s="4">
        <v>3.207788698768177E-2</v>
      </c>
    </row>
    <row r="550" spans="1:13" x14ac:dyDescent="0.3">
      <c r="A550" s="3" t="s">
        <v>283</v>
      </c>
      <c r="B550" s="3" t="s">
        <v>22</v>
      </c>
      <c r="C550" s="2">
        <v>45531</v>
      </c>
      <c r="D550" s="3" t="s">
        <v>14</v>
      </c>
      <c r="E550" s="3" t="s">
        <v>64</v>
      </c>
      <c r="F550" s="3">
        <v>6324</v>
      </c>
      <c r="G550" s="3">
        <v>908</v>
      </c>
      <c r="H550" s="3">
        <v>375</v>
      </c>
      <c r="I550" s="3">
        <v>758</v>
      </c>
      <c r="J550" s="3">
        <v>34850</v>
      </c>
      <c r="K550" s="3">
        <v>241039</v>
      </c>
      <c r="L550" s="3" t="s">
        <v>16</v>
      </c>
      <c r="M550" s="4">
        <v>3.1559208260903839E-2</v>
      </c>
    </row>
    <row r="551" spans="1:13" x14ac:dyDescent="0.3">
      <c r="A551" s="3" t="s">
        <v>209</v>
      </c>
      <c r="B551" s="3" t="s">
        <v>13</v>
      </c>
      <c r="C551" s="2">
        <v>45631</v>
      </c>
      <c r="D551" s="3" t="s">
        <v>23</v>
      </c>
      <c r="E551" s="3" t="s">
        <v>359</v>
      </c>
      <c r="F551" s="3">
        <v>4125</v>
      </c>
      <c r="G551" s="3">
        <v>1364</v>
      </c>
      <c r="H551" s="3">
        <v>319</v>
      </c>
      <c r="I551" s="3">
        <v>2848</v>
      </c>
      <c r="J551" s="3">
        <v>15379</v>
      </c>
      <c r="K551" s="3">
        <v>188159</v>
      </c>
      <c r="L551" s="3" t="s">
        <v>45</v>
      </c>
      <c r="M551" s="4">
        <v>3.0867510988047343E-2</v>
      </c>
    </row>
    <row r="552" spans="1:13" x14ac:dyDescent="0.3">
      <c r="A552" s="3" t="s">
        <v>209</v>
      </c>
      <c r="B552" s="3" t="s">
        <v>13</v>
      </c>
      <c r="C552" s="2">
        <v>45631</v>
      </c>
      <c r="D552" s="3" t="s">
        <v>23</v>
      </c>
      <c r="E552" s="3" t="s">
        <v>366</v>
      </c>
      <c r="F552" s="3">
        <v>4125</v>
      </c>
      <c r="G552" s="3">
        <v>1364</v>
      </c>
      <c r="H552" s="3">
        <v>319</v>
      </c>
      <c r="I552" s="3">
        <v>2848</v>
      </c>
      <c r="J552" s="3">
        <v>15379</v>
      </c>
      <c r="K552" s="3">
        <v>188159</v>
      </c>
      <c r="L552" s="3" t="s">
        <v>45</v>
      </c>
      <c r="M552" s="4">
        <v>3.0867510988047343E-2</v>
      </c>
    </row>
    <row r="553" spans="1:13" x14ac:dyDescent="0.3">
      <c r="A553" s="3" t="s">
        <v>229</v>
      </c>
      <c r="B553" s="3" t="s">
        <v>22</v>
      </c>
      <c r="C553" s="2">
        <v>45546</v>
      </c>
      <c r="D553" s="3" t="s">
        <v>14</v>
      </c>
      <c r="E553" s="3" t="s">
        <v>363</v>
      </c>
      <c r="F553" s="3">
        <v>3906</v>
      </c>
      <c r="G553" s="3">
        <v>1187</v>
      </c>
      <c r="H553" s="3">
        <v>589</v>
      </c>
      <c r="I553" s="3">
        <v>401</v>
      </c>
      <c r="J553" s="3">
        <v>52687</v>
      </c>
      <c r="K553" s="3">
        <v>196498</v>
      </c>
      <c r="L553" s="3" t="s">
        <v>16</v>
      </c>
      <c r="M553" s="4">
        <v>2.8916324848090057E-2</v>
      </c>
    </row>
    <row r="554" spans="1:13" x14ac:dyDescent="0.3">
      <c r="A554" s="3" t="s">
        <v>229</v>
      </c>
      <c r="B554" s="3" t="s">
        <v>22</v>
      </c>
      <c r="C554" s="2">
        <v>45546</v>
      </c>
      <c r="D554" s="3" t="s">
        <v>14</v>
      </c>
      <c r="E554" s="3" t="s">
        <v>364</v>
      </c>
      <c r="F554" s="3">
        <v>3906</v>
      </c>
      <c r="G554" s="3">
        <v>1187</v>
      </c>
      <c r="H554" s="3">
        <v>589</v>
      </c>
      <c r="I554" s="3">
        <v>401</v>
      </c>
      <c r="J554" s="3">
        <v>52687</v>
      </c>
      <c r="K554" s="3">
        <v>196498</v>
      </c>
      <c r="L554" s="3" t="s">
        <v>16</v>
      </c>
      <c r="M554" s="4">
        <v>2.8916324848090057E-2</v>
      </c>
    </row>
    <row r="555" spans="1:13" x14ac:dyDescent="0.3">
      <c r="A555" s="3" t="s">
        <v>281</v>
      </c>
      <c r="B555" s="3" t="s">
        <v>13</v>
      </c>
      <c r="C555" s="2">
        <v>45669</v>
      </c>
      <c r="D555" s="3" t="s">
        <v>14</v>
      </c>
      <c r="E555" s="3" t="s">
        <v>359</v>
      </c>
      <c r="F555" s="3">
        <v>4590</v>
      </c>
      <c r="G555" s="3">
        <v>713</v>
      </c>
      <c r="H555" s="3">
        <v>479</v>
      </c>
      <c r="I555" s="3">
        <v>2730</v>
      </c>
      <c r="J555" s="3">
        <v>41050</v>
      </c>
      <c r="K555" s="3">
        <v>204246</v>
      </c>
      <c r="L555" s="3" t="s">
        <v>25</v>
      </c>
      <c r="M555" s="4">
        <v>2.8308999931455206E-2</v>
      </c>
    </row>
    <row r="556" spans="1:13" x14ac:dyDescent="0.3">
      <c r="A556" s="3" t="s">
        <v>281</v>
      </c>
      <c r="B556" s="3" t="s">
        <v>13</v>
      </c>
      <c r="C556" s="2">
        <v>45669</v>
      </c>
      <c r="D556" s="3" t="s">
        <v>14</v>
      </c>
      <c r="E556" s="3" t="s">
        <v>360</v>
      </c>
      <c r="F556" s="3">
        <v>4590</v>
      </c>
      <c r="G556" s="3">
        <v>713</v>
      </c>
      <c r="H556" s="3">
        <v>479</v>
      </c>
      <c r="I556" s="3">
        <v>2730</v>
      </c>
      <c r="J556" s="3">
        <v>41050</v>
      </c>
      <c r="K556" s="3">
        <v>204246</v>
      </c>
      <c r="L556" s="3" t="s">
        <v>25</v>
      </c>
      <c r="M556" s="4">
        <v>2.8308999931455206E-2</v>
      </c>
    </row>
    <row r="557" spans="1:13" x14ac:dyDescent="0.3">
      <c r="A557" s="3" t="s">
        <v>272</v>
      </c>
      <c r="B557" s="3" t="s">
        <v>18</v>
      </c>
      <c r="C557" s="2">
        <v>45523</v>
      </c>
      <c r="D557" s="3" t="s">
        <v>27</v>
      </c>
      <c r="E557" s="3" t="s">
        <v>367</v>
      </c>
      <c r="F557" s="3">
        <v>3605</v>
      </c>
      <c r="G557" s="3">
        <v>206</v>
      </c>
      <c r="H557" s="3">
        <v>921</v>
      </c>
      <c r="I557" s="3">
        <v>852</v>
      </c>
      <c r="J557" s="3">
        <v>11660</v>
      </c>
      <c r="K557" s="3">
        <v>182635</v>
      </c>
      <c r="L557" s="3" t="s">
        <v>29</v>
      </c>
      <c r="M557" s="4">
        <v>2.590960111698196E-2</v>
      </c>
    </row>
    <row r="558" spans="1:13" x14ac:dyDescent="0.3">
      <c r="A558" s="3" t="s">
        <v>272</v>
      </c>
      <c r="B558" s="3" t="s">
        <v>18</v>
      </c>
      <c r="C558" s="2">
        <v>45523</v>
      </c>
      <c r="D558" s="3" t="s">
        <v>27</v>
      </c>
      <c r="E558" s="3" t="s">
        <v>32</v>
      </c>
      <c r="F558" s="3">
        <v>3605</v>
      </c>
      <c r="G558" s="3">
        <v>206</v>
      </c>
      <c r="H558" s="3">
        <v>921</v>
      </c>
      <c r="I558" s="3">
        <v>852</v>
      </c>
      <c r="J558" s="3">
        <v>11660</v>
      </c>
      <c r="K558" s="3">
        <v>182635</v>
      </c>
      <c r="L558" s="3" t="s">
        <v>29</v>
      </c>
      <c r="M558" s="4">
        <v>2.590960111698196E-2</v>
      </c>
    </row>
    <row r="559" spans="1:13" x14ac:dyDescent="0.3">
      <c r="A559" s="3" t="s">
        <v>76</v>
      </c>
      <c r="B559" s="3" t="s">
        <v>13</v>
      </c>
      <c r="C559" s="2">
        <v>45915</v>
      </c>
      <c r="D559" s="3" t="s">
        <v>23</v>
      </c>
      <c r="E559" s="3" t="s">
        <v>355</v>
      </c>
      <c r="F559" s="3">
        <v>5636</v>
      </c>
      <c r="G559" s="3">
        <v>303</v>
      </c>
      <c r="H559" s="3">
        <v>204</v>
      </c>
      <c r="I559" s="3">
        <v>2480</v>
      </c>
      <c r="J559" s="3">
        <v>7377</v>
      </c>
      <c r="K559" s="3">
        <v>241207</v>
      </c>
      <c r="L559" s="3" t="s">
        <v>20</v>
      </c>
      <c r="M559" s="4">
        <v>2.5467751765081443E-2</v>
      </c>
    </row>
    <row r="560" spans="1:13" x14ac:dyDescent="0.3">
      <c r="A560" s="3" t="s">
        <v>76</v>
      </c>
      <c r="B560" s="3" t="s">
        <v>13</v>
      </c>
      <c r="C560" s="2">
        <v>45915</v>
      </c>
      <c r="D560" s="3" t="s">
        <v>23</v>
      </c>
      <c r="E560" s="3" t="s">
        <v>356</v>
      </c>
      <c r="F560" s="3">
        <v>5636</v>
      </c>
      <c r="G560" s="3">
        <v>303</v>
      </c>
      <c r="H560" s="3">
        <v>204</v>
      </c>
      <c r="I560" s="3">
        <v>2480</v>
      </c>
      <c r="J560" s="3">
        <v>7377</v>
      </c>
      <c r="K560" s="3">
        <v>241207</v>
      </c>
      <c r="L560" s="3" t="s">
        <v>20</v>
      </c>
      <c r="M560" s="4">
        <v>2.5467751765081443E-2</v>
      </c>
    </row>
    <row r="561" spans="1:13" x14ac:dyDescent="0.3">
      <c r="A561" s="3" t="s">
        <v>113</v>
      </c>
      <c r="B561" s="3" t="s">
        <v>18</v>
      </c>
      <c r="C561" s="2">
        <v>45460</v>
      </c>
      <c r="D561" s="3" t="s">
        <v>14</v>
      </c>
      <c r="E561" s="3" t="s">
        <v>361</v>
      </c>
      <c r="F561" s="3">
        <v>3252</v>
      </c>
      <c r="G561" s="3">
        <v>1043</v>
      </c>
      <c r="H561" s="3">
        <v>647</v>
      </c>
      <c r="I561" s="3">
        <v>1545</v>
      </c>
      <c r="J561" s="3">
        <v>18859</v>
      </c>
      <c r="K561" s="3">
        <v>222958</v>
      </c>
      <c r="L561" s="3" t="s">
        <v>16</v>
      </c>
      <c r="M561" s="4">
        <v>2.2165609666394567E-2</v>
      </c>
    </row>
    <row r="562" spans="1:13" x14ac:dyDescent="0.3">
      <c r="A562" s="3" t="s">
        <v>113</v>
      </c>
      <c r="B562" s="3" t="s">
        <v>18</v>
      </c>
      <c r="C562" s="2">
        <v>45460</v>
      </c>
      <c r="D562" s="3" t="s">
        <v>14</v>
      </c>
      <c r="E562" s="3" t="s">
        <v>362</v>
      </c>
      <c r="F562" s="3">
        <v>3252</v>
      </c>
      <c r="G562" s="3">
        <v>1043</v>
      </c>
      <c r="H562" s="3">
        <v>647</v>
      </c>
      <c r="I562" s="3">
        <v>1545</v>
      </c>
      <c r="J562" s="3">
        <v>18859</v>
      </c>
      <c r="K562" s="3">
        <v>222958</v>
      </c>
      <c r="L562" s="3" t="s">
        <v>16</v>
      </c>
      <c r="M562" s="4">
        <v>2.2165609666394567E-2</v>
      </c>
    </row>
    <row r="563" spans="1:13" x14ac:dyDescent="0.3">
      <c r="A563" s="3" t="s">
        <v>224</v>
      </c>
      <c r="B563" s="3" t="s">
        <v>13</v>
      </c>
      <c r="C563" s="2">
        <v>45449</v>
      </c>
      <c r="D563" s="3" t="s">
        <v>34</v>
      </c>
      <c r="E563" s="3" t="s">
        <v>368</v>
      </c>
      <c r="F563" s="3">
        <v>3531</v>
      </c>
      <c r="G563" s="3">
        <v>789</v>
      </c>
      <c r="H563" s="3">
        <v>467</v>
      </c>
      <c r="I563" s="3">
        <v>1867</v>
      </c>
      <c r="J563" s="3">
        <v>40816</v>
      </c>
      <c r="K563" s="3">
        <v>236037</v>
      </c>
      <c r="L563" s="3" t="s">
        <v>25</v>
      </c>
      <c r="M563" s="4">
        <v>2.0280718700881641E-2</v>
      </c>
    </row>
    <row r="564" spans="1:13" x14ac:dyDescent="0.3">
      <c r="A564" s="3" t="s">
        <v>224</v>
      </c>
      <c r="B564" s="3" t="s">
        <v>13</v>
      </c>
      <c r="C564" s="2">
        <v>45449</v>
      </c>
      <c r="D564" s="3" t="s">
        <v>34</v>
      </c>
      <c r="E564" s="3" t="s">
        <v>369</v>
      </c>
      <c r="F564" s="3">
        <v>3531</v>
      </c>
      <c r="G564" s="3">
        <v>789</v>
      </c>
      <c r="H564" s="3">
        <v>467</v>
      </c>
      <c r="I564" s="3">
        <v>1867</v>
      </c>
      <c r="J564" s="3">
        <v>40816</v>
      </c>
      <c r="K564" s="3">
        <v>236037</v>
      </c>
      <c r="L564" s="3" t="s">
        <v>25</v>
      </c>
      <c r="M564" s="4">
        <v>2.0280718700881641E-2</v>
      </c>
    </row>
    <row r="565" spans="1:13" x14ac:dyDescent="0.3">
      <c r="A565" s="3" t="s">
        <v>26</v>
      </c>
      <c r="B565" s="3" t="s">
        <v>13</v>
      </c>
      <c r="C565" s="2">
        <v>45516</v>
      </c>
      <c r="D565" s="3" t="s">
        <v>27</v>
      </c>
      <c r="E565" s="3" t="s">
        <v>359</v>
      </c>
      <c r="F565" s="3">
        <v>3581</v>
      </c>
      <c r="G565" s="3">
        <v>517</v>
      </c>
      <c r="H565" s="3">
        <v>880</v>
      </c>
      <c r="I565" s="3">
        <v>1925</v>
      </c>
      <c r="J565" s="3">
        <v>18636</v>
      </c>
      <c r="K565" s="3">
        <v>248611</v>
      </c>
      <c r="L565" s="3" t="s">
        <v>29</v>
      </c>
      <c r="M565" s="4">
        <v>2.0023249172401864E-2</v>
      </c>
    </row>
    <row r="566" spans="1:13" x14ac:dyDescent="0.3">
      <c r="A566" s="3" t="s">
        <v>26</v>
      </c>
      <c r="B566" s="3" t="s">
        <v>13</v>
      </c>
      <c r="C566" s="2">
        <v>45516</v>
      </c>
      <c r="D566" s="3" t="s">
        <v>27</v>
      </c>
      <c r="E566" s="3" t="s">
        <v>360</v>
      </c>
      <c r="F566" s="3">
        <v>3581</v>
      </c>
      <c r="G566" s="3">
        <v>517</v>
      </c>
      <c r="H566" s="3">
        <v>880</v>
      </c>
      <c r="I566" s="3">
        <v>1925</v>
      </c>
      <c r="J566" s="3">
        <v>18636</v>
      </c>
      <c r="K566" s="3">
        <v>248611</v>
      </c>
      <c r="L566" s="3" t="s">
        <v>29</v>
      </c>
      <c r="M566" s="4">
        <v>2.0023249172401864E-2</v>
      </c>
    </row>
    <row r="567" spans="1:13" x14ac:dyDescent="0.3">
      <c r="A567" s="3" t="s">
        <v>203</v>
      </c>
      <c r="B567" s="3" t="s">
        <v>18</v>
      </c>
      <c r="C567" s="2">
        <v>45624</v>
      </c>
      <c r="D567" s="3" t="s">
        <v>34</v>
      </c>
      <c r="E567" s="3" t="s">
        <v>359</v>
      </c>
      <c r="F567" s="3">
        <v>2302</v>
      </c>
      <c r="G567" s="3">
        <v>347</v>
      </c>
      <c r="H567" s="3">
        <v>642</v>
      </c>
      <c r="I567" s="3">
        <v>2175</v>
      </c>
      <c r="J567" s="3">
        <v>56378</v>
      </c>
      <c r="K567" s="3">
        <v>198056</v>
      </c>
      <c r="L567" s="3" t="s">
        <v>45</v>
      </c>
      <c r="M567" s="4">
        <v>1.6616512501514722E-2</v>
      </c>
    </row>
    <row r="568" spans="1:13" x14ac:dyDescent="0.3">
      <c r="A568" s="3" t="s">
        <v>203</v>
      </c>
      <c r="B568" s="3" t="s">
        <v>18</v>
      </c>
      <c r="C568" s="2">
        <v>45624</v>
      </c>
      <c r="D568" s="3" t="s">
        <v>34</v>
      </c>
      <c r="E568" s="3" t="s">
        <v>366</v>
      </c>
      <c r="F568" s="3">
        <v>2302</v>
      </c>
      <c r="G568" s="3">
        <v>347</v>
      </c>
      <c r="H568" s="3">
        <v>642</v>
      </c>
      <c r="I568" s="3">
        <v>2175</v>
      </c>
      <c r="J568" s="3">
        <v>56378</v>
      </c>
      <c r="K568" s="3">
        <v>198056</v>
      </c>
      <c r="L568" s="3" t="s">
        <v>45</v>
      </c>
      <c r="M568" s="4">
        <v>1.6616512501514722E-2</v>
      </c>
    </row>
  </sheetData>
  <pageMargins left="0.7" right="0.7" top="0.75" bottom="0.75" header="0.3" footer="0.3"/>
  <tableParts count="1">
    <tablePart r:id="rId5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ECB51-A421-45C8-A25C-B645EB58B608}">
  <dimension ref="A1:V568"/>
  <sheetViews>
    <sheetView zoomScale="62" zoomScaleNormal="102" workbookViewId="0">
      <selection activeCell="P20" sqref="P20"/>
    </sheetView>
  </sheetViews>
  <sheetFormatPr defaultRowHeight="14.4" x14ac:dyDescent="0.3"/>
  <cols>
    <col min="1" max="1" width="12.6640625" bestFit="1" customWidth="1"/>
    <col min="2" max="2" width="14.77734375" bestFit="1" customWidth="1"/>
    <col min="3" max="3" width="10.5546875" bestFit="1" customWidth="1"/>
    <col min="4" max="4" width="19.5546875" bestFit="1" customWidth="1"/>
    <col min="5" max="5" width="18.109375" bestFit="1" customWidth="1"/>
    <col min="6" max="6" width="11.33203125" bestFit="1" customWidth="1"/>
    <col min="7" max="7" width="13" bestFit="1" customWidth="1"/>
    <col min="8" max="8" width="17.109375" bestFit="1" customWidth="1"/>
    <col min="9" max="9" width="12.21875" bestFit="1" customWidth="1"/>
    <col min="10" max="10" width="12.33203125" bestFit="1" customWidth="1"/>
    <col min="11" max="11" width="18.88671875" bestFit="1" customWidth="1"/>
    <col min="12" max="12" width="26" bestFit="1" customWidth="1"/>
    <col min="13" max="13" width="25.109375" bestFit="1" customWidth="1"/>
    <col min="16" max="16" width="26" bestFit="1" customWidth="1"/>
    <col min="17" max="17" width="17.6640625" bestFit="1" customWidth="1"/>
    <col min="18" max="18" width="11.5546875" bestFit="1" customWidth="1"/>
    <col min="19" max="19" width="12.109375" bestFit="1" customWidth="1"/>
    <col min="20" max="20" width="20.77734375" bestFit="1" customWidth="1"/>
    <col min="21" max="21" width="15.33203125" bestFit="1" customWidth="1"/>
    <col min="22" max="22" width="14.77734375" bestFit="1" customWidth="1"/>
  </cols>
  <sheetData>
    <row r="1" spans="1:22" ht="17.399999999999999" x14ac:dyDescent="0.45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375</v>
      </c>
    </row>
    <row r="2" spans="1:22" x14ac:dyDescent="0.3">
      <c r="A2" s="3" t="s">
        <v>118</v>
      </c>
      <c r="B2" s="3" t="s">
        <v>18</v>
      </c>
      <c r="C2" s="2">
        <v>45497</v>
      </c>
      <c r="D2" s="3" t="s">
        <v>27</v>
      </c>
      <c r="E2" s="3" t="s">
        <v>361</v>
      </c>
      <c r="F2" s="3">
        <v>22914</v>
      </c>
      <c r="G2" s="3">
        <v>954</v>
      </c>
      <c r="H2" s="3">
        <v>584</v>
      </c>
      <c r="I2" s="3">
        <v>1519</v>
      </c>
      <c r="J2" s="3">
        <v>13637</v>
      </c>
      <c r="K2" s="3">
        <v>49847</v>
      </c>
      <c r="L2" s="3" t="s">
        <v>16</v>
      </c>
      <c r="M2" s="4">
        <v>0.49054105563022848</v>
      </c>
    </row>
    <row r="3" spans="1:22" x14ac:dyDescent="0.3">
      <c r="A3" s="3" t="s">
        <v>118</v>
      </c>
      <c r="B3" s="3" t="s">
        <v>18</v>
      </c>
      <c r="C3" s="2">
        <v>45497</v>
      </c>
      <c r="D3" s="3" t="s">
        <v>27</v>
      </c>
      <c r="E3" s="3" t="s">
        <v>362</v>
      </c>
      <c r="F3" s="3">
        <v>22914</v>
      </c>
      <c r="G3" s="3">
        <v>954</v>
      </c>
      <c r="H3" s="3">
        <v>584</v>
      </c>
      <c r="I3" s="3">
        <v>1519</v>
      </c>
      <c r="J3" s="3">
        <v>13637</v>
      </c>
      <c r="K3" s="3">
        <v>49847</v>
      </c>
      <c r="L3" s="3" t="s">
        <v>16</v>
      </c>
      <c r="M3" s="4">
        <v>0.49054105563022848</v>
      </c>
    </row>
    <row r="4" spans="1:22" x14ac:dyDescent="0.3">
      <c r="A4" s="3" t="s">
        <v>237</v>
      </c>
      <c r="B4" s="3" t="s">
        <v>13</v>
      </c>
      <c r="C4" s="2">
        <v>45672</v>
      </c>
      <c r="D4" s="3" t="s">
        <v>23</v>
      </c>
      <c r="E4" s="3" t="s">
        <v>32</v>
      </c>
      <c r="F4" s="3">
        <v>20360</v>
      </c>
      <c r="G4" s="3">
        <v>254</v>
      </c>
      <c r="H4" s="3">
        <v>726</v>
      </c>
      <c r="I4" s="3">
        <v>1995</v>
      </c>
      <c r="J4" s="3">
        <v>14280</v>
      </c>
      <c r="K4" s="3">
        <v>43726</v>
      </c>
      <c r="L4" s="3" t="s">
        <v>29</v>
      </c>
      <c r="M4" s="4">
        <v>0.48803915290673738</v>
      </c>
    </row>
    <row r="5" spans="1:22" x14ac:dyDescent="0.3">
      <c r="A5" s="3" t="s">
        <v>157</v>
      </c>
      <c r="B5" s="3" t="s">
        <v>18</v>
      </c>
      <c r="C5" s="2">
        <v>45502</v>
      </c>
      <c r="D5" s="3" t="s">
        <v>27</v>
      </c>
      <c r="E5" s="3" t="s">
        <v>353</v>
      </c>
      <c r="F5" s="3">
        <v>19144</v>
      </c>
      <c r="G5" s="3">
        <v>1182</v>
      </c>
      <c r="H5" s="3">
        <v>860</v>
      </c>
      <c r="I5" s="3">
        <v>1398</v>
      </c>
      <c r="J5" s="3">
        <v>4185</v>
      </c>
      <c r="K5" s="3">
        <v>46570</v>
      </c>
      <c r="L5" s="3" t="s">
        <v>16</v>
      </c>
      <c r="M5" s="4">
        <v>0.454928065278076</v>
      </c>
    </row>
    <row r="6" spans="1:22" x14ac:dyDescent="0.3">
      <c r="A6" s="3" t="s">
        <v>157</v>
      </c>
      <c r="B6" s="3" t="s">
        <v>18</v>
      </c>
      <c r="C6" s="2">
        <v>45502</v>
      </c>
      <c r="D6" s="3" t="s">
        <v>27</v>
      </c>
      <c r="E6" s="3" t="s">
        <v>354</v>
      </c>
      <c r="F6" s="3">
        <v>19144</v>
      </c>
      <c r="G6" s="3">
        <v>1182</v>
      </c>
      <c r="H6" s="3">
        <v>860</v>
      </c>
      <c r="I6" s="3">
        <v>1398</v>
      </c>
      <c r="J6" s="3">
        <v>4185</v>
      </c>
      <c r="K6" s="3">
        <v>46570</v>
      </c>
      <c r="L6" s="3" t="s">
        <v>16</v>
      </c>
      <c r="M6" s="4">
        <v>0.454928065278076</v>
      </c>
      <c r="P6" s="34" t="s">
        <v>442</v>
      </c>
    </row>
    <row r="7" spans="1:22" x14ac:dyDescent="0.3">
      <c r="A7" s="3" t="s">
        <v>163</v>
      </c>
      <c r="B7" s="3" t="s">
        <v>40</v>
      </c>
      <c r="C7" s="2">
        <v>45684</v>
      </c>
      <c r="D7" s="3" t="s">
        <v>14</v>
      </c>
      <c r="E7" s="3" t="s">
        <v>359</v>
      </c>
      <c r="F7" s="3">
        <v>24415</v>
      </c>
      <c r="G7" s="3">
        <v>860</v>
      </c>
      <c r="H7" s="3">
        <v>931</v>
      </c>
      <c r="I7" s="3">
        <v>320</v>
      </c>
      <c r="J7" s="3">
        <v>65049</v>
      </c>
      <c r="K7" s="3">
        <v>62911</v>
      </c>
      <c r="L7" s="3" t="s">
        <v>16</v>
      </c>
      <c r="M7" s="4">
        <v>0.41655672298962027</v>
      </c>
    </row>
    <row r="8" spans="1:22" x14ac:dyDescent="0.3">
      <c r="A8" s="3" t="s">
        <v>163</v>
      </c>
      <c r="B8" s="3" t="s">
        <v>40</v>
      </c>
      <c r="C8" s="2">
        <v>45684</v>
      </c>
      <c r="D8" s="3" t="s">
        <v>14</v>
      </c>
      <c r="E8" s="3" t="s">
        <v>366</v>
      </c>
      <c r="F8" s="3">
        <v>24415</v>
      </c>
      <c r="G8" s="3">
        <v>860</v>
      </c>
      <c r="H8" s="3">
        <v>931</v>
      </c>
      <c r="I8" s="3">
        <v>320</v>
      </c>
      <c r="J8" s="3">
        <v>65049</v>
      </c>
      <c r="K8" s="3">
        <v>62911</v>
      </c>
      <c r="L8" s="3" t="s">
        <v>16</v>
      </c>
      <c r="M8" s="4">
        <v>0.41655672298962027</v>
      </c>
    </row>
    <row r="9" spans="1:22" x14ac:dyDescent="0.3">
      <c r="A9" s="3" t="s">
        <v>44</v>
      </c>
      <c r="B9" s="3" t="s">
        <v>13</v>
      </c>
      <c r="C9" s="2">
        <v>45614</v>
      </c>
      <c r="D9" s="3" t="s">
        <v>34</v>
      </c>
      <c r="E9" s="3" t="s">
        <v>361</v>
      </c>
      <c r="F9" s="3">
        <v>21255</v>
      </c>
      <c r="G9" s="3">
        <v>1452</v>
      </c>
      <c r="H9" s="3">
        <v>625</v>
      </c>
      <c r="I9" s="3">
        <v>1624</v>
      </c>
      <c r="J9" s="3">
        <v>21282</v>
      </c>
      <c r="K9" s="3">
        <v>57778</v>
      </c>
      <c r="L9" s="3" t="s">
        <v>45</v>
      </c>
      <c r="M9" s="4">
        <v>0.40382152376337016</v>
      </c>
      <c r="P9" s="26" t="s">
        <v>383</v>
      </c>
      <c r="Q9" t="s">
        <v>438</v>
      </c>
      <c r="R9" t="s">
        <v>385</v>
      </c>
      <c r="S9" t="s">
        <v>439</v>
      </c>
      <c r="T9" t="s">
        <v>440</v>
      </c>
      <c r="U9" t="s">
        <v>388</v>
      </c>
      <c r="V9" t="s">
        <v>441</v>
      </c>
    </row>
    <row r="10" spans="1:22" x14ac:dyDescent="0.3">
      <c r="A10" s="3" t="s">
        <v>44</v>
      </c>
      <c r="B10" s="3" t="s">
        <v>13</v>
      </c>
      <c r="C10" s="2">
        <v>45614</v>
      </c>
      <c r="D10" s="3" t="s">
        <v>34</v>
      </c>
      <c r="E10" s="3" t="s">
        <v>362</v>
      </c>
      <c r="F10" s="3">
        <v>21255</v>
      </c>
      <c r="G10" s="3">
        <v>1452</v>
      </c>
      <c r="H10" s="3">
        <v>625</v>
      </c>
      <c r="I10" s="3">
        <v>1624</v>
      </c>
      <c r="J10" s="3">
        <v>21282</v>
      </c>
      <c r="K10" s="3">
        <v>57778</v>
      </c>
      <c r="L10" s="3" t="s">
        <v>45</v>
      </c>
      <c r="M10" s="4">
        <v>0.40382152376337016</v>
      </c>
      <c r="P10" s="27" t="s">
        <v>20</v>
      </c>
      <c r="Q10">
        <v>18885503</v>
      </c>
      <c r="R10">
        <v>1766632</v>
      </c>
      <c r="S10">
        <v>214947</v>
      </c>
      <c r="T10">
        <v>148704.74803149607</v>
      </c>
      <c r="U10">
        <v>1692.4960629921259</v>
      </c>
      <c r="V10">
        <v>13910.488188976378</v>
      </c>
    </row>
    <row r="11" spans="1:22" x14ac:dyDescent="0.3">
      <c r="A11" s="3" t="s">
        <v>159</v>
      </c>
      <c r="B11" s="3" t="s">
        <v>40</v>
      </c>
      <c r="C11" s="2">
        <v>45457</v>
      </c>
      <c r="D11" s="3" t="s">
        <v>27</v>
      </c>
      <c r="E11" s="3" t="s">
        <v>359</v>
      </c>
      <c r="F11" s="3">
        <v>17183</v>
      </c>
      <c r="G11" s="3">
        <v>1224</v>
      </c>
      <c r="H11" s="3">
        <v>943</v>
      </c>
      <c r="I11" s="3">
        <v>2010</v>
      </c>
      <c r="J11" s="3">
        <v>21481</v>
      </c>
      <c r="K11" s="3">
        <v>49110</v>
      </c>
      <c r="L11" s="3" t="s">
        <v>25</v>
      </c>
      <c r="M11" s="4">
        <v>0.39401343921808185</v>
      </c>
      <c r="P11" s="27" t="s">
        <v>16</v>
      </c>
      <c r="Q11">
        <v>18065641</v>
      </c>
      <c r="R11">
        <v>1736534</v>
      </c>
      <c r="S11">
        <v>204790</v>
      </c>
      <c r="T11">
        <v>135831.8872180451</v>
      </c>
      <c r="U11">
        <v>1539.7744360902257</v>
      </c>
      <c r="V11">
        <v>13056.646616541353</v>
      </c>
    </row>
    <row r="12" spans="1:22" x14ac:dyDescent="0.3">
      <c r="A12" s="3" t="s">
        <v>159</v>
      </c>
      <c r="B12" s="3" t="s">
        <v>40</v>
      </c>
      <c r="C12" s="2">
        <v>45457</v>
      </c>
      <c r="D12" s="3" t="s">
        <v>27</v>
      </c>
      <c r="E12" s="3" t="s">
        <v>366</v>
      </c>
      <c r="F12" s="3">
        <v>17183</v>
      </c>
      <c r="G12" s="3">
        <v>1224</v>
      </c>
      <c r="H12" s="3">
        <v>943</v>
      </c>
      <c r="I12" s="3">
        <v>2010</v>
      </c>
      <c r="J12" s="3">
        <v>21481</v>
      </c>
      <c r="K12" s="3">
        <v>49110</v>
      </c>
      <c r="L12" s="3" t="s">
        <v>25</v>
      </c>
      <c r="M12" s="4">
        <v>0.39401343921808185</v>
      </c>
      <c r="P12" s="27" t="s">
        <v>29</v>
      </c>
      <c r="Q12">
        <v>17167722</v>
      </c>
      <c r="R12">
        <v>1599185</v>
      </c>
      <c r="S12">
        <v>182775</v>
      </c>
      <c r="T12">
        <v>153283.23214285713</v>
      </c>
      <c r="U12">
        <v>1631.9196428571429</v>
      </c>
      <c r="V12">
        <v>14278.4375</v>
      </c>
    </row>
    <row r="13" spans="1:22" x14ac:dyDescent="0.3">
      <c r="A13" s="3" t="s">
        <v>323</v>
      </c>
      <c r="B13" s="3" t="s">
        <v>22</v>
      </c>
      <c r="C13" s="2">
        <v>45519</v>
      </c>
      <c r="D13" s="3" t="s">
        <v>27</v>
      </c>
      <c r="E13" s="3" t="s">
        <v>359</v>
      </c>
      <c r="F13" s="3">
        <v>14977</v>
      </c>
      <c r="G13" s="3">
        <v>274</v>
      </c>
      <c r="H13" s="3">
        <v>798</v>
      </c>
      <c r="I13" s="3">
        <v>458</v>
      </c>
      <c r="J13" s="3">
        <v>6636</v>
      </c>
      <c r="K13" s="3">
        <v>43654</v>
      </c>
      <c r="L13" s="3" t="s">
        <v>16</v>
      </c>
      <c r="M13" s="4">
        <v>0.36764099509781462</v>
      </c>
      <c r="P13" s="27" t="s">
        <v>45</v>
      </c>
      <c r="Q13">
        <v>12720433</v>
      </c>
      <c r="R13">
        <v>1103676</v>
      </c>
      <c r="S13">
        <v>141903</v>
      </c>
      <c r="T13">
        <v>146211.8735632184</v>
      </c>
      <c r="U13">
        <v>1631.0689655172414</v>
      </c>
      <c r="V13">
        <v>12685.931034482759</v>
      </c>
    </row>
    <row r="14" spans="1:22" x14ac:dyDescent="0.3">
      <c r="A14" s="3" t="s">
        <v>323</v>
      </c>
      <c r="B14" s="3" t="s">
        <v>22</v>
      </c>
      <c r="C14" s="2">
        <v>45519</v>
      </c>
      <c r="D14" s="3" t="s">
        <v>27</v>
      </c>
      <c r="E14" s="3" t="s">
        <v>360</v>
      </c>
      <c r="F14" s="3">
        <v>14977</v>
      </c>
      <c r="G14" s="3">
        <v>274</v>
      </c>
      <c r="H14" s="3">
        <v>798</v>
      </c>
      <c r="I14" s="3">
        <v>458</v>
      </c>
      <c r="J14" s="3">
        <v>6636</v>
      </c>
      <c r="K14" s="3">
        <v>43654</v>
      </c>
      <c r="L14" s="3" t="s">
        <v>16</v>
      </c>
      <c r="M14" s="4">
        <v>0.36764099509781462</v>
      </c>
      <c r="P14" s="27" t="s">
        <v>25</v>
      </c>
      <c r="Q14">
        <v>17204288</v>
      </c>
      <c r="R14">
        <v>1481603</v>
      </c>
      <c r="S14">
        <v>172188</v>
      </c>
      <c r="T14">
        <v>159298.96296296295</v>
      </c>
      <c r="U14">
        <v>1594.3333333333333</v>
      </c>
      <c r="V14">
        <v>13718.546296296296</v>
      </c>
    </row>
    <row r="15" spans="1:22" x14ac:dyDescent="0.3">
      <c r="A15" s="3" t="s">
        <v>262</v>
      </c>
      <c r="B15" s="3" t="s">
        <v>40</v>
      </c>
      <c r="C15" s="2">
        <v>45908</v>
      </c>
      <c r="D15" s="3" t="s">
        <v>23</v>
      </c>
      <c r="E15" s="3" t="s">
        <v>363</v>
      </c>
      <c r="F15" s="3">
        <v>23785</v>
      </c>
      <c r="G15" s="3">
        <v>1013</v>
      </c>
      <c r="H15" s="3">
        <v>468</v>
      </c>
      <c r="I15" s="3">
        <v>1628</v>
      </c>
      <c r="J15" s="3">
        <v>8272</v>
      </c>
      <c r="K15" s="3">
        <v>71348</v>
      </c>
      <c r="L15" s="3" t="s">
        <v>20</v>
      </c>
      <c r="M15" s="4">
        <v>0.35412345125301342</v>
      </c>
      <c r="P15" s="27" t="s">
        <v>384</v>
      </c>
      <c r="Q15">
        <v>84043587</v>
      </c>
      <c r="R15">
        <v>7687630</v>
      </c>
      <c r="S15">
        <v>916603</v>
      </c>
      <c r="T15">
        <v>148225.02116402116</v>
      </c>
      <c r="U15">
        <v>1616.5837742504409</v>
      </c>
      <c r="V15">
        <v>13558.430335097002</v>
      </c>
    </row>
    <row r="16" spans="1:22" x14ac:dyDescent="0.3">
      <c r="A16" s="3" t="s">
        <v>262</v>
      </c>
      <c r="B16" s="3" t="s">
        <v>40</v>
      </c>
      <c r="C16" s="2">
        <v>45908</v>
      </c>
      <c r="D16" s="3" t="s">
        <v>23</v>
      </c>
      <c r="E16" s="3" t="s">
        <v>364</v>
      </c>
      <c r="F16" s="3">
        <v>23785</v>
      </c>
      <c r="G16" s="3">
        <v>1013</v>
      </c>
      <c r="H16" s="3">
        <v>468</v>
      </c>
      <c r="I16" s="3">
        <v>1628</v>
      </c>
      <c r="J16" s="3">
        <v>8272</v>
      </c>
      <c r="K16" s="3">
        <v>71348</v>
      </c>
      <c r="L16" s="3" t="s">
        <v>20</v>
      </c>
      <c r="M16" s="4">
        <v>0.35412345125301342</v>
      </c>
    </row>
    <row r="17" spans="1:16" x14ac:dyDescent="0.3">
      <c r="A17" s="3" t="s">
        <v>267</v>
      </c>
      <c r="B17" s="3" t="s">
        <v>40</v>
      </c>
      <c r="C17" s="2">
        <v>45909</v>
      </c>
      <c r="D17" s="3" t="s">
        <v>14</v>
      </c>
      <c r="E17" s="3" t="s">
        <v>361</v>
      </c>
      <c r="F17" s="3">
        <v>19260</v>
      </c>
      <c r="G17" s="3">
        <v>668</v>
      </c>
      <c r="H17" s="3">
        <v>994</v>
      </c>
      <c r="I17" s="3">
        <v>934</v>
      </c>
      <c r="J17" s="3">
        <v>20509</v>
      </c>
      <c r="K17" s="3">
        <v>61636</v>
      </c>
      <c r="L17" s="3" t="s">
        <v>20</v>
      </c>
      <c r="M17" s="4">
        <v>0.33944448049841003</v>
      </c>
    </row>
    <row r="18" spans="1:16" x14ac:dyDescent="0.3">
      <c r="A18" s="3" t="s">
        <v>267</v>
      </c>
      <c r="B18" s="3" t="s">
        <v>40</v>
      </c>
      <c r="C18" s="2">
        <v>45909</v>
      </c>
      <c r="D18" s="3" t="s">
        <v>14</v>
      </c>
      <c r="E18" s="3" t="s">
        <v>362</v>
      </c>
      <c r="F18" s="3">
        <v>19260</v>
      </c>
      <c r="G18" s="3">
        <v>668</v>
      </c>
      <c r="H18" s="3">
        <v>994</v>
      </c>
      <c r="I18" s="3">
        <v>934</v>
      </c>
      <c r="J18" s="3">
        <v>20509</v>
      </c>
      <c r="K18" s="3">
        <v>61636</v>
      </c>
      <c r="L18" s="3" t="s">
        <v>20</v>
      </c>
      <c r="M18" s="4">
        <v>0.33944448049841003</v>
      </c>
      <c r="P18" s="78" t="s">
        <v>475</v>
      </c>
    </row>
    <row r="19" spans="1:16" x14ac:dyDescent="0.3">
      <c r="A19" s="3" t="s">
        <v>221</v>
      </c>
      <c r="B19" s="3" t="s">
        <v>22</v>
      </c>
      <c r="C19" s="2">
        <v>45668</v>
      </c>
      <c r="D19" s="3" t="s">
        <v>14</v>
      </c>
      <c r="E19" s="3" t="s">
        <v>355</v>
      </c>
      <c r="F19" s="3">
        <v>21181</v>
      </c>
      <c r="G19" s="3">
        <v>1242</v>
      </c>
      <c r="H19" s="3">
        <v>963</v>
      </c>
      <c r="I19" s="3">
        <v>1689</v>
      </c>
      <c r="J19" s="3">
        <v>49329</v>
      </c>
      <c r="K19" s="3">
        <v>69165</v>
      </c>
      <c r="L19" s="3" t="s">
        <v>16</v>
      </c>
      <c r="M19" s="4">
        <v>0.33811899081905589</v>
      </c>
    </row>
    <row r="20" spans="1:16" x14ac:dyDescent="0.3">
      <c r="A20" s="3" t="s">
        <v>221</v>
      </c>
      <c r="B20" s="3" t="s">
        <v>22</v>
      </c>
      <c r="C20" s="2">
        <v>45668</v>
      </c>
      <c r="D20" s="3" t="s">
        <v>14</v>
      </c>
      <c r="E20" s="3" t="s">
        <v>356</v>
      </c>
      <c r="F20" s="3">
        <v>21181</v>
      </c>
      <c r="G20" s="3">
        <v>1242</v>
      </c>
      <c r="H20" s="3">
        <v>963</v>
      </c>
      <c r="I20" s="3">
        <v>1689</v>
      </c>
      <c r="J20" s="3">
        <v>49329</v>
      </c>
      <c r="K20" s="3">
        <v>69165</v>
      </c>
      <c r="L20" s="3" t="s">
        <v>16</v>
      </c>
      <c r="M20" s="4">
        <v>0.33811899081905589</v>
      </c>
      <c r="P20" t="s">
        <v>476</v>
      </c>
    </row>
    <row r="21" spans="1:16" x14ac:dyDescent="0.3">
      <c r="A21" s="3" t="s">
        <v>142</v>
      </c>
      <c r="B21" s="3" t="s">
        <v>40</v>
      </c>
      <c r="C21" s="2">
        <v>45692</v>
      </c>
      <c r="D21" s="3" t="s">
        <v>34</v>
      </c>
      <c r="E21" s="3" t="s">
        <v>363</v>
      </c>
      <c r="F21" s="3">
        <v>23833</v>
      </c>
      <c r="G21" s="3">
        <v>555</v>
      </c>
      <c r="H21" s="3">
        <v>523</v>
      </c>
      <c r="I21" s="3">
        <v>1330</v>
      </c>
      <c r="J21" s="3">
        <v>69141</v>
      </c>
      <c r="K21" s="3">
        <v>73997</v>
      </c>
      <c r="L21" s="3" t="s">
        <v>29</v>
      </c>
      <c r="M21" s="4">
        <v>0.33664878305877266</v>
      </c>
    </row>
    <row r="22" spans="1:16" x14ac:dyDescent="0.3">
      <c r="A22" s="3" t="s">
        <v>142</v>
      </c>
      <c r="B22" s="3" t="s">
        <v>40</v>
      </c>
      <c r="C22" s="2">
        <v>45692</v>
      </c>
      <c r="D22" s="3" t="s">
        <v>34</v>
      </c>
      <c r="E22" s="3" t="s">
        <v>364</v>
      </c>
      <c r="F22" s="3">
        <v>23833</v>
      </c>
      <c r="G22" s="3">
        <v>555</v>
      </c>
      <c r="H22" s="3">
        <v>523</v>
      </c>
      <c r="I22" s="3">
        <v>1330</v>
      </c>
      <c r="J22" s="3">
        <v>69141</v>
      </c>
      <c r="K22" s="3">
        <v>73997</v>
      </c>
      <c r="L22" s="3" t="s">
        <v>29</v>
      </c>
      <c r="M22" s="4">
        <v>0.33664878305877266</v>
      </c>
    </row>
    <row r="23" spans="1:16" x14ac:dyDescent="0.3">
      <c r="A23" s="3" t="s">
        <v>210</v>
      </c>
      <c r="B23" s="3" t="s">
        <v>18</v>
      </c>
      <c r="C23" s="2">
        <v>45465</v>
      </c>
      <c r="D23" s="3" t="s">
        <v>34</v>
      </c>
      <c r="E23" s="3" t="s">
        <v>353</v>
      </c>
      <c r="F23" s="3">
        <v>13479</v>
      </c>
      <c r="G23" s="3">
        <v>1189</v>
      </c>
      <c r="H23" s="3">
        <v>695</v>
      </c>
      <c r="I23" s="3">
        <v>416</v>
      </c>
      <c r="J23" s="3">
        <v>30229</v>
      </c>
      <c r="K23" s="3">
        <v>45704</v>
      </c>
      <c r="L23" s="3" t="s">
        <v>16</v>
      </c>
      <c r="M23" s="4">
        <v>0.33614125678277612</v>
      </c>
    </row>
    <row r="24" spans="1:16" x14ac:dyDescent="0.3">
      <c r="A24" s="3" t="s">
        <v>210</v>
      </c>
      <c r="B24" s="3" t="s">
        <v>18</v>
      </c>
      <c r="C24" s="2">
        <v>45465</v>
      </c>
      <c r="D24" s="3" t="s">
        <v>34</v>
      </c>
      <c r="E24" s="3" t="s">
        <v>354</v>
      </c>
      <c r="F24" s="3">
        <v>13479</v>
      </c>
      <c r="G24" s="3">
        <v>1189</v>
      </c>
      <c r="H24" s="3">
        <v>695</v>
      </c>
      <c r="I24" s="3">
        <v>416</v>
      </c>
      <c r="J24" s="3">
        <v>30229</v>
      </c>
      <c r="K24" s="3">
        <v>45704</v>
      </c>
      <c r="L24" s="3" t="s">
        <v>16</v>
      </c>
      <c r="M24" s="4">
        <v>0.33614125678277612</v>
      </c>
    </row>
    <row r="25" spans="1:16" x14ac:dyDescent="0.3">
      <c r="A25" s="3" t="s">
        <v>290</v>
      </c>
      <c r="B25" s="3" t="s">
        <v>22</v>
      </c>
      <c r="C25" s="2">
        <v>45671</v>
      </c>
      <c r="D25" s="3" t="s">
        <v>34</v>
      </c>
      <c r="E25" s="3" t="s">
        <v>359</v>
      </c>
      <c r="F25" s="3">
        <v>24350</v>
      </c>
      <c r="G25" s="3">
        <v>460</v>
      </c>
      <c r="H25" s="3">
        <v>666</v>
      </c>
      <c r="I25" s="3">
        <v>814</v>
      </c>
      <c r="J25" s="3">
        <v>21120</v>
      </c>
      <c r="K25" s="3">
        <v>76914</v>
      </c>
      <c r="L25" s="3" t="s">
        <v>16</v>
      </c>
      <c r="M25" s="4">
        <v>0.33122708479600593</v>
      </c>
    </row>
    <row r="26" spans="1:16" x14ac:dyDescent="0.3">
      <c r="A26" s="3" t="s">
        <v>290</v>
      </c>
      <c r="B26" s="3" t="s">
        <v>22</v>
      </c>
      <c r="C26" s="2">
        <v>45671</v>
      </c>
      <c r="D26" s="3" t="s">
        <v>34</v>
      </c>
      <c r="E26" s="3" t="s">
        <v>366</v>
      </c>
      <c r="F26" s="3">
        <v>24350</v>
      </c>
      <c r="G26" s="3">
        <v>460</v>
      </c>
      <c r="H26" s="3">
        <v>666</v>
      </c>
      <c r="I26" s="3">
        <v>814</v>
      </c>
      <c r="J26" s="3">
        <v>21120</v>
      </c>
      <c r="K26" s="3">
        <v>76914</v>
      </c>
      <c r="L26" s="3" t="s">
        <v>16</v>
      </c>
      <c r="M26" s="4">
        <v>0.33122708479600593</v>
      </c>
    </row>
    <row r="27" spans="1:16" x14ac:dyDescent="0.3">
      <c r="A27" s="3" t="s">
        <v>259</v>
      </c>
      <c r="B27" s="3" t="s">
        <v>40</v>
      </c>
      <c r="C27" s="2">
        <v>45608</v>
      </c>
      <c r="D27" s="3" t="s">
        <v>27</v>
      </c>
      <c r="E27" s="3" t="s">
        <v>357</v>
      </c>
      <c r="F27" s="3">
        <v>17913</v>
      </c>
      <c r="G27" s="3">
        <v>1311</v>
      </c>
      <c r="H27" s="3">
        <v>859</v>
      </c>
      <c r="I27" s="3">
        <v>405</v>
      </c>
      <c r="J27" s="3">
        <v>59842</v>
      </c>
      <c r="K27" s="3">
        <v>62612</v>
      </c>
      <c r="L27" s="3" t="s">
        <v>25</v>
      </c>
      <c r="M27" s="4">
        <v>0.32075321024723696</v>
      </c>
    </row>
    <row r="28" spans="1:16" x14ac:dyDescent="0.3">
      <c r="A28" s="3" t="s">
        <v>259</v>
      </c>
      <c r="B28" s="3" t="s">
        <v>40</v>
      </c>
      <c r="C28" s="2">
        <v>45608</v>
      </c>
      <c r="D28" s="3" t="s">
        <v>27</v>
      </c>
      <c r="E28" s="3" t="s">
        <v>358</v>
      </c>
      <c r="F28" s="3">
        <v>17913</v>
      </c>
      <c r="G28" s="3">
        <v>1311</v>
      </c>
      <c r="H28" s="3">
        <v>859</v>
      </c>
      <c r="I28" s="3">
        <v>405</v>
      </c>
      <c r="J28" s="3">
        <v>59842</v>
      </c>
      <c r="K28" s="3">
        <v>62612</v>
      </c>
      <c r="L28" s="3" t="s">
        <v>25</v>
      </c>
      <c r="M28" s="4">
        <v>0.32075321024723696</v>
      </c>
    </row>
    <row r="29" spans="1:16" x14ac:dyDescent="0.3">
      <c r="A29" s="3" t="s">
        <v>200</v>
      </c>
      <c r="B29" s="3" t="s">
        <v>18</v>
      </c>
      <c r="C29" s="2">
        <v>45715</v>
      </c>
      <c r="D29" s="3" t="s">
        <v>14</v>
      </c>
      <c r="E29" s="3" t="s">
        <v>355</v>
      </c>
      <c r="F29" s="3">
        <v>16178</v>
      </c>
      <c r="G29" s="3">
        <v>1048</v>
      </c>
      <c r="H29" s="3">
        <v>871</v>
      </c>
      <c r="I29" s="3">
        <v>2553</v>
      </c>
      <c r="J29" s="3">
        <v>39025</v>
      </c>
      <c r="K29" s="3">
        <v>59508</v>
      </c>
      <c r="L29" s="3" t="s">
        <v>16</v>
      </c>
      <c r="M29" s="4">
        <v>0.30411037171472743</v>
      </c>
    </row>
    <row r="30" spans="1:16" x14ac:dyDescent="0.3">
      <c r="A30" s="3" t="s">
        <v>200</v>
      </c>
      <c r="B30" s="3" t="s">
        <v>18</v>
      </c>
      <c r="C30" s="2">
        <v>45715</v>
      </c>
      <c r="D30" s="3" t="s">
        <v>14</v>
      </c>
      <c r="E30" s="3" t="s">
        <v>356</v>
      </c>
      <c r="F30" s="3">
        <v>16178</v>
      </c>
      <c r="G30" s="3">
        <v>1048</v>
      </c>
      <c r="H30" s="3">
        <v>871</v>
      </c>
      <c r="I30" s="3">
        <v>2553</v>
      </c>
      <c r="J30" s="3">
        <v>39025</v>
      </c>
      <c r="K30" s="3">
        <v>59508</v>
      </c>
      <c r="L30" s="3" t="s">
        <v>16</v>
      </c>
      <c r="M30" s="4">
        <v>0.30411037171472743</v>
      </c>
    </row>
    <row r="31" spans="1:16" x14ac:dyDescent="0.3">
      <c r="A31" s="3" t="s">
        <v>187</v>
      </c>
      <c r="B31" s="3" t="s">
        <v>13</v>
      </c>
      <c r="C31" s="2">
        <v>45499</v>
      </c>
      <c r="D31" s="3" t="s">
        <v>27</v>
      </c>
      <c r="E31" s="3" t="s">
        <v>64</v>
      </c>
      <c r="F31" s="3">
        <v>18282</v>
      </c>
      <c r="G31" s="3">
        <v>224</v>
      </c>
      <c r="H31" s="3">
        <v>962</v>
      </c>
      <c r="I31" s="3">
        <v>890</v>
      </c>
      <c r="J31" s="3">
        <v>35105</v>
      </c>
      <c r="K31" s="3">
        <v>64089</v>
      </c>
      <c r="L31" s="3" t="s">
        <v>29</v>
      </c>
      <c r="M31" s="4">
        <v>0.30376507669022768</v>
      </c>
    </row>
    <row r="32" spans="1:16" x14ac:dyDescent="0.3">
      <c r="A32" s="3" t="s">
        <v>176</v>
      </c>
      <c r="B32" s="3" t="s">
        <v>22</v>
      </c>
      <c r="C32" s="2">
        <v>45488</v>
      </c>
      <c r="D32" s="3" t="s">
        <v>23</v>
      </c>
      <c r="E32" s="3" t="s">
        <v>361</v>
      </c>
      <c r="F32" s="3">
        <v>14891</v>
      </c>
      <c r="G32" s="3">
        <v>674</v>
      </c>
      <c r="H32" s="3">
        <v>521</v>
      </c>
      <c r="I32" s="3">
        <v>1091</v>
      </c>
      <c r="J32" s="3">
        <v>18101</v>
      </c>
      <c r="K32" s="3">
        <v>53669</v>
      </c>
      <c r="L32" s="3" t="s">
        <v>16</v>
      </c>
      <c r="M32" s="4">
        <v>0.29972609886526674</v>
      </c>
    </row>
    <row r="33" spans="1:13" x14ac:dyDescent="0.3">
      <c r="A33" s="3" t="s">
        <v>176</v>
      </c>
      <c r="B33" s="3" t="s">
        <v>22</v>
      </c>
      <c r="C33" s="2">
        <v>45488</v>
      </c>
      <c r="D33" s="3" t="s">
        <v>23</v>
      </c>
      <c r="E33" s="3" t="s">
        <v>362</v>
      </c>
      <c r="F33" s="3">
        <v>14891</v>
      </c>
      <c r="G33" s="3">
        <v>674</v>
      </c>
      <c r="H33" s="3">
        <v>521</v>
      </c>
      <c r="I33" s="3">
        <v>1091</v>
      </c>
      <c r="J33" s="3">
        <v>18101</v>
      </c>
      <c r="K33" s="3">
        <v>53669</v>
      </c>
      <c r="L33" s="3" t="s">
        <v>16</v>
      </c>
      <c r="M33" s="4">
        <v>0.29972609886526674</v>
      </c>
    </row>
    <row r="34" spans="1:13" x14ac:dyDescent="0.3">
      <c r="A34" s="3" t="s">
        <v>119</v>
      </c>
      <c r="B34" s="3" t="s">
        <v>22</v>
      </c>
      <c r="C34" s="2">
        <v>45580</v>
      </c>
      <c r="D34" s="3" t="s">
        <v>34</v>
      </c>
      <c r="E34" s="3" t="s">
        <v>32</v>
      </c>
      <c r="F34" s="3">
        <v>17781</v>
      </c>
      <c r="G34" s="3">
        <v>993</v>
      </c>
      <c r="H34" s="3">
        <v>627</v>
      </c>
      <c r="I34" s="3">
        <v>2187</v>
      </c>
      <c r="J34" s="3">
        <v>9609</v>
      </c>
      <c r="K34" s="3">
        <v>66155</v>
      </c>
      <c r="L34" s="3" t="s">
        <v>29</v>
      </c>
      <c r="M34" s="4">
        <v>0.29326581513113142</v>
      </c>
    </row>
    <row r="35" spans="1:13" x14ac:dyDescent="0.3">
      <c r="A35" s="3" t="s">
        <v>232</v>
      </c>
      <c r="B35" s="3" t="s">
        <v>40</v>
      </c>
      <c r="C35" s="2">
        <v>45918</v>
      </c>
      <c r="D35" s="3" t="s">
        <v>23</v>
      </c>
      <c r="E35" s="3" t="s">
        <v>64</v>
      </c>
      <c r="F35" s="3">
        <v>10152</v>
      </c>
      <c r="G35" s="3">
        <v>1445</v>
      </c>
      <c r="H35" s="3">
        <v>526</v>
      </c>
      <c r="I35" s="3">
        <v>513</v>
      </c>
      <c r="J35" s="3">
        <v>18959</v>
      </c>
      <c r="K35" s="3">
        <v>43712</v>
      </c>
      <c r="L35" s="3" t="s">
        <v>20</v>
      </c>
      <c r="M35" s="4">
        <v>0.27733803074670571</v>
      </c>
    </row>
    <row r="36" spans="1:13" x14ac:dyDescent="0.3">
      <c r="A36" s="3" t="s">
        <v>172</v>
      </c>
      <c r="B36" s="3" t="s">
        <v>22</v>
      </c>
      <c r="C36" s="2">
        <v>45932</v>
      </c>
      <c r="D36" s="3" t="s">
        <v>34</v>
      </c>
      <c r="E36" s="3" t="s">
        <v>357</v>
      </c>
      <c r="F36" s="3">
        <v>12161</v>
      </c>
      <c r="G36" s="3">
        <v>736</v>
      </c>
      <c r="H36" s="3">
        <v>876</v>
      </c>
      <c r="I36" s="3">
        <v>1233</v>
      </c>
      <c r="J36" s="3">
        <v>21337</v>
      </c>
      <c r="K36" s="3">
        <v>50225</v>
      </c>
      <c r="L36" s="3" t="s">
        <v>20</v>
      </c>
      <c r="M36" s="4">
        <v>0.27422598307615731</v>
      </c>
    </row>
    <row r="37" spans="1:13" x14ac:dyDescent="0.3">
      <c r="A37" s="3" t="s">
        <v>172</v>
      </c>
      <c r="B37" s="3" t="s">
        <v>22</v>
      </c>
      <c r="C37" s="2">
        <v>45932</v>
      </c>
      <c r="D37" s="3" t="s">
        <v>34</v>
      </c>
      <c r="E37" s="3" t="s">
        <v>358</v>
      </c>
      <c r="F37" s="3">
        <v>12161</v>
      </c>
      <c r="G37" s="3">
        <v>736</v>
      </c>
      <c r="H37" s="3">
        <v>876</v>
      </c>
      <c r="I37" s="3">
        <v>1233</v>
      </c>
      <c r="J37" s="3">
        <v>21337</v>
      </c>
      <c r="K37" s="3">
        <v>50225</v>
      </c>
      <c r="L37" s="3" t="s">
        <v>20</v>
      </c>
      <c r="M37" s="4">
        <v>0.27422598307615731</v>
      </c>
    </row>
    <row r="38" spans="1:13" x14ac:dyDescent="0.3">
      <c r="A38" s="3" t="s">
        <v>30</v>
      </c>
      <c r="B38" s="3" t="s">
        <v>13</v>
      </c>
      <c r="C38" s="2">
        <v>45904</v>
      </c>
      <c r="D38" s="3" t="s">
        <v>27</v>
      </c>
      <c r="E38" s="3" t="s">
        <v>353</v>
      </c>
      <c r="F38" s="3">
        <v>21708</v>
      </c>
      <c r="G38" s="3">
        <v>435</v>
      </c>
      <c r="H38" s="3">
        <v>317</v>
      </c>
      <c r="I38" s="3">
        <v>1213</v>
      </c>
      <c r="J38" s="3">
        <v>70701</v>
      </c>
      <c r="K38" s="3">
        <v>83585</v>
      </c>
      <c r="L38" s="3" t="s">
        <v>20</v>
      </c>
      <c r="M38" s="4">
        <v>0.26870850032900639</v>
      </c>
    </row>
    <row r="39" spans="1:13" x14ac:dyDescent="0.3">
      <c r="A39" s="3" t="s">
        <v>30</v>
      </c>
      <c r="B39" s="3" t="s">
        <v>13</v>
      </c>
      <c r="C39" s="2">
        <v>45904</v>
      </c>
      <c r="D39" s="3" t="s">
        <v>27</v>
      </c>
      <c r="E39" s="3" t="s">
        <v>354</v>
      </c>
      <c r="F39" s="3">
        <v>21708</v>
      </c>
      <c r="G39" s="3">
        <v>435</v>
      </c>
      <c r="H39" s="3">
        <v>317</v>
      </c>
      <c r="I39" s="3">
        <v>1213</v>
      </c>
      <c r="J39" s="3">
        <v>70701</v>
      </c>
      <c r="K39" s="3">
        <v>83585</v>
      </c>
      <c r="L39" s="3" t="s">
        <v>20</v>
      </c>
      <c r="M39" s="4">
        <v>0.26870850032900639</v>
      </c>
    </row>
    <row r="40" spans="1:13" x14ac:dyDescent="0.3">
      <c r="A40" s="3" t="s">
        <v>116</v>
      </c>
      <c r="B40" s="3" t="s">
        <v>18</v>
      </c>
      <c r="C40" s="2">
        <v>45456</v>
      </c>
      <c r="D40" s="3" t="s">
        <v>14</v>
      </c>
      <c r="E40" s="3" t="s">
        <v>353</v>
      </c>
      <c r="F40" s="3">
        <v>14173</v>
      </c>
      <c r="G40" s="3">
        <v>294</v>
      </c>
      <c r="H40" s="3">
        <v>257</v>
      </c>
      <c r="I40" s="3">
        <v>1288</v>
      </c>
      <c r="J40" s="3">
        <v>39466</v>
      </c>
      <c r="K40" s="3">
        <v>55563</v>
      </c>
      <c r="L40" s="3" t="s">
        <v>45</v>
      </c>
      <c r="M40" s="4">
        <v>0.26499649047027696</v>
      </c>
    </row>
    <row r="41" spans="1:13" x14ac:dyDescent="0.3">
      <c r="A41" s="3" t="s">
        <v>116</v>
      </c>
      <c r="B41" s="3" t="s">
        <v>18</v>
      </c>
      <c r="C41" s="2">
        <v>45456</v>
      </c>
      <c r="D41" s="3" t="s">
        <v>14</v>
      </c>
      <c r="E41" s="3" t="s">
        <v>354</v>
      </c>
      <c r="F41" s="3">
        <v>14173</v>
      </c>
      <c r="G41" s="3">
        <v>294</v>
      </c>
      <c r="H41" s="3">
        <v>257</v>
      </c>
      <c r="I41" s="3">
        <v>1288</v>
      </c>
      <c r="J41" s="3">
        <v>39466</v>
      </c>
      <c r="K41" s="3">
        <v>55563</v>
      </c>
      <c r="L41" s="3" t="s">
        <v>45</v>
      </c>
      <c r="M41" s="4">
        <v>0.26499649047027696</v>
      </c>
    </row>
    <row r="42" spans="1:13" x14ac:dyDescent="0.3">
      <c r="A42" s="3" t="s">
        <v>186</v>
      </c>
      <c r="B42" s="3" t="s">
        <v>18</v>
      </c>
      <c r="C42" s="2">
        <v>45526</v>
      </c>
      <c r="D42" s="3" t="s">
        <v>27</v>
      </c>
      <c r="E42" s="3" t="s">
        <v>367</v>
      </c>
      <c r="F42" s="3">
        <v>16124</v>
      </c>
      <c r="G42" s="3">
        <v>863</v>
      </c>
      <c r="H42" s="3">
        <v>337</v>
      </c>
      <c r="I42" s="3">
        <v>819</v>
      </c>
      <c r="J42" s="3">
        <v>85788</v>
      </c>
      <c r="K42" s="3">
        <v>68625</v>
      </c>
      <c r="L42" s="3" t="s">
        <v>29</v>
      </c>
      <c r="M42" s="4">
        <v>0.25244444444444447</v>
      </c>
    </row>
    <row r="43" spans="1:13" x14ac:dyDescent="0.3">
      <c r="A43" s="3" t="s">
        <v>186</v>
      </c>
      <c r="B43" s="3" t="s">
        <v>18</v>
      </c>
      <c r="C43" s="2">
        <v>45526</v>
      </c>
      <c r="D43" s="3" t="s">
        <v>27</v>
      </c>
      <c r="E43" s="3" t="s">
        <v>32</v>
      </c>
      <c r="F43" s="3">
        <v>16124</v>
      </c>
      <c r="G43" s="3">
        <v>863</v>
      </c>
      <c r="H43" s="3">
        <v>337</v>
      </c>
      <c r="I43" s="3">
        <v>819</v>
      </c>
      <c r="J43" s="3">
        <v>85788</v>
      </c>
      <c r="K43" s="3">
        <v>68625</v>
      </c>
      <c r="L43" s="3" t="s">
        <v>29</v>
      </c>
      <c r="M43" s="4">
        <v>0.25244444444444447</v>
      </c>
    </row>
    <row r="44" spans="1:13" x14ac:dyDescent="0.3">
      <c r="A44" s="3" t="s">
        <v>256</v>
      </c>
      <c r="B44" s="3" t="s">
        <v>13</v>
      </c>
      <c r="C44" s="2">
        <v>45445</v>
      </c>
      <c r="D44" s="3" t="s">
        <v>27</v>
      </c>
      <c r="E44" s="3" t="s">
        <v>355</v>
      </c>
      <c r="F44" s="3">
        <v>14199</v>
      </c>
      <c r="G44" s="3">
        <v>1206</v>
      </c>
      <c r="H44" s="3">
        <v>954</v>
      </c>
      <c r="I44" s="3">
        <v>2009</v>
      </c>
      <c r="J44" s="3">
        <v>8</v>
      </c>
      <c r="K44" s="3">
        <v>65537</v>
      </c>
      <c r="L44" s="3" t="s">
        <v>25</v>
      </c>
      <c r="M44" s="4">
        <v>0.24961472145505592</v>
      </c>
    </row>
    <row r="45" spans="1:13" x14ac:dyDescent="0.3">
      <c r="A45" s="3" t="s">
        <v>256</v>
      </c>
      <c r="B45" s="3" t="s">
        <v>13</v>
      </c>
      <c r="C45" s="2">
        <v>45445</v>
      </c>
      <c r="D45" s="3" t="s">
        <v>27</v>
      </c>
      <c r="E45" s="3" t="s">
        <v>356</v>
      </c>
      <c r="F45" s="3">
        <v>14199</v>
      </c>
      <c r="G45" s="3">
        <v>1206</v>
      </c>
      <c r="H45" s="3">
        <v>954</v>
      </c>
      <c r="I45" s="3">
        <v>2009</v>
      </c>
      <c r="J45" s="3">
        <v>8</v>
      </c>
      <c r="K45" s="3">
        <v>65537</v>
      </c>
      <c r="L45" s="3" t="s">
        <v>25</v>
      </c>
      <c r="M45" s="4">
        <v>0.24961472145505592</v>
      </c>
    </row>
    <row r="46" spans="1:13" x14ac:dyDescent="0.3">
      <c r="A46" s="3" t="s">
        <v>54</v>
      </c>
      <c r="B46" s="3" t="s">
        <v>40</v>
      </c>
      <c r="C46" s="2">
        <v>45908</v>
      </c>
      <c r="D46" s="3" t="s">
        <v>34</v>
      </c>
      <c r="E46" s="3" t="s">
        <v>367</v>
      </c>
      <c r="F46" s="3">
        <v>22309</v>
      </c>
      <c r="G46" s="3">
        <v>773</v>
      </c>
      <c r="H46" s="3">
        <v>854</v>
      </c>
      <c r="I46" s="3">
        <v>2387</v>
      </c>
      <c r="J46" s="3">
        <v>72396</v>
      </c>
      <c r="K46" s="3">
        <v>97056</v>
      </c>
      <c r="L46" s="3" t="s">
        <v>20</v>
      </c>
      <c r="M46" s="4">
        <v>0.24662050774810418</v>
      </c>
    </row>
    <row r="47" spans="1:13" x14ac:dyDescent="0.3">
      <c r="A47" s="3" t="s">
        <v>54</v>
      </c>
      <c r="B47" s="3" t="s">
        <v>40</v>
      </c>
      <c r="C47" s="2">
        <v>45908</v>
      </c>
      <c r="D47" s="3" t="s">
        <v>34</v>
      </c>
      <c r="E47" s="3" t="s">
        <v>32</v>
      </c>
      <c r="F47" s="3">
        <v>22309</v>
      </c>
      <c r="G47" s="3">
        <v>773</v>
      </c>
      <c r="H47" s="3">
        <v>854</v>
      </c>
      <c r="I47" s="3">
        <v>2387</v>
      </c>
      <c r="J47" s="3">
        <v>72396</v>
      </c>
      <c r="K47" s="3">
        <v>97056</v>
      </c>
      <c r="L47" s="3" t="s">
        <v>20</v>
      </c>
      <c r="M47" s="4">
        <v>0.24662050774810418</v>
      </c>
    </row>
    <row r="48" spans="1:13" x14ac:dyDescent="0.3">
      <c r="A48" s="3" t="s">
        <v>280</v>
      </c>
      <c r="B48" s="3" t="s">
        <v>22</v>
      </c>
      <c r="C48" s="2">
        <v>45913</v>
      </c>
      <c r="D48" s="3" t="s">
        <v>27</v>
      </c>
      <c r="E48" s="3" t="s">
        <v>367</v>
      </c>
      <c r="F48" s="3">
        <v>15046</v>
      </c>
      <c r="G48" s="3">
        <v>281</v>
      </c>
      <c r="H48" s="3">
        <v>515</v>
      </c>
      <c r="I48" s="3">
        <v>550</v>
      </c>
      <c r="J48" s="3">
        <v>22583</v>
      </c>
      <c r="K48" s="3">
        <v>64596</v>
      </c>
      <c r="L48" s="3" t="s">
        <v>20</v>
      </c>
      <c r="M48" s="4">
        <v>0.24524738373893121</v>
      </c>
    </row>
    <row r="49" spans="1:13" x14ac:dyDescent="0.3">
      <c r="A49" s="3" t="s">
        <v>280</v>
      </c>
      <c r="B49" s="3" t="s">
        <v>22</v>
      </c>
      <c r="C49" s="2">
        <v>45913</v>
      </c>
      <c r="D49" s="3" t="s">
        <v>27</v>
      </c>
      <c r="E49" s="3" t="s">
        <v>32</v>
      </c>
      <c r="F49" s="3">
        <v>15046</v>
      </c>
      <c r="G49" s="3">
        <v>281</v>
      </c>
      <c r="H49" s="3">
        <v>515</v>
      </c>
      <c r="I49" s="3">
        <v>550</v>
      </c>
      <c r="J49" s="3">
        <v>22583</v>
      </c>
      <c r="K49" s="3">
        <v>64596</v>
      </c>
      <c r="L49" s="3" t="s">
        <v>20</v>
      </c>
      <c r="M49" s="4">
        <v>0.24524738373893121</v>
      </c>
    </row>
    <row r="50" spans="1:13" x14ac:dyDescent="0.3">
      <c r="A50" s="3" t="s">
        <v>111</v>
      </c>
      <c r="B50" s="3" t="s">
        <v>40</v>
      </c>
      <c r="C50" s="2">
        <v>45603</v>
      </c>
      <c r="D50" s="3" t="s">
        <v>34</v>
      </c>
      <c r="E50" s="3" t="s">
        <v>32</v>
      </c>
      <c r="F50" s="3">
        <v>17254</v>
      </c>
      <c r="G50" s="3">
        <v>246</v>
      </c>
      <c r="H50" s="3">
        <v>952</v>
      </c>
      <c r="I50" s="3">
        <v>871</v>
      </c>
      <c r="J50" s="3">
        <v>14957</v>
      </c>
      <c r="K50" s="3">
        <v>75946</v>
      </c>
      <c r="L50" s="3" t="s">
        <v>45</v>
      </c>
      <c r="M50" s="4">
        <v>0.24296210465330631</v>
      </c>
    </row>
    <row r="51" spans="1:13" x14ac:dyDescent="0.3">
      <c r="A51" s="3" t="s">
        <v>252</v>
      </c>
      <c r="B51" s="3" t="s">
        <v>22</v>
      </c>
      <c r="C51" s="2">
        <v>45502</v>
      </c>
      <c r="D51" s="3" t="s">
        <v>23</v>
      </c>
      <c r="E51" s="3" t="s">
        <v>353</v>
      </c>
      <c r="F51" s="3">
        <v>22590</v>
      </c>
      <c r="G51" s="3">
        <v>1462</v>
      </c>
      <c r="H51" s="3">
        <v>966</v>
      </c>
      <c r="I51" s="3">
        <v>2463</v>
      </c>
      <c r="J51" s="3">
        <v>29689</v>
      </c>
      <c r="K51" s="3">
        <v>103449</v>
      </c>
      <c r="L51" s="3" t="s">
        <v>25</v>
      </c>
      <c r="M51" s="4">
        <v>0.24183897379385011</v>
      </c>
    </row>
    <row r="52" spans="1:13" x14ac:dyDescent="0.3">
      <c r="A52" s="3" t="s">
        <v>252</v>
      </c>
      <c r="B52" s="3" t="s">
        <v>22</v>
      </c>
      <c r="C52" s="2">
        <v>45502</v>
      </c>
      <c r="D52" s="3" t="s">
        <v>23</v>
      </c>
      <c r="E52" s="3" t="s">
        <v>354</v>
      </c>
      <c r="F52" s="3">
        <v>22590</v>
      </c>
      <c r="G52" s="3">
        <v>1462</v>
      </c>
      <c r="H52" s="3">
        <v>966</v>
      </c>
      <c r="I52" s="3">
        <v>2463</v>
      </c>
      <c r="J52" s="3">
        <v>29689</v>
      </c>
      <c r="K52" s="3">
        <v>103449</v>
      </c>
      <c r="L52" s="3" t="s">
        <v>25</v>
      </c>
      <c r="M52" s="4">
        <v>0.24183897379385011</v>
      </c>
    </row>
    <row r="53" spans="1:13" x14ac:dyDescent="0.3">
      <c r="A53" s="3" t="s">
        <v>86</v>
      </c>
      <c r="B53" s="3" t="s">
        <v>13</v>
      </c>
      <c r="C53" s="2">
        <v>45456</v>
      </c>
      <c r="D53" s="3" t="s">
        <v>34</v>
      </c>
      <c r="E53" s="3" t="s">
        <v>363</v>
      </c>
      <c r="F53" s="3">
        <v>23164</v>
      </c>
      <c r="G53" s="3">
        <v>1122</v>
      </c>
      <c r="H53" s="3">
        <v>900</v>
      </c>
      <c r="I53" s="3">
        <v>888</v>
      </c>
      <c r="J53" s="3">
        <v>36938</v>
      </c>
      <c r="K53" s="3">
        <v>104674</v>
      </c>
      <c r="L53" s="3" t="s">
        <v>16</v>
      </c>
      <c r="M53" s="4">
        <v>0.24061371496264594</v>
      </c>
    </row>
    <row r="54" spans="1:13" x14ac:dyDescent="0.3">
      <c r="A54" s="3" t="s">
        <v>86</v>
      </c>
      <c r="B54" s="3" t="s">
        <v>13</v>
      </c>
      <c r="C54" s="2">
        <v>45456</v>
      </c>
      <c r="D54" s="3" t="s">
        <v>34</v>
      </c>
      <c r="E54" s="3" t="s">
        <v>364</v>
      </c>
      <c r="F54" s="3">
        <v>23164</v>
      </c>
      <c r="G54" s="3">
        <v>1122</v>
      </c>
      <c r="H54" s="3">
        <v>900</v>
      </c>
      <c r="I54" s="3">
        <v>888</v>
      </c>
      <c r="J54" s="3">
        <v>36938</v>
      </c>
      <c r="K54" s="3">
        <v>104674</v>
      </c>
      <c r="L54" s="3" t="s">
        <v>16</v>
      </c>
      <c r="M54" s="4">
        <v>0.24061371496264594</v>
      </c>
    </row>
    <row r="55" spans="1:13" x14ac:dyDescent="0.3">
      <c r="A55" s="3" t="s">
        <v>31</v>
      </c>
      <c r="B55" s="3" t="s">
        <v>18</v>
      </c>
      <c r="C55" s="2">
        <v>45905</v>
      </c>
      <c r="D55" s="3" t="s">
        <v>14</v>
      </c>
      <c r="E55" s="3" t="s">
        <v>32</v>
      </c>
      <c r="F55" s="3">
        <v>14677</v>
      </c>
      <c r="G55" s="3">
        <v>533</v>
      </c>
      <c r="H55" s="3">
        <v>759</v>
      </c>
      <c r="I55" s="3">
        <v>753</v>
      </c>
      <c r="J55" s="3">
        <v>23275</v>
      </c>
      <c r="K55" s="3">
        <v>66958</v>
      </c>
      <c r="L55" s="3" t="s">
        <v>20</v>
      </c>
      <c r="M55" s="4">
        <v>0.23849278652289496</v>
      </c>
    </row>
    <row r="56" spans="1:13" x14ac:dyDescent="0.3">
      <c r="A56" s="3" t="s">
        <v>325</v>
      </c>
      <c r="B56" s="3" t="s">
        <v>22</v>
      </c>
      <c r="C56" s="2">
        <v>45624</v>
      </c>
      <c r="D56" s="3" t="s">
        <v>34</v>
      </c>
      <c r="E56" s="3" t="s">
        <v>361</v>
      </c>
      <c r="F56" s="3">
        <v>18644</v>
      </c>
      <c r="G56" s="3">
        <v>1369</v>
      </c>
      <c r="H56" s="3">
        <v>887</v>
      </c>
      <c r="I56" s="3">
        <v>1256</v>
      </c>
      <c r="J56" s="3">
        <v>43415</v>
      </c>
      <c r="K56" s="3">
        <v>88368</v>
      </c>
      <c r="L56" s="3" t="s">
        <v>25</v>
      </c>
      <c r="M56" s="4">
        <v>0.23651095419156257</v>
      </c>
    </row>
    <row r="57" spans="1:13" x14ac:dyDescent="0.3">
      <c r="A57" s="3" t="s">
        <v>325</v>
      </c>
      <c r="B57" s="3" t="s">
        <v>22</v>
      </c>
      <c r="C57" s="2">
        <v>45624</v>
      </c>
      <c r="D57" s="3" t="s">
        <v>34</v>
      </c>
      <c r="E57" s="3" t="s">
        <v>362</v>
      </c>
      <c r="F57" s="3">
        <v>18644</v>
      </c>
      <c r="G57" s="3">
        <v>1369</v>
      </c>
      <c r="H57" s="3">
        <v>887</v>
      </c>
      <c r="I57" s="3">
        <v>1256</v>
      </c>
      <c r="J57" s="3">
        <v>43415</v>
      </c>
      <c r="K57" s="3">
        <v>88368</v>
      </c>
      <c r="L57" s="3" t="s">
        <v>25</v>
      </c>
      <c r="M57" s="4">
        <v>0.23651095419156257</v>
      </c>
    </row>
    <row r="58" spans="1:13" x14ac:dyDescent="0.3">
      <c r="A58" s="3" t="s">
        <v>222</v>
      </c>
      <c r="B58" s="3" t="s">
        <v>22</v>
      </c>
      <c r="C58" s="2">
        <v>45528</v>
      </c>
      <c r="D58" s="3" t="s">
        <v>27</v>
      </c>
      <c r="E58" s="3" t="s">
        <v>357</v>
      </c>
      <c r="F58" s="3">
        <v>24890</v>
      </c>
      <c r="G58" s="3">
        <v>217</v>
      </c>
      <c r="H58" s="3">
        <v>178</v>
      </c>
      <c r="I58" s="3">
        <v>906</v>
      </c>
      <c r="J58" s="3">
        <v>54826</v>
      </c>
      <c r="K58" s="3">
        <v>107203</v>
      </c>
      <c r="L58" s="3" t="s">
        <v>25</v>
      </c>
      <c r="M58" s="4">
        <v>0.23586093672751696</v>
      </c>
    </row>
    <row r="59" spans="1:13" x14ac:dyDescent="0.3">
      <c r="A59" s="3" t="s">
        <v>222</v>
      </c>
      <c r="B59" s="3" t="s">
        <v>22</v>
      </c>
      <c r="C59" s="2">
        <v>45528</v>
      </c>
      <c r="D59" s="3" t="s">
        <v>27</v>
      </c>
      <c r="E59" s="3" t="s">
        <v>358</v>
      </c>
      <c r="F59" s="3">
        <v>24890</v>
      </c>
      <c r="G59" s="3">
        <v>217</v>
      </c>
      <c r="H59" s="3">
        <v>178</v>
      </c>
      <c r="I59" s="3">
        <v>906</v>
      </c>
      <c r="J59" s="3">
        <v>54826</v>
      </c>
      <c r="K59" s="3">
        <v>107203</v>
      </c>
      <c r="L59" s="3" t="s">
        <v>25</v>
      </c>
      <c r="M59" s="4">
        <v>0.23586093672751696</v>
      </c>
    </row>
    <row r="60" spans="1:13" x14ac:dyDescent="0.3">
      <c r="A60" s="3" t="s">
        <v>96</v>
      </c>
      <c r="B60" s="3" t="s">
        <v>13</v>
      </c>
      <c r="C60" s="2">
        <v>45540</v>
      </c>
      <c r="D60" s="3" t="s">
        <v>34</v>
      </c>
      <c r="E60" s="3" t="s">
        <v>64</v>
      </c>
      <c r="F60" s="3">
        <v>16489</v>
      </c>
      <c r="G60" s="3">
        <v>395</v>
      </c>
      <c r="H60" s="3">
        <v>350</v>
      </c>
      <c r="I60" s="3">
        <v>2364</v>
      </c>
      <c r="J60" s="3">
        <v>43239</v>
      </c>
      <c r="K60" s="3">
        <v>73397</v>
      </c>
      <c r="L60" s="3" t="s">
        <v>45</v>
      </c>
      <c r="M60" s="4">
        <v>0.23480523727127811</v>
      </c>
    </row>
    <row r="61" spans="1:13" x14ac:dyDescent="0.3">
      <c r="A61" s="3" t="s">
        <v>322</v>
      </c>
      <c r="B61" s="3" t="s">
        <v>13</v>
      </c>
      <c r="C61" s="2">
        <v>45919</v>
      </c>
      <c r="D61" s="3" t="s">
        <v>23</v>
      </c>
      <c r="E61" s="3" t="s">
        <v>363</v>
      </c>
      <c r="F61" s="3">
        <v>22128</v>
      </c>
      <c r="G61" s="3">
        <v>1004</v>
      </c>
      <c r="H61" s="3">
        <v>690</v>
      </c>
      <c r="I61" s="3">
        <v>2048</v>
      </c>
      <c r="J61" s="3">
        <v>19443</v>
      </c>
      <c r="K61" s="3">
        <v>103646</v>
      </c>
      <c r="L61" s="3" t="s">
        <v>20</v>
      </c>
      <c r="M61" s="4">
        <v>0.22984003241803833</v>
      </c>
    </row>
    <row r="62" spans="1:13" x14ac:dyDescent="0.3">
      <c r="A62" s="3" t="s">
        <v>322</v>
      </c>
      <c r="B62" s="3" t="s">
        <v>13</v>
      </c>
      <c r="C62" s="2">
        <v>45919</v>
      </c>
      <c r="D62" s="3" t="s">
        <v>23</v>
      </c>
      <c r="E62" s="3" t="s">
        <v>364</v>
      </c>
      <c r="F62" s="3">
        <v>22128</v>
      </c>
      <c r="G62" s="3">
        <v>1004</v>
      </c>
      <c r="H62" s="3">
        <v>690</v>
      </c>
      <c r="I62" s="3">
        <v>2048</v>
      </c>
      <c r="J62" s="3">
        <v>19443</v>
      </c>
      <c r="K62" s="3">
        <v>103646</v>
      </c>
      <c r="L62" s="3" t="s">
        <v>20</v>
      </c>
      <c r="M62" s="4">
        <v>0.22984003241803833</v>
      </c>
    </row>
    <row r="63" spans="1:13" x14ac:dyDescent="0.3">
      <c r="A63" s="3" t="s">
        <v>141</v>
      </c>
      <c r="B63" s="3" t="s">
        <v>40</v>
      </c>
      <c r="C63" s="2">
        <v>45457</v>
      </c>
      <c r="D63" s="3" t="s">
        <v>34</v>
      </c>
      <c r="E63" s="3" t="s">
        <v>365</v>
      </c>
      <c r="F63" s="3">
        <v>21856</v>
      </c>
      <c r="G63" s="3">
        <v>1203</v>
      </c>
      <c r="H63" s="3">
        <v>634</v>
      </c>
      <c r="I63" s="3">
        <v>2807</v>
      </c>
      <c r="J63" s="3">
        <v>3647</v>
      </c>
      <c r="K63" s="3">
        <v>104178</v>
      </c>
      <c r="L63" s="3" t="s">
        <v>29</v>
      </c>
      <c r="M63" s="4">
        <v>0.22742805582752595</v>
      </c>
    </row>
    <row r="64" spans="1:13" x14ac:dyDescent="0.3">
      <c r="A64" s="3" t="s">
        <v>141</v>
      </c>
      <c r="B64" s="3" t="s">
        <v>40</v>
      </c>
      <c r="C64" s="2">
        <v>45457</v>
      </c>
      <c r="D64" s="3" t="s">
        <v>34</v>
      </c>
      <c r="E64" s="3" t="s">
        <v>359</v>
      </c>
      <c r="F64" s="3">
        <v>21856</v>
      </c>
      <c r="G64" s="3">
        <v>1203</v>
      </c>
      <c r="H64" s="3">
        <v>634</v>
      </c>
      <c r="I64" s="3">
        <v>2807</v>
      </c>
      <c r="J64" s="3">
        <v>3647</v>
      </c>
      <c r="K64" s="3">
        <v>104178</v>
      </c>
      <c r="L64" s="3" t="s">
        <v>29</v>
      </c>
      <c r="M64" s="4">
        <v>0.22742805582752595</v>
      </c>
    </row>
    <row r="65" spans="1:13" x14ac:dyDescent="0.3">
      <c r="A65" s="3" t="s">
        <v>155</v>
      </c>
      <c r="B65" s="3" t="s">
        <v>18</v>
      </c>
      <c r="C65" s="2">
        <v>45695</v>
      </c>
      <c r="D65" s="3" t="s">
        <v>34</v>
      </c>
      <c r="E65" s="3" t="s">
        <v>368</v>
      </c>
      <c r="F65" s="3">
        <v>20290</v>
      </c>
      <c r="G65" s="3">
        <v>619</v>
      </c>
      <c r="H65" s="3">
        <v>927</v>
      </c>
      <c r="I65" s="3">
        <v>1186</v>
      </c>
      <c r="J65" s="3">
        <v>8924</v>
      </c>
      <c r="K65" s="3">
        <v>96503</v>
      </c>
      <c r="L65" s="3" t="s">
        <v>45</v>
      </c>
      <c r="M65" s="4">
        <v>0.22627275835984373</v>
      </c>
    </row>
    <row r="66" spans="1:13" x14ac:dyDescent="0.3">
      <c r="A66" s="3" t="s">
        <v>155</v>
      </c>
      <c r="B66" s="3" t="s">
        <v>18</v>
      </c>
      <c r="C66" s="2">
        <v>45695</v>
      </c>
      <c r="D66" s="3" t="s">
        <v>34</v>
      </c>
      <c r="E66" s="3" t="s">
        <v>369</v>
      </c>
      <c r="F66" s="3">
        <v>20290</v>
      </c>
      <c r="G66" s="3">
        <v>619</v>
      </c>
      <c r="H66" s="3">
        <v>927</v>
      </c>
      <c r="I66" s="3">
        <v>1186</v>
      </c>
      <c r="J66" s="3">
        <v>8924</v>
      </c>
      <c r="K66" s="3">
        <v>96503</v>
      </c>
      <c r="L66" s="3" t="s">
        <v>45</v>
      </c>
      <c r="M66" s="4">
        <v>0.22627275835984373</v>
      </c>
    </row>
    <row r="67" spans="1:13" x14ac:dyDescent="0.3">
      <c r="A67" s="3" t="s">
        <v>206</v>
      </c>
      <c r="B67" s="3" t="s">
        <v>40</v>
      </c>
      <c r="C67" s="2">
        <v>45775</v>
      </c>
      <c r="D67" s="3" t="s">
        <v>34</v>
      </c>
      <c r="E67" s="3" t="s">
        <v>367</v>
      </c>
      <c r="F67" s="3">
        <v>15013</v>
      </c>
      <c r="G67" s="3">
        <v>1286</v>
      </c>
      <c r="H67" s="3">
        <v>599</v>
      </c>
      <c r="I67" s="3">
        <v>2001</v>
      </c>
      <c r="J67" s="3">
        <v>67839</v>
      </c>
      <c r="K67" s="3">
        <v>76059</v>
      </c>
      <c r="L67" s="3" t="s">
        <v>16</v>
      </c>
      <c r="M67" s="4">
        <v>0.22216963147030594</v>
      </c>
    </row>
    <row r="68" spans="1:13" x14ac:dyDescent="0.3">
      <c r="A68" s="3" t="s">
        <v>206</v>
      </c>
      <c r="B68" s="3" t="s">
        <v>40</v>
      </c>
      <c r="C68" s="2">
        <v>45775</v>
      </c>
      <c r="D68" s="3" t="s">
        <v>34</v>
      </c>
      <c r="E68" s="3" t="s">
        <v>32</v>
      </c>
      <c r="F68" s="3">
        <v>15013</v>
      </c>
      <c r="G68" s="3">
        <v>1286</v>
      </c>
      <c r="H68" s="3">
        <v>599</v>
      </c>
      <c r="I68" s="3">
        <v>2001</v>
      </c>
      <c r="J68" s="3">
        <v>67839</v>
      </c>
      <c r="K68" s="3">
        <v>76059</v>
      </c>
      <c r="L68" s="3" t="s">
        <v>16</v>
      </c>
      <c r="M68" s="4">
        <v>0.22216963147030594</v>
      </c>
    </row>
    <row r="69" spans="1:13" x14ac:dyDescent="0.3">
      <c r="A69" s="3" t="s">
        <v>81</v>
      </c>
      <c r="B69" s="3" t="s">
        <v>18</v>
      </c>
      <c r="C69" s="2">
        <v>45779</v>
      </c>
      <c r="D69" s="3" t="s">
        <v>23</v>
      </c>
      <c r="E69" s="3" t="s">
        <v>359</v>
      </c>
      <c r="F69" s="3">
        <v>17444</v>
      </c>
      <c r="G69" s="3">
        <v>1402</v>
      </c>
      <c r="H69" s="3">
        <v>218</v>
      </c>
      <c r="I69" s="3">
        <v>725</v>
      </c>
      <c r="J69" s="3">
        <v>8710</v>
      </c>
      <c r="K69" s="3">
        <v>85893</v>
      </c>
      <c r="L69" s="3" t="s">
        <v>45</v>
      </c>
      <c r="M69" s="4">
        <v>0.22195056640238436</v>
      </c>
    </row>
    <row r="70" spans="1:13" x14ac:dyDescent="0.3">
      <c r="A70" s="3" t="s">
        <v>81</v>
      </c>
      <c r="B70" s="3" t="s">
        <v>18</v>
      </c>
      <c r="C70" s="2">
        <v>45779</v>
      </c>
      <c r="D70" s="3" t="s">
        <v>23</v>
      </c>
      <c r="E70" s="3" t="s">
        <v>366</v>
      </c>
      <c r="F70" s="3">
        <v>17444</v>
      </c>
      <c r="G70" s="3">
        <v>1402</v>
      </c>
      <c r="H70" s="3">
        <v>218</v>
      </c>
      <c r="I70" s="3">
        <v>725</v>
      </c>
      <c r="J70" s="3">
        <v>8710</v>
      </c>
      <c r="K70" s="3">
        <v>85893</v>
      </c>
      <c r="L70" s="3" t="s">
        <v>45</v>
      </c>
      <c r="M70" s="4">
        <v>0.22195056640238436</v>
      </c>
    </row>
    <row r="71" spans="1:13" x14ac:dyDescent="0.3">
      <c r="A71" s="3" t="s">
        <v>223</v>
      </c>
      <c r="B71" s="3" t="s">
        <v>40</v>
      </c>
      <c r="C71" s="2">
        <v>45648</v>
      </c>
      <c r="D71" s="3" t="s">
        <v>23</v>
      </c>
      <c r="E71" s="3" t="s">
        <v>368</v>
      </c>
      <c r="F71" s="3">
        <v>7870</v>
      </c>
      <c r="G71" s="3">
        <v>968</v>
      </c>
      <c r="H71" s="3">
        <v>626</v>
      </c>
      <c r="I71" s="3">
        <v>465</v>
      </c>
      <c r="J71" s="3">
        <v>27184</v>
      </c>
      <c r="K71" s="3">
        <v>44114</v>
      </c>
      <c r="L71" s="3" t="s">
        <v>45</v>
      </c>
      <c r="M71" s="4">
        <v>0.2145350682323072</v>
      </c>
    </row>
    <row r="72" spans="1:13" x14ac:dyDescent="0.3">
      <c r="A72" s="3" t="s">
        <v>223</v>
      </c>
      <c r="B72" s="3" t="s">
        <v>40</v>
      </c>
      <c r="C72" s="2">
        <v>45648</v>
      </c>
      <c r="D72" s="3" t="s">
        <v>23</v>
      </c>
      <c r="E72" s="3" t="s">
        <v>369</v>
      </c>
      <c r="F72" s="3">
        <v>7870</v>
      </c>
      <c r="G72" s="3">
        <v>968</v>
      </c>
      <c r="H72" s="3">
        <v>626</v>
      </c>
      <c r="I72" s="3">
        <v>465</v>
      </c>
      <c r="J72" s="3">
        <v>27184</v>
      </c>
      <c r="K72" s="3">
        <v>44114</v>
      </c>
      <c r="L72" s="3" t="s">
        <v>45</v>
      </c>
      <c r="M72" s="4">
        <v>0.2145350682323072</v>
      </c>
    </row>
    <row r="73" spans="1:13" x14ac:dyDescent="0.3">
      <c r="A73" s="3" t="s">
        <v>226</v>
      </c>
      <c r="B73" s="3" t="s">
        <v>40</v>
      </c>
      <c r="C73" s="2">
        <v>45569</v>
      </c>
      <c r="D73" s="3" t="s">
        <v>14</v>
      </c>
      <c r="E73" s="3" t="s">
        <v>361</v>
      </c>
      <c r="F73" s="3">
        <v>21729</v>
      </c>
      <c r="G73" s="3">
        <v>1209</v>
      </c>
      <c r="H73" s="3">
        <v>897</v>
      </c>
      <c r="I73" s="3">
        <v>1624</v>
      </c>
      <c r="J73" s="3">
        <v>38771</v>
      </c>
      <c r="K73" s="3">
        <v>113297</v>
      </c>
      <c r="L73" s="3" t="s">
        <v>29</v>
      </c>
      <c r="M73" s="4">
        <v>0.21037626768581694</v>
      </c>
    </row>
    <row r="74" spans="1:13" x14ac:dyDescent="0.3">
      <c r="A74" s="3" t="s">
        <v>226</v>
      </c>
      <c r="B74" s="3" t="s">
        <v>40</v>
      </c>
      <c r="C74" s="2">
        <v>45569</v>
      </c>
      <c r="D74" s="3" t="s">
        <v>14</v>
      </c>
      <c r="E74" s="3" t="s">
        <v>362</v>
      </c>
      <c r="F74" s="3">
        <v>21729</v>
      </c>
      <c r="G74" s="3">
        <v>1209</v>
      </c>
      <c r="H74" s="3">
        <v>897</v>
      </c>
      <c r="I74" s="3">
        <v>1624</v>
      </c>
      <c r="J74" s="3">
        <v>38771</v>
      </c>
      <c r="K74" s="3">
        <v>113297</v>
      </c>
      <c r="L74" s="3" t="s">
        <v>29</v>
      </c>
      <c r="M74" s="4">
        <v>0.21037626768581694</v>
      </c>
    </row>
    <row r="75" spans="1:13" x14ac:dyDescent="0.3">
      <c r="A75" s="3" t="s">
        <v>287</v>
      </c>
      <c r="B75" s="3" t="s">
        <v>40</v>
      </c>
      <c r="C75" s="2">
        <v>45915</v>
      </c>
      <c r="D75" s="3" t="s">
        <v>14</v>
      </c>
      <c r="E75" s="3" t="s">
        <v>361</v>
      </c>
      <c r="F75" s="3">
        <v>18389</v>
      </c>
      <c r="G75" s="3">
        <v>670</v>
      </c>
      <c r="H75" s="3">
        <v>655</v>
      </c>
      <c r="I75" s="3">
        <v>321</v>
      </c>
      <c r="J75" s="3">
        <v>21869</v>
      </c>
      <c r="K75" s="3">
        <v>96088</v>
      </c>
      <c r="L75" s="3" t="s">
        <v>20</v>
      </c>
      <c r="M75" s="4">
        <v>0.2051660977437349</v>
      </c>
    </row>
    <row r="76" spans="1:13" x14ac:dyDescent="0.3">
      <c r="A76" s="3" t="s">
        <v>287</v>
      </c>
      <c r="B76" s="3" t="s">
        <v>40</v>
      </c>
      <c r="C76" s="2">
        <v>45915</v>
      </c>
      <c r="D76" s="3" t="s">
        <v>14</v>
      </c>
      <c r="E76" s="3" t="s">
        <v>362</v>
      </c>
      <c r="F76" s="3">
        <v>18389</v>
      </c>
      <c r="G76" s="3">
        <v>670</v>
      </c>
      <c r="H76" s="3">
        <v>655</v>
      </c>
      <c r="I76" s="3">
        <v>321</v>
      </c>
      <c r="J76" s="3">
        <v>21869</v>
      </c>
      <c r="K76" s="3">
        <v>96088</v>
      </c>
      <c r="L76" s="3" t="s">
        <v>20</v>
      </c>
      <c r="M76" s="4">
        <v>0.2051660977437349</v>
      </c>
    </row>
    <row r="77" spans="1:13" x14ac:dyDescent="0.3">
      <c r="A77" s="3" t="s">
        <v>109</v>
      </c>
      <c r="B77" s="3" t="s">
        <v>40</v>
      </c>
      <c r="C77" s="2">
        <v>45593</v>
      </c>
      <c r="D77" s="3" t="s">
        <v>34</v>
      </c>
      <c r="E77" s="3" t="s">
        <v>359</v>
      </c>
      <c r="F77" s="3">
        <v>21198</v>
      </c>
      <c r="G77" s="3">
        <v>1484</v>
      </c>
      <c r="H77" s="3">
        <v>174</v>
      </c>
      <c r="I77" s="3">
        <v>1293</v>
      </c>
      <c r="J77" s="3">
        <v>16330</v>
      </c>
      <c r="K77" s="3">
        <v>111635</v>
      </c>
      <c r="L77" s="3" t="s">
        <v>29</v>
      </c>
      <c r="M77" s="4">
        <v>0.20473865723115511</v>
      </c>
    </row>
    <row r="78" spans="1:13" x14ac:dyDescent="0.3">
      <c r="A78" s="3" t="s">
        <v>109</v>
      </c>
      <c r="B78" s="3" t="s">
        <v>40</v>
      </c>
      <c r="C78" s="2">
        <v>45593</v>
      </c>
      <c r="D78" s="3" t="s">
        <v>34</v>
      </c>
      <c r="E78" s="3" t="s">
        <v>360</v>
      </c>
      <c r="F78" s="3">
        <v>21198</v>
      </c>
      <c r="G78" s="3">
        <v>1484</v>
      </c>
      <c r="H78" s="3">
        <v>174</v>
      </c>
      <c r="I78" s="3">
        <v>1293</v>
      </c>
      <c r="J78" s="3">
        <v>16330</v>
      </c>
      <c r="K78" s="3">
        <v>111635</v>
      </c>
      <c r="L78" s="3" t="s">
        <v>29</v>
      </c>
      <c r="M78" s="4">
        <v>0.20473865723115511</v>
      </c>
    </row>
    <row r="79" spans="1:13" x14ac:dyDescent="0.3">
      <c r="A79" s="3" t="s">
        <v>77</v>
      </c>
      <c r="B79" s="3" t="s">
        <v>13</v>
      </c>
      <c r="C79" s="2">
        <v>45721</v>
      </c>
      <c r="D79" s="3" t="s">
        <v>34</v>
      </c>
      <c r="E79" s="3" t="s">
        <v>359</v>
      </c>
      <c r="F79" s="3">
        <v>12916</v>
      </c>
      <c r="G79" s="3">
        <v>1262</v>
      </c>
      <c r="H79" s="3">
        <v>772</v>
      </c>
      <c r="I79" s="3">
        <v>856</v>
      </c>
      <c r="J79" s="3">
        <v>11496</v>
      </c>
      <c r="K79" s="3">
        <v>75046</v>
      </c>
      <c r="L79" s="3" t="s">
        <v>25</v>
      </c>
      <c r="M79" s="4">
        <v>0.19921115049436347</v>
      </c>
    </row>
    <row r="80" spans="1:13" x14ac:dyDescent="0.3">
      <c r="A80" s="3" t="s">
        <v>77</v>
      </c>
      <c r="B80" s="3" t="s">
        <v>13</v>
      </c>
      <c r="C80" s="2">
        <v>45721</v>
      </c>
      <c r="D80" s="3" t="s">
        <v>34</v>
      </c>
      <c r="E80" s="3" t="s">
        <v>366</v>
      </c>
      <c r="F80" s="3">
        <v>12916</v>
      </c>
      <c r="G80" s="3">
        <v>1262</v>
      </c>
      <c r="H80" s="3">
        <v>772</v>
      </c>
      <c r="I80" s="3">
        <v>856</v>
      </c>
      <c r="J80" s="3">
        <v>11496</v>
      </c>
      <c r="K80" s="3">
        <v>75046</v>
      </c>
      <c r="L80" s="3" t="s">
        <v>25</v>
      </c>
      <c r="M80" s="4">
        <v>0.19921115049436347</v>
      </c>
    </row>
    <row r="81" spans="1:13" x14ac:dyDescent="0.3">
      <c r="A81" s="3" t="s">
        <v>282</v>
      </c>
      <c r="B81" s="3" t="s">
        <v>40</v>
      </c>
      <c r="C81" s="2">
        <v>45576</v>
      </c>
      <c r="D81" s="3" t="s">
        <v>34</v>
      </c>
      <c r="E81" s="3" t="s">
        <v>365</v>
      </c>
      <c r="F81" s="3">
        <v>19447</v>
      </c>
      <c r="G81" s="3">
        <v>1014</v>
      </c>
      <c r="H81" s="3">
        <v>256</v>
      </c>
      <c r="I81" s="3">
        <v>2354</v>
      </c>
      <c r="J81" s="3">
        <v>5472</v>
      </c>
      <c r="K81" s="3">
        <v>104106</v>
      </c>
      <c r="L81" s="3" t="s">
        <v>16</v>
      </c>
      <c r="M81" s="4">
        <v>0.19899909707413599</v>
      </c>
    </row>
    <row r="82" spans="1:13" x14ac:dyDescent="0.3">
      <c r="A82" s="3" t="s">
        <v>282</v>
      </c>
      <c r="B82" s="3" t="s">
        <v>40</v>
      </c>
      <c r="C82" s="2">
        <v>45576</v>
      </c>
      <c r="D82" s="3" t="s">
        <v>34</v>
      </c>
      <c r="E82" s="3" t="s">
        <v>359</v>
      </c>
      <c r="F82" s="3">
        <v>19447</v>
      </c>
      <c r="G82" s="3">
        <v>1014</v>
      </c>
      <c r="H82" s="3">
        <v>256</v>
      </c>
      <c r="I82" s="3">
        <v>2354</v>
      </c>
      <c r="J82" s="3">
        <v>5472</v>
      </c>
      <c r="K82" s="3">
        <v>104106</v>
      </c>
      <c r="L82" s="3" t="s">
        <v>16</v>
      </c>
      <c r="M82" s="4">
        <v>0.19899909707413599</v>
      </c>
    </row>
    <row r="83" spans="1:13" x14ac:dyDescent="0.3">
      <c r="A83" s="3" t="s">
        <v>296</v>
      </c>
      <c r="B83" s="3" t="s">
        <v>13</v>
      </c>
      <c r="C83" s="2">
        <v>45700</v>
      </c>
      <c r="D83" s="3" t="s">
        <v>27</v>
      </c>
      <c r="E83" s="3" t="s">
        <v>355</v>
      </c>
      <c r="F83" s="3">
        <v>15234</v>
      </c>
      <c r="G83" s="3">
        <v>1276</v>
      </c>
      <c r="H83" s="3">
        <v>670</v>
      </c>
      <c r="I83" s="3">
        <v>1860</v>
      </c>
      <c r="J83" s="3">
        <v>60397</v>
      </c>
      <c r="K83" s="3">
        <v>86413</v>
      </c>
      <c r="L83" s="3" t="s">
        <v>45</v>
      </c>
      <c r="M83" s="4">
        <v>0.19881267864788862</v>
      </c>
    </row>
    <row r="84" spans="1:13" x14ac:dyDescent="0.3">
      <c r="A84" s="3" t="s">
        <v>296</v>
      </c>
      <c r="B84" s="3" t="s">
        <v>13</v>
      </c>
      <c r="C84" s="2">
        <v>45700</v>
      </c>
      <c r="D84" s="3" t="s">
        <v>27</v>
      </c>
      <c r="E84" s="3" t="s">
        <v>356</v>
      </c>
      <c r="F84" s="3">
        <v>15234</v>
      </c>
      <c r="G84" s="3">
        <v>1276</v>
      </c>
      <c r="H84" s="3">
        <v>670</v>
      </c>
      <c r="I84" s="3">
        <v>1860</v>
      </c>
      <c r="J84" s="3">
        <v>60397</v>
      </c>
      <c r="K84" s="3">
        <v>86413</v>
      </c>
      <c r="L84" s="3" t="s">
        <v>45</v>
      </c>
      <c r="M84" s="4">
        <v>0.19881267864788862</v>
      </c>
    </row>
    <row r="85" spans="1:13" x14ac:dyDescent="0.3">
      <c r="A85" s="3" t="s">
        <v>129</v>
      </c>
      <c r="B85" s="3" t="s">
        <v>40</v>
      </c>
      <c r="C85" s="2">
        <v>45637</v>
      </c>
      <c r="D85" s="3" t="s">
        <v>34</v>
      </c>
      <c r="E85" s="3" t="s">
        <v>365</v>
      </c>
      <c r="F85" s="3">
        <v>22645</v>
      </c>
      <c r="G85" s="3">
        <v>545</v>
      </c>
      <c r="H85" s="3">
        <v>972</v>
      </c>
      <c r="I85" s="3">
        <v>321</v>
      </c>
      <c r="J85" s="3">
        <v>8396</v>
      </c>
      <c r="K85" s="3">
        <v>121537</v>
      </c>
      <c r="L85" s="3" t="s">
        <v>45</v>
      </c>
      <c r="M85" s="4">
        <v>0.19880365649966678</v>
      </c>
    </row>
    <row r="86" spans="1:13" x14ac:dyDescent="0.3">
      <c r="A86" s="3" t="s">
        <v>129</v>
      </c>
      <c r="B86" s="3" t="s">
        <v>40</v>
      </c>
      <c r="C86" s="2">
        <v>45637</v>
      </c>
      <c r="D86" s="3" t="s">
        <v>34</v>
      </c>
      <c r="E86" s="3" t="s">
        <v>359</v>
      </c>
      <c r="F86" s="3">
        <v>22645</v>
      </c>
      <c r="G86" s="3">
        <v>545</v>
      </c>
      <c r="H86" s="3">
        <v>972</v>
      </c>
      <c r="I86" s="3">
        <v>321</v>
      </c>
      <c r="J86" s="3">
        <v>8396</v>
      </c>
      <c r="K86" s="3">
        <v>121537</v>
      </c>
      <c r="L86" s="3" t="s">
        <v>45</v>
      </c>
      <c r="M86" s="4">
        <v>0.19880365649966678</v>
      </c>
    </row>
    <row r="87" spans="1:13" x14ac:dyDescent="0.3">
      <c r="A87" s="3" t="s">
        <v>199</v>
      </c>
      <c r="B87" s="3" t="s">
        <v>18</v>
      </c>
      <c r="C87" s="2">
        <v>45755</v>
      </c>
      <c r="D87" s="3" t="s">
        <v>27</v>
      </c>
      <c r="E87" s="3" t="s">
        <v>353</v>
      </c>
      <c r="F87" s="3">
        <v>15568</v>
      </c>
      <c r="G87" s="3">
        <v>1166</v>
      </c>
      <c r="H87" s="3">
        <v>546</v>
      </c>
      <c r="I87" s="3">
        <v>826</v>
      </c>
      <c r="J87" s="3">
        <v>21836</v>
      </c>
      <c r="K87" s="3">
        <v>87055</v>
      </c>
      <c r="L87" s="3" t="s">
        <v>16</v>
      </c>
      <c r="M87" s="4">
        <v>0.19849520418126471</v>
      </c>
    </row>
    <row r="88" spans="1:13" x14ac:dyDescent="0.3">
      <c r="A88" s="3" t="s">
        <v>199</v>
      </c>
      <c r="B88" s="3" t="s">
        <v>18</v>
      </c>
      <c r="C88" s="2">
        <v>45755</v>
      </c>
      <c r="D88" s="3" t="s">
        <v>27</v>
      </c>
      <c r="E88" s="3" t="s">
        <v>354</v>
      </c>
      <c r="F88" s="3">
        <v>15568</v>
      </c>
      <c r="G88" s="3">
        <v>1166</v>
      </c>
      <c r="H88" s="3">
        <v>546</v>
      </c>
      <c r="I88" s="3">
        <v>826</v>
      </c>
      <c r="J88" s="3">
        <v>21836</v>
      </c>
      <c r="K88" s="3">
        <v>87055</v>
      </c>
      <c r="L88" s="3" t="s">
        <v>16</v>
      </c>
      <c r="M88" s="4">
        <v>0.19849520418126471</v>
      </c>
    </row>
    <row r="89" spans="1:13" x14ac:dyDescent="0.3">
      <c r="A89" s="3" t="s">
        <v>336</v>
      </c>
      <c r="B89" s="3" t="s">
        <v>18</v>
      </c>
      <c r="C89" s="2">
        <v>45926</v>
      </c>
      <c r="D89" s="3" t="s">
        <v>27</v>
      </c>
      <c r="E89" s="3" t="s">
        <v>365</v>
      </c>
      <c r="F89" s="3">
        <v>21216</v>
      </c>
      <c r="G89" s="3">
        <v>226</v>
      </c>
      <c r="H89" s="3">
        <v>187</v>
      </c>
      <c r="I89" s="3">
        <v>1573</v>
      </c>
      <c r="J89" s="3">
        <v>62688</v>
      </c>
      <c r="K89" s="3">
        <v>111031</v>
      </c>
      <c r="L89" s="3" t="s">
        <v>20</v>
      </c>
      <c r="M89" s="4">
        <v>0.19480145184678152</v>
      </c>
    </row>
    <row r="90" spans="1:13" x14ac:dyDescent="0.3">
      <c r="A90" s="3" t="s">
        <v>336</v>
      </c>
      <c r="B90" s="3" t="s">
        <v>18</v>
      </c>
      <c r="C90" s="2">
        <v>45926</v>
      </c>
      <c r="D90" s="3" t="s">
        <v>27</v>
      </c>
      <c r="E90" s="3" t="s">
        <v>359</v>
      </c>
      <c r="F90" s="3">
        <v>21216</v>
      </c>
      <c r="G90" s="3">
        <v>226</v>
      </c>
      <c r="H90" s="3">
        <v>187</v>
      </c>
      <c r="I90" s="3">
        <v>1573</v>
      </c>
      <c r="J90" s="3">
        <v>62688</v>
      </c>
      <c r="K90" s="3">
        <v>111031</v>
      </c>
      <c r="L90" s="3" t="s">
        <v>20</v>
      </c>
      <c r="M90" s="4">
        <v>0.19480145184678152</v>
      </c>
    </row>
    <row r="91" spans="1:13" x14ac:dyDescent="0.3">
      <c r="A91" s="3" t="s">
        <v>103</v>
      </c>
      <c r="B91" s="3" t="s">
        <v>22</v>
      </c>
      <c r="C91" s="2">
        <v>45634</v>
      </c>
      <c r="D91" s="3" t="s">
        <v>27</v>
      </c>
      <c r="E91" s="3" t="s">
        <v>355</v>
      </c>
      <c r="F91" s="3">
        <v>10427</v>
      </c>
      <c r="G91" s="3">
        <v>1014</v>
      </c>
      <c r="H91" s="3">
        <v>166</v>
      </c>
      <c r="I91" s="3">
        <v>1649</v>
      </c>
      <c r="J91" s="3">
        <v>15145</v>
      </c>
      <c r="K91" s="3">
        <v>59816</v>
      </c>
      <c r="L91" s="3" t="s">
        <v>25</v>
      </c>
      <c r="M91" s="4">
        <v>0.19404507155276179</v>
      </c>
    </row>
    <row r="92" spans="1:13" x14ac:dyDescent="0.3">
      <c r="A92" s="3" t="s">
        <v>103</v>
      </c>
      <c r="B92" s="3" t="s">
        <v>22</v>
      </c>
      <c r="C92" s="2">
        <v>45634</v>
      </c>
      <c r="D92" s="3" t="s">
        <v>27</v>
      </c>
      <c r="E92" s="3" t="s">
        <v>356</v>
      </c>
      <c r="F92" s="3">
        <v>10427</v>
      </c>
      <c r="G92" s="3">
        <v>1014</v>
      </c>
      <c r="H92" s="3">
        <v>166</v>
      </c>
      <c r="I92" s="3">
        <v>1649</v>
      </c>
      <c r="J92" s="3">
        <v>15145</v>
      </c>
      <c r="K92" s="3">
        <v>59816</v>
      </c>
      <c r="L92" s="3" t="s">
        <v>25</v>
      </c>
      <c r="M92" s="4">
        <v>0.19404507155276179</v>
      </c>
    </row>
    <row r="93" spans="1:13" x14ac:dyDescent="0.3">
      <c r="A93" s="3" t="s">
        <v>162</v>
      </c>
      <c r="B93" s="3" t="s">
        <v>18</v>
      </c>
      <c r="C93" s="2">
        <v>45744</v>
      </c>
      <c r="D93" s="3" t="s">
        <v>14</v>
      </c>
      <c r="E93" s="3" t="s">
        <v>363</v>
      </c>
      <c r="F93" s="3">
        <v>13637</v>
      </c>
      <c r="G93" s="3">
        <v>1135</v>
      </c>
      <c r="H93" s="3">
        <v>540</v>
      </c>
      <c r="I93" s="3">
        <v>1288</v>
      </c>
      <c r="J93" s="3">
        <v>45183</v>
      </c>
      <c r="K93" s="3">
        <v>79062</v>
      </c>
      <c r="L93" s="3" t="s">
        <v>45</v>
      </c>
      <c r="M93" s="4">
        <v>0.19367079001290127</v>
      </c>
    </row>
    <row r="94" spans="1:13" x14ac:dyDescent="0.3">
      <c r="A94" s="3" t="s">
        <v>162</v>
      </c>
      <c r="B94" s="3" t="s">
        <v>18</v>
      </c>
      <c r="C94" s="2">
        <v>45744</v>
      </c>
      <c r="D94" s="3" t="s">
        <v>14</v>
      </c>
      <c r="E94" s="3" t="s">
        <v>364</v>
      </c>
      <c r="F94" s="3">
        <v>13637</v>
      </c>
      <c r="G94" s="3">
        <v>1135</v>
      </c>
      <c r="H94" s="3">
        <v>540</v>
      </c>
      <c r="I94" s="3">
        <v>1288</v>
      </c>
      <c r="J94" s="3">
        <v>45183</v>
      </c>
      <c r="K94" s="3">
        <v>79062</v>
      </c>
      <c r="L94" s="3" t="s">
        <v>45</v>
      </c>
      <c r="M94" s="4">
        <v>0.19367079001290127</v>
      </c>
    </row>
    <row r="95" spans="1:13" x14ac:dyDescent="0.3">
      <c r="A95" s="3" t="s">
        <v>165</v>
      </c>
      <c r="B95" s="3" t="s">
        <v>18</v>
      </c>
      <c r="C95" s="2">
        <v>45494</v>
      </c>
      <c r="D95" s="3" t="s">
        <v>14</v>
      </c>
      <c r="E95" s="3" t="s">
        <v>359</v>
      </c>
      <c r="F95" s="3">
        <v>11911</v>
      </c>
      <c r="G95" s="3">
        <v>1360</v>
      </c>
      <c r="H95" s="3">
        <v>778</v>
      </c>
      <c r="I95" s="3">
        <v>1168</v>
      </c>
      <c r="J95" s="3">
        <v>16483</v>
      </c>
      <c r="K95" s="3">
        <v>72556</v>
      </c>
      <c r="L95" s="3" t="s">
        <v>25</v>
      </c>
      <c r="M95" s="4">
        <v>0.19362974805667346</v>
      </c>
    </row>
    <row r="96" spans="1:13" x14ac:dyDescent="0.3">
      <c r="A96" s="3" t="s">
        <v>165</v>
      </c>
      <c r="B96" s="3" t="s">
        <v>18</v>
      </c>
      <c r="C96" s="2">
        <v>45494</v>
      </c>
      <c r="D96" s="3" t="s">
        <v>14</v>
      </c>
      <c r="E96" s="3" t="s">
        <v>360</v>
      </c>
      <c r="F96" s="3">
        <v>11911</v>
      </c>
      <c r="G96" s="3">
        <v>1360</v>
      </c>
      <c r="H96" s="3">
        <v>778</v>
      </c>
      <c r="I96" s="3">
        <v>1168</v>
      </c>
      <c r="J96" s="3">
        <v>16483</v>
      </c>
      <c r="K96" s="3">
        <v>72556</v>
      </c>
      <c r="L96" s="3" t="s">
        <v>25</v>
      </c>
      <c r="M96" s="4">
        <v>0.19362974805667346</v>
      </c>
    </row>
    <row r="97" spans="1:13" x14ac:dyDescent="0.3">
      <c r="A97" s="3" t="s">
        <v>133</v>
      </c>
      <c r="B97" s="3" t="s">
        <v>40</v>
      </c>
      <c r="C97" s="2">
        <v>45517</v>
      </c>
      <c r="D97" s="3" t="s">
        <v>34</v>
      </c>
      <c r="E97" s="3" t="s">
        <v>368</v>
      </c>
      <c r="F97" s="3">
        <v>6854</v>
      </c>
      <c r="G97" s="3">
        <v>417</v>
      </c>
      <c r="H97" s="3">
        <v>467</v>
      </c>
      <c r="I97" s="3">
        <v>1003</v>
      </c>
      <c r="J97" s="3">
        <v>61333</v>
      </c>
      <c r="K97" s="3">
        <v>40281</v>
      </c>
      <c r="L97" s="3" t="s">
        <v>16</v>
      </c>
      <c r="M97" s="4">
        <v>0.19210049402944315</v>
      </c>
    </row>
    <row r="98" spans="1:13" x14ac:dyDescent="0.3">
      <c r="A98" s="3" t="s">
        <v>133</v>
      </c>
      <c r="B98" s="3" t="s">
        <v>40</v>
      </c>
      <c r="C98" s="2">
        <v>45517</v>
      </c>
      <c r="D98" s="3" t="s">
        <v>34</v>
      </c>
      <c r="E98" s="3" t="s">
        <v>369</v>
      </c>
      <c r="F98" s="3">
        <v>6854</v>
      </c>
      <c r="G98" s="3">
        <v>417</v>
      </c>
      <c r="H98" s="3">
        <v>467</v>
      </c>
      <c r="I98" s="3">
        <v>1003</v>
      </c>
      <c r="J98" s="3">
        <v>61333</v>
      </c>
      <c r="K98" s="3">
        <v>40281</v>
      </c>
      <c r="L98" s="3" t="s">
        <v>16</v>
      </c>
      <c r="M98" s="4">
        <v>0.19210049402944315</v>
      </c>
    </row>
    <row r="99" spans="1:13" x14ac:dyDescent="0.3">
      <c r="A99" s="3" t="s">
        <v>82</v>
      </c>
      <c r="B99" s="3" t="s">
        <v>18</v>
      </c>
      <c r="C99" s="2">
        <v>45712</v>
      </c>
      <c r="D99" s="3" t="s">
        <v>23</v>
      </c>
      <c r="E99" s="3" t="s">
        <v>365</v>
      </c>
      <c r="F99" s="3">
        <v>24984</v>
      </c>
      <c r="G99" s="3">
        <v>753</v>
      </c>
      <c r="H99" s="3">
        <v>461</v>
      </c>
      <c r="I99" s="3">
        <v>2710</v>
      </c>
      <c r="J99" s="3">
        <v>20792</v>
      </c>
      <c r="K99" s="3">
        <v>141520</v>
      </c>
      <c r="L99" s="3" t="s">
        <v>25</v>
      </c>
      <c r="M99" s="4">
        <v>0.18511871113623515</v>
      </c>
    </row>
    <row r="100" spans="1:13" x14ac:dyDescent="0.3">
      <c r="A100" s="3" t="s">
        <v>82</v>
      </c>
      <c r="B100" s="3" t="s">
        <v>18</v>
      </c>
      <c r="C100" s="2">
        <v>45712</v>
      </c>
      <c r="D100" s="3" t="s">
        <v>23</v>
      </c>
      <c r="E100" s="3" t="s">
        <v>359</v>
      </c>
      <c r="F100" s="3">
        <v>24984</v>
      </c>
      <c r="G100" s="3">
        <v>753</v>
      </c>
      <c r="H100" s="3">
        <v>461</v>
      </c>
      <c r="I100" s="3">
        <v>2710</v>
      </c>
      <c r="J100" s="3">
        <v>20792</v>
      </c>
      <c r="K100" s="3">
        <v>141520</v>
      </c>
      <c r="L100" s="3" t="s">
        <v>25</v>
      </c>
      <c r="M100" s="4">
        <v>0.18511871113623515</v>
      </c>
    </row>
    <row r="101" spans="1:13" x14ac:dyDescent="0.3">
      <c r="A101" s="3" t="s">
        <v>188</v>
      </c>
      <c r="B101" s="3" t="s">
        <v>13</v>
      </c>
      <c r="C101" s="2">
        <v>45934</v>
      </c>
      <c r="D101" s="3" t="s">
        <v>27</v>
      </c>
      <c r="E101" s="3" t="s">
        <v>368</v>
      </c>
      <c r="F101" s="3">
        <v>12488</v>
      </c>
      <c r="G101" s="3">
        <v>1403</v>
      </c>
      <c r="H101" s="3">
        <v>247</v>
      </c>
      <c r="I101" s="3">
        <v>1350</v>
      </c>
      <c r="J101" s="3">
        <v>28370</v>
      </c>
      <c r="K101" s="3">
        <v>76487</v>
      </c>
      <c r="L101" s="3" t="s">
        <v>20</v>
      </c>
      <c r="M101" s="4">
        <v>0.18484186855282597</v>
      </c>
    </row>
    <row r="102" spans="1:13" x14ac:dyDescent="0.3">
      <c r="A102" s="3" t="s">
        <v>188</v>
      </c>
      <c r="B102" s="3" t="s">
        <v>13</v>
      </c>
      <c r="C102" s="2">
        <v>45934</v>
      </c>
      <c r="D102" s="3" t="s">
        <v>27</v>
      </c>
      <c r="E102" s="3" t="s">
        <v>369</v>
      </c>
      <c r="F102" s="3">
        <v>12488</v>
      </c>
      <c r="G102" s="3">
        <v>1403</v>
      </c>
      <c r="H102" s="3">
        <v>247</v>
      </c>
      <c r="I102" s="3">
        <v>1350</v>
      </c>
      <c r="J102" s="3">
        <v>28370</v>
      </c>
      <c r="K102" s="3">
        <v>76487</v>
      </c>
      <c r="L102" s="3" t="s">
        <v>20</v>
      </c>
      <c r="M102" s="4">
        <v>0.18484186855282597</v>
      </c>
    </row>
    <row r="103" spans="1:13" x14ac:dyDescent="0.3">
      <c r="A103" s="3" t="s">
        <v>266</v>
      </c>
      <c r="B103" s="3" t="s">
        <v>22</v>
      </c>
      <c r="C103" s="2">
        <v>45488</v>
      </c>
      <c r="D103" s="3" t="s">
        <v>27</v>
      </c>
      <c r="E103" s="3" t="s">
        <v>32</v>
      </c>
      <c r="F103" s="3">
        <v>12554</v>
      </c>
      <c r="G103" s="3">
        <v>381</v>
      </c>
      <c r="H103" s="3">
        <v>211</v>
      </c>
      <c r="I103" s="3">
        <v>2286</v>
      </c>
      <c r="J103" s="3">
        <v>50567</v>
      </c>
      <c r="K103" s="3">
        <v>72779</v>
      </c>
      <c r="L103" s="3" t="s">
        <v>16</v>
      </c>
      <c r="M103" s="4">
        <v>0.18062902760411656</v>
      </c>
    </row>
    <row r="104" spans="1:13" x14ac:dyDescent="0.3">
      <c r="A104" s="3" t="s">
        <v>184</v>
      </c>
      <c r="B104" s="3" t="s">
        <v>13</v>
      </c>
      <c r="C104" s="2">
        <v>45762</v>
      </c>
      <c r="D104" s="3" t="s">
        <v>27</v>
      </c>
      <c r="E104" s="3" t="s">
        <v>365</v>
      </c>
      <c r="F104" s="3">
        <v>20977</v>
      </c>
      <c r="G104" s="3">
        <v>1402</v>
      </c>
      <c r="H104" s="3">
        <v>301</v>
      </c>
      <c r="I104" s="3">
        <v>1284</v>
      </c>
      <c r="J104" s="3">
        <v>24620</v>
      </c>
      <c r="K104" s="3">
        <v>128009</v>
      </c>
      <c r="L104" s="3" t="s">
        <v>16</v>
      </c>
      <c r="M104" s="4">
        <v>0.17717504237983267</v>
      </c>
    </row>
    <row r="105" spans="1:13" x14ac:dyDescent="0.3">
      <c r="A105" s="3" t="s">
        <v>184</v>
      </c>
      <c r="B105" s="3" t="s">
        <v>13</v>
      </c>
      <c r="C105" s="2">
        <v>45762</v>
      </c>
      <c r="D105" s="3" t="s">
        <v>27</v>
      </c>
      <c r="E105" s="3" t="s">
        <v>359</v>
      </c>
      <c r="F105" s="3">
        <v>20977</v>
      </c>
      <c r="G105" s="3">
        <v>1402</v>
      </c>
      <c r="H105" s="3">
        <v>301</v>
      </c>
      <c r="I105" s="3">
        <v>1284</v>
      </c>
      <c r="J105" s="3">
        <v>24620</v>
      </c>
      <c r="K105" s="3">
        <v>128009</v>
      </c>
      <c r="L105" s="3" t="s">
        <v>16</v>
      </c>
      <c r="M105" s="4">
        <v>0.17717504237983267</v>
      </c>
    </row>
    <row r="106" spans="1:13" x14ac:dyDescent="0.3">
      <c r="A106" s="3" t="s">
        <v>175</v>
      </c>
      <c r="B106" s="3" t="s">
        <v>13</v>
      </c>
      <c r="C106" s="2">
        <v>45594</v>
      </c>
      <c r="D106" s="3" t="s">
        <v>23</v>
      </c>
      <c r="E106" s="3" t="s">
        <v>359</v>
      </c>
      <c r="F106" s="3">
        <v>23969</v>
      </c>
      <c r="G106" s="3">
        <v>1433</v>
      </c>
      <c r="H106" s="3">
        <v>372</v>
      </c>
      <c r="I106" s="3">
        <v>1092</v>
      </c>
      <c r="J106" s="3">
        <v>32147</v>
      </c>
      <c r="K106" s="3">
        <v>145823</v>
      </c>
      <c r="L106" s="3" t="s">
        <v>25</v>
      </c>
      <c r="M106" s="4">
        <v>0.17674852389540743</v>
      </c>
    </row>
    <row r="107" spans="1:13" x14ac:dyDescent="0.3">
      <c r="A107" s="3" t="s">
        <v>175</v>
      </c>
      <c r="B107" s="3" t="s">
        <v>13</v>
      </c>
      <c r="C107" s="2">
        <v>45594</v>
      </c>
      <c r="D107" s="3" t="s">
        <v>23</v>
      </c>
      <c r="E107" s="3" t="s">
        <v>366</v>
      </c>
      <c r="F107" s="3">
        <v>23969</v>
      </c>
      <c r="G107" s="3">
        <v>1433</v>
      </c>
      <c r="H107" s="3">
        <v>372</v>
      </c>
      <c r="I107" s="3">
        <v>1092</v>
      </c>
      <c r="J107" s="3">
        <v>32147</v>
      </c>
      <c r="K107" s="3">
        <v>145823</v>
      </c>
      <c r="L107" s="3" t="s">
        <v>25</v>
      </c>
      <c r="M107" s="4">
        <v>0.17674852389540743</v>
      </c>
    </row>
    <row r="108" spans="1:13" x14ac:dyDescent="0.3">
      <c r="A108" s="3" t="s">
        <v>57</v>
      </c>
      <c r="B108" s="3" t="s">
        <v>40</v>
      </c>
      <c r="C108" s="2">
        <v>45602</v>
      </c>
      <c r="D108" s="3" t="s">
        <v>34</v>
      </c>
      <c r="E108" s="3" t="s">
        <v>359</v>
      </c>
      <c r="F108" s="3">
        <v>8938</v>
      </c>
      <c r="G108" s="3">
        <v>800</v>
      </c>
      <c r="H108" s="3">
        <v>842</v>
      </c>
      <c r="I108" s="3">
        <v>2072</v>
      </c>
      <c r="J108" s="3">
        <v>31736</v>
      </c>
      <c r="K108" s="3">
        <v>59975</v>
      </c>
      <c r="L108" s="3" t="s">
        <v>29</v>
      </c>
      <c r="M108" s="4">
        <v>0.17640683618174238</v>
      </c>
    </row>
    <row r="109" spans="1:13" x14ac:dyDescent="0.3">
      <c r="A109" s="3" t="s">
        <v>57</v>
      </c>
      <c r="B109" s="3" t="s">
        <v>40</v>
      </c>
      <c r="C109" s="2">
        <v>45602</v>
      </c>
      <c r="D109" s="3" t="s">
        <v>34</v>
      </c>
      <c r="E109" s="3" t="s">
        <v>366</v>
      </c>
      <c r="F109" s="3">
        <v>8938</v>
      </c>
      <c r="G109" s="3">
        <v>800</v>
      </c>
      <c r="H109" s="3">
        <v>842</v>
      </c>
      <c r="I109" s="3">
        <v>2072</v>
      </c>
      <c r="J109" s="3">
        <v>31736</v>
      </c>
      <c r="K109" s="3">
        <v>59975</v>
      </c>
      <c r="L109" s="3" t="s">
        <v>29</v>
      </c>
      <c r="M109" s="4">
        <v>0.17640683618174238</v>
      </c>
    </row>
    <row r="110" spans="1:13" x14ac:dyDescent="0.3">
      <c r="A110" s="3" t="s">
        <v>161</v>
      </c>
      <c r="B110" s="3" t="s">
        <v>22</v>
      </c>
      <c r="C110" s="2">
        <v>45543</v>
      </c>
      <c r="D110" s="3" t="s">
        <v>34</v>
      </c>
      <c r="E110" s="3" t="s">
        <v>353</v>
      </c>
      <c r="F110" s="3">
        <v>8090</v>
      </c>
      <c r="G110" s="3">
        <v>570</v>
      </c>
      <c r="H110" s="3">
        <v>399</v>
      </c>
      <c r="I110" s="3">
        <v>1862</v>
      </c>
      <c r="J110" s="3">
        <v>34088</v>
      </c>
      <c r="K110" s="3">
        <v>52115</v>
      </c>
      <c r="L110" s="3" t="s">
        <v>16</v>
      </c>
      <c r="M110" s="4">
        <v>0.17382711311522595</v>
      </c>
    </row>
    <row r="111" spans="1:13" x14ac:dyDescent="0.3">
      <c r="A111" s="3" t="s">
        <v>161</v>
      </c>
      <c r="B111" s="3" t="s">
        <v>22</v>
      </c>
      <c r="C111" s="2">
        <v>45543</v>
      </c>
      <c r="D111" s="3" t="s">
        <v>34</v>
      </c>
      <c r="E111" s="3" t="s">
        <v>354</v>
      </c>
      <c r="F111" s="3">
        <v>8090</v>
      </c>
      <c r="G111" s="3">
        <v>570</v>
      </c>
      <c r="H111" s="3">
        <v>399</v>
      </c>
      <c r="I111" s="3">
        <v>1862</v>
      </c>
      <c r="J111" s="3">
        <v>34088</v>
      </c>
      <c r="K111" s="3">
        <v>52115</v>
      </c>
      <c r="L111" s="3" t="s">
        <v>16</v>
      </c>
      <c r="M111" s="4">
        <v>0.17382711311522595</v>
      </c>
    </row>
    <row r="112" spans="1:13" x14ac:dyDescent="0.3">
      <c r="A112" s="3" t="s">
        <v>127</v>
      </c>
      <c r="B112" s="3" t="s">
        <v>18</v>
      </c>
      <c r="C112" s="2">
        <v>45924</v>
      </c>
      <c r="D112" s="3" t="s">
        <v>23</v>
      </c>
      <c r="E112" s="3" t="s">
        <v>361</v>
      </c>
      <c r="F112" s="3">
        <v>12209</v>
      </c>
      <c r="G112" s="3">
        <v>222</v>
      </c>
      <c r="H112" s="3">
        <v>479</v>
      </c>
      <c r="I112" s="3">
        <v>2748</v>
      </c>
      <c r="J112" s="3">
        <v>24615</v>
      </c>
      <c r="K112" s="3">
        <v>74707</v>
      </c>
      <c r="L112" s="3" t="s">
        <v>20</v>
      </c>
      <c r="M112" s="4">
        <v>0.17280843829895459</v>
      </c>
    </row>
    <row r="113" spans="1:13" x14ac:dyDescent="0.3">
      <c r="A113" s="3" t="s">
        <v>127</v>
      </c>
      <c r="B113" s="3" t="s">
        <v>18</v>
      </c>
      <c r="C113" s="2">
        <v>45924</v>
      </c>
      <c r="D113" s="3" t="s">
        <v>23</v>
      </c>
      <c r="E113" s="3" t="s">
        <v>362</v>
      </c>
      <c r="F113" s="3">
        <v>12209</v>
      </c>
      <c r="G113" s="3">
        <v>222</v>
      </c>
      <c r="H113" s="3">
        <v>479</v>
      </c>
      <c r="I113" s="3">
        <v>2748</v>
      </c>
      <c r="J113" s="3">
        <v>24615</v>
      </c>
      <c r="K113" s="3">
        <v>74707</v>
      </c>
      <c r="L113" s="3" t="s">
        <v>20</v>
      </c>
      <c r="M113" s="4">
        <v>0.17280843829895459</v>
      </c>
    </row>
    <row r="114" spans="1:13" x14ac:dyDescent="0.3">
      <c r="A114" s="3" t="s">
        <v>79</v>
      </c>
      <c r="B114" s="3" t="s">
        <v>18</v>
      </c>
      <c r="C114" s="2">
        <v>45718</v>
      </c>
      <c r="D114" s="3" t="s">
        <v>27</v>
      </c>
      <c r="E114" s="3" t="s">
        <v>367</v>
      </c>
      <c r="F114" s="3">
        <v>22562</v>
      </c>
      <c r="G114" s="3">
        <v>778</v>
      </c>
      <c r="H114" s="3">
        <v>907</v>
      </c>
      <c r="I114" s="3">
        <v>1354</v>
      </c>
      <c r="J114" s="3">
        <v>34475</v>
      </c>
      <c r="K114" s="3">
        <v>141459</v>
      </c>
      <c r="L114" s="3" t="s">
        <v>29</v>
      </c>
      <c r="M114" s="4">
        <v>0.17140655596321194</v>
      </c>
    </row>
    <row r="115" spans="1:13" x14ac:dyDescent="0.3">
      <c r="A115" s="3" t="s">
        <v>79</v>
      </c>
      <c r="B115" s="3" t="s">
        <v>18</v>
      </c>
      <c r="C115" s="2">
        <v>45718</v>
      </c>
      <c r="D115" s="3" t="s">
        <v>27</v>
      </c>
      <c r="E115" s="3" t="s">
        <v>32</v>
      </c>
      <c r="F115" s="3">
        <v>22562</v>
      </c>
      <c r="G115" s="3">
        <v>778</v>
      </c>
      <c r="H115" s="3">
        <v>907</v>
      </c>
      <c r="I115" s="3">
        <v>1354</v>
      </c>
      <c r="J115" s="3">
        <v>34475</v>
      </c>
      <c r="K115" s="3">
        <v>141459</v>
      </c>
      <c r="L115" s="3" t="s">
        <v>29</v>
      </c>
      <c r="M115" s="4">
        <v>0.17140655596321194</v>
      </c>
    </row>
    <row r="116" spans="1:13" x14ac:dyDescent="0.3">
      <c r="A116" s="3" t="s">
        <v>312</v>
      </c>
      <c r="B116" s="3" t="s">
        <v>18</v>
      </c>
      <c r="C116" s="2">
        <v>45450</v>
      </c>
      <c r="D116" s="3" t="s">
        <v>27</v>
      </c>
      <c r="E116" s="3" t="s">
        <v>359</v>
      </c>
      <c r="F116" s="3">
        <v>8233</v>
      </c>
      <c r="G116" s="3">
        <v>436</v>
      </c>
      <c r="H116" s="3">
        <v>269</v>
      </c>
      <c r="I116" s="3">
        <v>2037</v>
      </c>
      <c r="J116" s="3">
        <v>8875</v>
      </c>
      <c r="K116" s="3">
        <v>52289</v>
      </c>
      <c r="L116" s="3" t="s">
        <v>16</v>
      </c>
      <c r="M116" s="4">
        <v>0.17093461339861157</v>
      </c>
    </row>
    <row r="117" spans="1:13" x14ac:dyDescent="0.3">
      <c r="A117" s="3" t="s">
        <v>312</v>
      </c>
      <c r="B117" s="3" t="s">
        <v>18</v>
      </c>
      <c r="C117" s="2">
        <v>45450</v>
      </c>
      <c r="D117" s="3" t="s">
        <v>27</v>
      </c>
      <c r="E117" s="3" t="s">
        <v>360</v>
      </c>
      <c r="F117" s="3">
        <v>8233</v>
      </c>
      <c r="G117" s="3">
        <v>436</v>
      </c>
      <c r="H117" s="3">
        <v>269</v>
      </c>
      <c r="I117" s="3">
        <v>2037</v>
      </c>
      <c r="J117" s="3">
        <v>8875</v>
      </c>
      <c r="K117" s="3">
        <v>52289</v>
      </c>
      <c r="L117" s="3" t="s">
        <v>16</v>
      </c>
      <c r="M117" s="4">
        <v>0.17093461339861157</v>
      </c>
    </row>
    <row r="118" spans="1:13" x14ac:dyDescent="0.3">
      <c r="A118" s="3" t="s">
        <v>196</v>
      </c>
      <c r="B118" s="3" t="s">
        <v>18</v>
      </c>
      <c r="C118" s="2">
        <v>45528</v>
      </c>
      <c r="D118" s="3" t="s">
        <v>23</v>
      </c>
      <c r="E118" s="3" t="s">
        <v>367</v>
      </c>
      <c r="F118" s="3">
        <v>22527</v>
      </c>
      <c r="G118" s="3">
        <v>865</v>
      </c>
      <c r="H118" s="3">
        <v>646</v>
      </c>
      <c r="I118" s="3">
        <v>992</v>
      </c>
      <c r="J118" s="3">
        <v>18654</v>
      </c>
      <c r="K118" s="3">
        <v>141376</v>
      </c>
      <c r="L118" s="3" t="s">
        <v>45</v>
      </c>
      <c r="M118" s="4">
        <v>0.17002885921231325</v>
      </c>
    </row>
    <row r="119" spans="1:13" x14ac:dyDescent="0.3">
      <c r="A119" s="3" t="s">
        <v>196</v>
      </c>
      <c r="B119" s="3" t="s">
        <v>18</v>
      </c>
      <c r="C119" s="2">
        <v>45528</v>
      </c>
      <c r="D119" s="3" t="s">
        <v>23</v>
      </c>
      <c r="E119" s="3" t="s">
        <v>32</v>
      </c>
      <c r="F119" s="3">
        <v>22527</v>
      </c>
      <c r="G119" s="3">
        <v>865</v>
      </c>
      <c r="H119" s="3">
        <v>646</v>
      </c>
      <c r="I119" s="3">
        <v>992</v>
      </c>
      <c r="J119" s="3">
        <v>18654</v>
      </c>
      <c r="K119" s="3">
        <v>141376</v>
      </c>
      <c r="L119" s="3" t="s">
        <v>45</v>
      </c>
      <c r="M119" s="4">
        <v>0.17002885921231325</v>
      </c>
    </row>
    <row r="120" spans="1:13" x14ac:dyDescent="0.3">
      <c r="A120" s="3" t="s">
        <v>194</v>
      </c>
      <c r="B120" s="3" t="s">
        <v>40</v>
      </c>
      <c r="C120" s="2">
        <v>45515</v>
      </c>
      <c r="D120" s="3" t="s">
        <v>34</v>
      </c>
      <c r="E120" s="3" t="s">
        <v>355</v>
      </c>
      <c r="F120" s="3">
        <v>14394</v>
      </c>
      <c r="G120" s="3">
        <v>1202</v>
      </c>
      <c r="H120" s="3">
        <v>188</v>
      </c>
      <c r="I120" s="3">
        <v>1259</v>
      </c>
      <c r="J120" s="3">
        <v>21925</v>
      </c>
      <c r="K120" s="3">
        <v>94061</v>
      </c>
      <c r="L120" s="3" t="s">
        <v>29</v>
      </c>
      <c r="M120" s="4">
        <v>0.1678059982351878</v>
      </c>
    </row>
    <row r="121" spans="1:13" x14ac:dyDescent="0.3">
      <c r="A121" s="3" t="s">
        <v>194</v>
      </c>
      <c r="B121" s="3" t="s">
        <v>40</v>
      </c>
      <c r="C121" s="2">
        <v>45515</v>
      </c>
      <c r="D121" s="3" t="s">
        <v>34</v>
      </c>
      <c r="E121" s="3" t="s">
        <v>356</v>
      </c>
      <c r="F121" s="3">
        <v>14394</v>
      </c>
      <c r="G121" s="3">
        <v>1202</v>
      </c>
      <c r="H121" s="3">
        <v>188</v>
      </c>
      <c r="I121" s="3">
        <v>1259</v>
      </c>
      <c r="J121" s="3">
        <v>21925</v>
      </c>
      <c r="K121" s="3">
        <v>94061</v>
      </c>
      <c r="L121" s="3" t="s">
        <v>29</v>
      </c>
      <c r="M121" s="4">
        <v>0.1678059982351878</v>
      </c>
    </row>
    <row r="122" spans="1:13" x14ac:dyDescent="0.3">
      <c r="A122" s="3" t="s">
        <v>238</v>
      </c>
      <c r="B122" s="3" t="s">
        <v>18</v>
      </c>
      <c r="C122" s="2">
        <v>45921</v>
      </c>
      <c r="D122" s="3" t="s">
        <v>14</v>
      </c>
      <c r="E122" s="3" t="s">
        <v>368</v>
      </c>
      <c r="F122" s="3">
        <v>19680</v>
      </c>
      <c r="G122" s="3">
        <v>999</v>
      </c>
      <c r="H122" s="3">
        <v>838</v>
      </c>
      <c r="I122" s="3">
        <v>891</v>
      </c>
      <c r="J122" s="3">
        <v>29576</v>
      </c>
      <c r="K122" s="3">
        <v>129152</v>
      </c>
      <c r="L122" s="3" t="s">
        <v>20</v>
      </c>
      <c r="M122" s="4">
        <v>0.16660214321110009</v>
      </c>
    </row>
    <row r="123" spans="1:13" x14ac:dyDescent="0.3">
      <c r="A123" s="3" t="s">
        <v>238</v>
      </c>
      <c r="B123" s="3" t="s">
        <v>18</v>
      </c>
      <c r="C123" s="2">
        <v>45921</v>
      </c>
      <c r="D123" s="3" t="s">
        <v>14</v>
      </c>
      <c r="E123" s="3" t="s">
        <v>369</v>
      </c>
      <c r="F123" s="3">
        <v>19680</v>
      </c>
      <c r="G123" s="3">
        <v>999</v>
      </c>
      <c r="H123" s="3">
        <v>838</v>
      </c>
      <c r="I123" s="3">
        <v>891</v>
      </c>
      <c r="J123" s="3">
        <v>29576</v>
      </c>
      <c r="K123" s="3">
        <v>129152</v>
      </c>
      <c r="L123" s="3" t="s">
        <v>20</v>
      </c>
      <c r="M123" s="4">
        <v>0.16660214321110009</v>
      </c>
    </row>
    <row r="124" spans="1:13" x14ac:dyDescent="0.3">
      <c r="A124" s="3" t="s">
        <v>108</v>
      </c>
      <c r="B124" s="3" t="s">
        <v>22</v>
      </c>
      <c r="C124" s="2">
        <v>45921</v>
      </c>
      <c r="D124" s="3" t="s">
        <v>27</v>
      </c>
      <c r="E124" s="3" t="s">
        <v>353</v>
      </c>
      <c r="F124" s="3">
        <v>23103</v>
      </c>
      <c r="G124" s="3">
        <v>1380</v>
      </c>
      <c r="H124" s="3">
        <v>191</v>
      </c>
      <c r="I124" s="3">
        <v>1547</v>
      </c>
      <c r="J124" s="3">
        <v>77798</v>
      </c>
      <c r="K124" s="3">
        <v>148856</v>
      </c>
      <c r="L124" s="3" t="s">
        <v>20</v>
      </c>
      <c r="M124" s="4">
        <v>0.16575751061428495</v>
      </c>
    </row>
    <row r="125" spans="1:13" x14ac:dyDescent="0.3">
      <c r="A125" s="3" t="s">
        <v>108</v>
      </c>
      <c r="B125" s="3" t="s">
        <v>22</v>
      </c>
      <c r="C125" s="2">
        <v>45921</v>
      </c>
      <c r="D125" s="3" t="s">
        <v>27</v>
      </c>
      <c r="E125" s="3" t="s">
        <v>354</v>
      </c>
      <c r="F125" s="3">
        <v>23103</v>
      </c>
      <c r="G125" s="3">
        <v>1380</v>
      </c>
      <c r="H125" s="3">
        <v>191</v>
      </c>
      <c r="I125" s="3">
        <v>1547</v>
      </c>
      <c r="J125" s="3">
        <v>77798</v>
      </c>
      <c r="K125" s="3">
        <v>148856</v>
      </c>
      <c r="L125" s="3" t="s">
        <v>20</v>
      </c>
      <c r="M125" s="4">
        <v>0.16575751061428495</v>
      </c>
    </row>
    <row r="126" spans="1:13" x14ac:dyDescent="0.3">
      <c r="A126" s="3" t="s">
        <v>257</v>
      </c>
      <c r="B126" s="3" t="s">
        <v>13</v>
      </c>
      <c r="C126" s="2">
        <v>45739</v>
      </c>
      <c r="D126" s="3" t="s">
        <v>34</v>
      </c>
      <c r="E126" s="3" t="s">
        <v>361</v>
      </c>
      <c r="F126" s="3">
        <v>17728</v>
      </c>
      <c r="G126" s="3">
        <v>1487</v>
      </c>
      <c r="H126" s="3">
        <v>210</v>
      </c>
      <c r="I126" s="3">
        <v>2469</v>
      </c>
      <c r="J126" s="3">
        <v>30565</v>
      </c>
      <c r="K126" s="3">
        <v>117576</v>
      </c>
      <c r="L126" s="3" t="s">
        <v>16</v>
      </c>
      <c r="M126" s="4">
        <v>0.16521228822208614</v>
      </c>
    </row>
    <row r="127" spans="1:13" x14ac:dyDescent="0.3">
      <c r="A127" s="3" t="s">
        <v>257</v>
      </c>
      <c r="B127" s="3" t="s">
        <v>13</v>
      </c>
      <c r="C127" s="2">
        <v>45739</v>
      </c>
      <c r="D127" s="3" t="s">
        <v>34</v>
      </c>
      <c r="E127" s="3" t="s">
        <v>362</v>
      </c>
      <c r="F127" s="3">
        <v>17728</v>
      </c>
      <c r="G127" s="3">
        <v>1487</v>
      </c>
      <c r="H127" s="3">
        <v>210</v>
      </c>
      <c r="I127" s="3">
        <v>2469</v>
      </c>
      <c r="J127" s="3">
        <v>30565</v>
      </c>
      <c r="K127" s="3">
        <v>117576</v>
      </c>
      <c r="L127" s="3" t="s">
        <v>16</v>
      </c>
      <c r="M127" s="4">
        <v>0.16521228822208614</v>
      </c>
    </row>
    <row r="128" spans="1:13" x14ac:dyDescent="0.3">
      <c r="A128" s="3" t="s">
        <v>321</v>
      </c>
      <c r="B128" s="3" t="s">
        <v>40</v>
      </c>
      <c r="C128" s="2">
        <v>45491</v>
      </c>
      <c r="D128" s="3" t="s">
        <v>27</v>
      </c>
      <c r="E128" s="3" t="s">
        <v>353</v>
      </c>
      <c r="F128" s="3">
        <v>16594</v>
      </c>
      <c r="G128" s="3">
        <v>809</v>
      </c>
      <c r="H128" s="3">
        <v>784</v>
      </c>
      <c r="I128" s="3">
        <v>1655</v>
      </c>
      <c r="J128" s="3">
        <v>35505</v>
      </c>
      <c r="K128" s="3">
        <v>112588</v>
      </c>
      <c r="L128" s="3" t="s">
        <v>25</v>
      </c>
      <c r="M128" s="4">
        <v>0.16153586527871533</v>
      </c>
    </row>
    <row r="129" spans="1:13" x14ac:dyDescent="0.3">
      <c r="A129" s="3" t="s">
        <v>321</v>
      </c>
      <c r="B129" s="3" t="s">
        <v>40</v>
      </c>
      <c r="C129" s="2">
        <v>45491</v>
      </c>
      <c r="D129" s="3" t="s">
        <v>27</v>
      </c>
      <c r="E129" s="3" t="s">
        <v>354</v>
      </c>
      <c r="F129" s="3">
        <v>16594</v>
      </c>
      <c r="G129" s="3">
        <v>809</v>
      </c>
      <c r="H129" s="3">
        <v>784</v>
      </c>
      <c r="I129" s="3">
        <v>1655</v>
      </c>
      <c r="J129" s="3">
        <v>35505</v>
      </c>
      <c r="K129" s="3">
        <v>112588</v>
      </c>
      <c r="L129" s="3" t="s">
        <v>25</v>
      </c>
      <c r="M129" s="4">
        <v>0.16153586527871533</v>
      </c>
    </row>
    <row r="130" spans="1:13" x14ac:dyDescent="0.3">
      <c r="A130" s="3" t="s">
        <v>97</v>
      </c>
      <c r="B130" s="3" t="s">
        <v>13</v>
      </c>
      <c r="C130" s="2">
        <v>45920</v>
      </c>
      <c r="D130" s="3" t="s">
        <v>14</v>
      </c>
      <c r="E130" s="3" t="s">
        <v>359</v>
      </c>
      <c r="F130" s="3">
        <v>18633</v>
      </c>
      <c r="G130" s="3">
        <v>797</v>
      </c>
      <c r="H130" s="3">
        <v>303</v>
      </c>
      <c r="I130" s="3">
        <v>659</v>
      </c>
      <c r="J130" s="3">
        <v>7</v>
      </c>
      <c r="K130" s="3">
        <v>122189</v>
      </c>
      <c r="L130" s="3" t="s">
        <v>20</v>
      </c>
      <c r="M130" s="4">
        <v>0.16149571565361859</v>
      </c>
    </row>
    <row r="131" spans="1:13" x14ac:dyDescent="0.3">
      <c r="A131" s="3" t="s">
        <v>97</v>
      </c>
      <c r="B131" s="3" t="s">
        <v>13</v>
      </c>
      <c r="C131" s="2">
        <v>45920</v>
      </c>
      <c r="D131" s="3" t="s">
        <v>14</v>
      </c>
      <c r="E131" s="3" t="s">
        <v>366</v>
      </c>
      <c r="F131" s="3">
        <v>18633</v>
      </c>
      <c r="G131" s="3">
        <v>797</v>
      </c>
      <c r="H131" s="3">
        <v>303</v>
      </c>
      <c r="I131" s="3">
        <v>659</v>
      </c>
      <c r="J131" s="3">
        <v>7</v>
      </c>
      <c r="K131" s="3">
        <v>122189</v>
      </c>
      <c r="L131" s="3" t="s">
        <v>20</v>
      </c>
      <c r="M131" s="4">
        <v>0.16149571565361859</v>
      </c>
    </row>
    <row r="132" spans="1:13" x14ac:dyDescent="0.3">
      <c r="A132" s="3" t="s">
        <v>110</v>
      </c>
      <c r="B132" s="3" t="s">
        <v>22</v>
      </c>
      <c r="C132" s="2">
        <v>45505</v>
      </c>
      <c r="D132" s="3" t="s">
        <v>14</v>
      </c>
      <c r="E132" s="3" t="s">
        <v>357</v>
      </c>
      <c r="F132" s="3">
        <v>21758</v>
      </c>
      <c r="G132" s="3">
        <v>1380</v>
      </c>
      <c r="H132" s="3">
        <v>188</v>
      </c>
      <c r="I132" s="3">
        <v>1735</v>
      </c>
      <c r="J132" s="3">
        <v>20998</v>
      </c>
      <c r="K132" s="3">
        <v>147803</v>
      </c>
      <c r="L132" s="3" t="s">
        <v>45</v>
      </c>
      <c r="M132" s="4">
        <v>0.15781817689762725</v>
      </c>
    </row>
    <row r="133" spans="1:13" x14ac:dyDescent="0.3">
      <c r="A133" s="3" t="s">
        <v>110</v>
      </c>
      <c r="B133" s="3" t="s">
        <v>22</v>
      </c>
      <c r="C133" s="2">
        <v>45505</v>
      </c>
      <c r="D133" s="3" t="s">
        <v>14</v>
      </c>
      <c r="E133" s="3" t="s">
        <v>358</v>
      </c>
      <c r="F133" s="3">
        <v>21758</v>
      </c>
      <c r="G133" s="3">
        <v>1380</v>
      </c>
      <c r="H133" s="3">
        <v>188</v>
      </c>
      <c r="I133" s="3">
        <v>1735</v>
      </c>
      <c r="J133" s="3">
        <v>20998</v>
      </c>
      <c r="K133" s="3">
        <v>147803</v>
      </c>
      <c r="L133" s="3" t="s">
        <v>45</v>
      </c>
      <c r="M133" s="4">
        <v>0.15781817689762725</v>
      </c>
    </row>
    <row r="134" spans="1:13" x14ac:dyDescent="0.3">
      <c r="A134" s="3" t="s">
        <v>225</v>
      </c>
      <c r="B134" s="3" t="s">
        <v>13</v>
      </c>
      <c r="C134" s="2">
        <v>45740</v>
      </c>
      <c r="D134" s="3" t="s">
        <v>14</v>
      </c>
      <c r="E134" s="3" t="s">
        <v>32</v>
      </c>
      <c r="F134" s="3">
        <v>10172</v>
      </c>
      <c r="G134" s="3">
        <v>1398</v>
      </c>
      <c r="H134" s="3">
        <v>394</v>
      </c>
      <c r="I134" s="3">
        <v>2358</v>
      </c>
      <c r="J134" s="3">
        <v>59610</v>
      </c>
      <c r="K134" s="3">
        <v>76321</v>
      </c>
      <c r="L134" s="3" t="s">
        <v>29</v>
      </c>
      <c r="M134" s="4">
        <v>0.15675895231980713</v>
      </c>
    </row>
    <row r="135" spans="1:13" x14ac:dyDescent="0.3">
      <c r="A135" s="3" t="s">
        <v>85</v>
      </c>
      <c r="B135" s="3" t="s">
        <v>40</v>
      </c>
      <c r="C135" s="2">
        <v>45476</v>
      </c>
      <c r="D135" s="3" t="s">
        <v>23</v>
      </c>
      <c r="E135" s="3" t="s">
        <v>361</v>
      </c>
      <c r="F135" s="3">
        <v>14338</v>
      </c>
      <c r="G135" s="3">
        <v>1454</v>
      </c>
      <c r="H135" s="3">
        <v>697</v>
      </c>
      <c r="I135" s="3">
        <v>2703</v>
      </c>
      <c r="J135" s="3">
        <v>21288</v>
      </c>
      <c r="K135" s="3">
        <v>107649</v>
      </c>
      <c r="L135" s="3" t="s">
        <v>29</v>
      </c>
      <c r="M135" s="4">
        <v>0.1531737405828201</v>
      </c>
    </row>
    <row r="136" spans="1:13" x14ac:dyDescent="0.3">
      <c r="A136" s="3" t="s">
        <v>85</v>
      </c>
      <c r="B136" s="3" t="s">
        <v>40</v>
      </c>
      <c r="C136" s="2">
        <v>45476</v>
      </c>
      <c r="D136" s="3" t="s">
        <v>23</v>
      </c>
      <c r="E136" s="3" t="s">
        <v>362</v>
      </c>
      <c r="F136" s="3">
        <v>14338</v>
      </c>
      <c r="G136" s="3">
        <v>1454</v>
      </c>
      <c r="H136" s="3">
        <v>697</v>
      </c>
      <c r="I136" s="3">
        <v>2703</v>
      </c>
      <c r="J136" s="3">
        <v>21288</v>
      </c>
      <c r="K136" s="3">
        <v>107649</v>
      </c>
      <c r="L136" s="3" t="s">
        <v>29</v>
      </c>
      <c r="M136" s="4">
        <v>0.1531737405828201</v>
      </c>
    </row>
    <row r="137" spans="1:13" x14ac:dyDescent="0.3">
      <c r="A137" s="3" t="s">
        <v>168</v>
      </c>
      <c r="B137" s="3" t="s">
        <v>22</v>
      </c>
      <c r="C137" s="2">
        <v>45720</v>
      </c>
      <c r="D137" s="3" t="s">
        <v>27</v>
      </c>
      <c r="E137" s="3" t="s">
        <v>355</v>
      </c>
      <c r="F137" s="3">
        <v>5266</v>
      </c>
      <c r="G137" s="3">
        <v>316</v>
      </c>
      <c r="H137" s="3">
        <v>837</v>
      </c>
      <c r="I137" s="3">
        <v>2276</v>
      </c>
      <c r="J137" s="3">
        <v>20967</v>
      </c>
      <c r="K137" s="3">
        <v>41969</v>
      </c>
      <c r="L137" s="3" t="s">
        <v>45</v>
      </c>
      <c r="M137" s="4">
        <v>0.1529462222116324</v>
      </c>
    </row>
    <row r="138" spans="1:13" x14ac:dyDescent="0.3">
      <c r="A138" s="3" t="s">
        <v>168</v>
      </c>
      <c r="B138" s="3" t="s">
        <v>22</v>
      </c>
      <c r="C138" s="2">
        <v>45720</v>
      </c>
      <c r="D138" s="3" t="s">
        <v>27</v>
      </c>
      <c r="E138" s="3" t="s">
        <v>356</v>
      </c>
      <c r="F138" s="3">
        <v>5266</v>
      </c>
      <c r="G138" s="3">
        <v>316</v>
      </c>
      <c r="H138" s="3">
        <v>837</v>
      </c>
      <c r="I138" s="3">
        <v>2276</v>
      </c>
      <c r="J138" s="3">
        <v>20967</v>
      </c>
      <c r="K138" s="3">
        <v>41969</v>
      </c>
      <c r="L138" s="3" t="s">
        <v>45</v>
      </c>
      <c r="M138" s="4">
        <v>0.1529462222116324</v>
      </c>
    </row>
    <row r="139" spans="1:13" x14ac:dyDescent="0.3">
      <c r="A139" s="3" t="s">
        <v>75</v>
      </c>
      <c r="B139" s="3" t="s">
        <v>13</v>
      </c>
      <c r="C139" s="2">
        <v>45914</v>
      </c>
      <c r="D139" s="3" t="s">
        <v>34</v>
      </c>
      <c r="E139" s="3" t="s">
        <v>363</v>
      </c>
      <c r="F139" s="3">
        <v>19844</v>
      </c>
      <c r="G139" s="3">
        <v>1020</v>
      </c>
      <c r="H139" s="3">
        <v>247</v>
      </c>
      <c r="I139" s="3">
        <v>2354</v>
      </c>
      <c r="J139" s="3">
        <v>37792</v>
      </c>
      <c r="K139" s="3">
        <v>138317</v>
      </c>
      <c r="L139" s="3" t="s">
        <v>20</v>
      </c>
      <c r="M139" s="4">
        <v>0.15262765965138053</v>
      </c>
    </row>
    <row r="140" spans="1:13" x14ac:dyDescent="0.3">
      <c r="A140" s="3" t="s">
        <v>75</v>
      </c>
      <c r="B140" s="3" t="s">
        <v>13</v>
      </c>
      <c r="C140" s="2">
        <v>45914</v>
      </c>
      <c r="D140" s="3" t="s">
        <v>34</v>
      </c>
      <c r="E140" s="3" t="s">
        <v>364</v>
      </c>
      <c r="F140" s="3">
        <v>19844</v>
      </c>
      <c r="G140" s="3">
        <v>1020</v>
      </c>
      <c r="H140" s="3">
        <v>247</v>
      </c>
      <c r="I140" s="3">
        <v>2354</v>
      </c>
      <c r="J140" s="3">
        <v>37792</v>
      </c>
      <c r="K140" s="3">
        <v>138317</v>
      </c>
      <c r="L140" s="3" t="s">
        <v>20</v>
      </c>
      <c r="M140" s="4">
        <v>0.15262765965138053</v>
      </c>
    </row>
    <row r="141" spans="1:13" x14ac:dyDescent="0.3">
      <c r="A141" s="3" t="s">
        <v>112</v>
      </c>
      <c r="B141" s="3" t="s">
        <v>18</v>
      </c>
      <c r="C141" s="2">
        <v>45720</v>
      </c>
      <c r="D141" s="3" t="s">
        <v>34</v>
      </c>
      <c r="E141" s="3" t="s">
        <v>365</v>
      </c>
      <c r="F141" s="3">
        <v>13470</v>
      </c>
      <c r="G141" s="3">
        <v>523</v>
      </c>
      <c r="H141" s="3">
        <v>280</v>
      </c>
      <c r="I141" s="3">
        <v>2682</v>
      </c>
      <c r="J141" s="3">
        <v>8538</v>
      </c>
      <c r="K141" s="3">
        <v>95204</v>
      </c>
      <c r="L141" s="3" t="s">
        <v>16</v>
      </c>
      <c r="M141" s="4">
        <v>0.14992017142136885</v>
      </c>
    </row>
    <row r="142" spans="1:13" x14ac:dyDescent="0.3">
      <c r="A142" s="3" t="s">
        <v>112</v>
      </c>
      <c r="B142" s="3" t="s">
        <v>18</v>
      </c>
      <c r="C142" s="2">
        <v>45720</v>
      </c>
      <c r="D142" s="3" t="s">
        <v>34</v>
      </c>
      <c r="E142" s="3" t="s">
        <v>359</v>
      </c>
      <c r="F142" s="3">
        <v>13470</v>
      </c>
      <c r="G142" s="3">
        <v>523</v>
      </c>
      <c r="H142" s="3">
        <v>280</v>
      </c>
      <c r="I142" s="3">
        <v>2682</v>
      </c>
      <c r="J142" s="3">
        <v>8538</v>
      </c>
      <c r="K142" s="3">
        <v>95204</v>
      </c>
      <c r="L142" s="3" t="s">
        <v>16</v>
      </c>
      <c r="M142" s="4">
        <v>0.14992017142136885</v>
      </c>
    </row>
    <row r="143" spans="1:13" x14ac:dyDescent="0.3">
      <c r="A143" s="3" t="s">
        <v>300</v>
      </c>
      <c r="B143" s="3" t="s">
        <v>22</v>
      </c>
      <c r="C143" s="2">
        <v>45687</v>
      </c>
      <c r="D143" s="3" t="s">
        <v>23</v>
      </c>
      <c r="E143" s="3" t="s">
        <v>367</v>
      </c>
      <c r="F143" s="3">
        <v>12954</v>
      </c>
      <c r="G143" s="3">
        <v>913</v>
      </c>
      <c r="H143" s="3">
        <v>722</v>
      </c>
      <c r="I143" s="3">
        <v>1049</v>
      </c>
      <c r="J143" s="3">
        <v>475</v>
      </c>
      <c r="K143" s="3">
        <v>97716</v>
      </c>
      <c r="L143" s="3" t="s">
        <v>16</v>
      </c>
      <c r="M143" s="4">
        <v>0.14930001228048631</v>
      </c>
    </row>
    <row r="144" spans="1:13" x14ac:dyDescent="0.3">
      <c r="A144" s="3" t="s">
        <v>300</v>
      </c>
      <c r="B144" s="3" t="s">
        <v>22</v>
      </c>
      <c r="C144" s="2">
        <v>45687</v>
      </c>
      <c r="D144" s="3" t="s">
        <v>23</v>
      </c>
      <c r="E144" s="3" t="s">
        <v>32</v>
      </c>
      <c r="F144" s="3">
        <v>12954</v>
      </c>
      <c r="G144" s="3">
        <v>913</v>
      </c>
      <c r="H144" s="3">
        <v>722</v>
      </c>
      <c r="I144" s="3">
        <v>1049</v>
      </c>
      <c r="J144" s="3">
        <v>475</v>
      </c>
      <c r="K144" s="3">
        <v>97716</v>
      </c>
      <c r="L144" s="3" t="s">
        <v>16</v>
      </c>
      <c r="M144" s="4">
        <v>0.14930001228048631</v>
      </c>
    </row>
    <row r="145" spans="1:13" x14ac:dyDescent="0.3">
      <c r="A145" s="3" t="s">
        <v>144</v>
      </c>
      <c r="B145" s="3" t="s">
        <v>18</v>
      </c>
      <c r="C145" s="2">
        <v>45928</v>
      </c>
      <c r="D145" s="3" t="s">
        <v>34</v>
      </c>
      <c r="E145" s="3" t="s">
        <v>363</v>
      </c>
      <c r="F145" s="3">
        <v>21963</v>
      </c>
      <c r="G145" s="3">
        <v>1356</v>
      </c>
      <c r="H145" s="3">
        <v>349</v>
      </c>
      <c r="I145" s="3">
        <v>1206</v>
      </c>
      <c r="J145" s="3">
        <v>51755</v>
      </c>
      <c r="K145" s="3">
        <v>159273</v>
      </c>
      <c r="L145" s="3" t="s">
        <v>20</v>
      </c>
      <c r="M145" s="4">
        <v>0.14860020216860359</v>
      </c>
    </row>
    <row r="146" spans="1:13" x14ac:dyDescent="0.3">
      <c r="A146" s="3" t="s">
        <v>144</v>
      </c>
      <c r="B146" s="3" t="s">
        <v>18</v>
      </c>
      <c r="C146" s="2">
        <v>45928</v>
      </c>
      <c r="D146" s="3" t="s">
        <v>34</v>
      </c>
      <c r="E146" s="3" t="s">
        <v>364</v>
      </c>
      <c r="F146" s="3">
        <v>21963</v>
      </c>
      <c r="G146" s="3">
        <v>1356</v>
      </c>
      <c r="H146" s="3">
        <v>349</v>
      </c>
      <c r="I146" s="3">
        <v>1206</v>
      </c>
      <c r="J146" s="3">
        <v>51755</v>
      </c>
      <c r="K146" s="3">
        <v>159273</v>
      </c>
      <c r="L146" s="3" t="s">
        <v>20</v>
      </c>
      <c r="M146" s="4">
        <v>0.14860020216860359</v>
      </c>
    </row>
    <row r="147" spans="1:13" x14ac:dyDescent="0.3">
      <c r="A147" s="3" t="s">
        <v>284</v>
      </c>
      <c r="B147" s="3" t="s">
        <v>22</v>
      </c>
      <c r="C147" s="2">
        <v>45914</v>
      </c>
      <c r="D147" s="3" t="s">
        <v>34</v>
      </c>
      <c r="E147" s="3" t="s">
        <v>359</v>
      </c>
      <c r="F147" s="3">
        <v>12787</v>
      </c>
      <c r="G147" s="3">
        <v>945</v>
      </c>
      <c r="H147" s="3">
        <v>974</v>
      </c>
      <c r="I147" s="3">
        <v>1407</v>
      </c>
      <c r="J147" s="3">
        <v>4037</v>
      </c>
      <c r="K147" s="3">
        <v>99182</v>
      </c>
      <c r="L147" s="3" t="s">
        <v>20</v>
      </c>
      <c r="M147" s="4">
        <v>0.14827287209372669</v>
      </c>
    </row>
    <row r="148" spans="1:13" x14ac:dyDescent="0.3">
      <c r="A148" s="3" t="s">
        <v>284</v>
      </c>
      <c r="B148" s="3" t="s">
        <v>22</v>
      </c>
      <c r="C148" s="2">
        <v>45914</v>
      </c>
      <c r="D148" s="3" t="s">
        <v>34</v>
      </c>
      <c r="E148" s="3" t="s">
        <v>366</v>
      </c>
      <c r="F148" s="3">
        <v>12787</v>
      </c>
      <c r="G148" s="3">
        <v>945</v>
      </c>
      <c r="H148" s="3">
        <v>974</v>
      </c>
      <c r="I148" s="3">
        <v>1407</v>
      </c>
      <c r="J148" s="3">
        <v>4037</v>
      </c>
      <c r="K148" s="3">
        <v>99182</v>
      </c>
      <c r="L148" s="3" t="s">
        <v>20</v>
      </c>
      <c r="M148" s="4">
        <v>0.14827287209372669</v>
      </c>
    </row>
    <row r="149" spans="1:13" x14ac:dyDescent="0.3">
      <c r="A149" s="3" t="s">
        <v>140</v>
      </c>
      <c r="B149" s="3" t="s">
        <v>18</v>
      </c>
      <c r="C149" s="2">
        <v>45739</v>
      </c>
      <c r="D149" s="3" t="s">
        <v>14</v>
      </c>
      <c r="E149" s="3" t="s">
        <v>357</v>
      </c>
      <c r="F149" s="3">
        <v>24711</v>
      </c>
      <c r="G149" s="3">
        <v>882</v>
      </c>
      <c r="H149" s="3">
        <v>876</v>
      </c>
      <c r="I149" s="3">
        <v>2728</v>
      </c>
      <c r="J149" s="3">
        <v>32015</v>
      </c>
      <c r="K149" s="3">
        <v>180272</v>
      </c>
      <c r="L149" s="3" t="s">
        <v>29</v>
      </c>
      <c r="M149" s="4">
        <v>0.1468281263867933</v>
      </c>
    </row>
    <row r="150" spans="1:13" x14ac:dyDescent="0.3">
      <c r="A150" s="3" t="s">
        <v>140</v>
      </c>
      <c r="B150" s="3" t="s">
        <v>18</v>
      </c>
      <c r="C150" s="2">
        <v>45739</v>
      </c>
      <c r="D150" s="3" t="s">
        <v>14</v>
      </c>
      <c r="E150" s="3" t="s">
        <v>358</v>
      </c>
      <c r="F150" s="3">
        <v>24711</v>
      </c>
      <c r="G150" s="3">
        <v>882</v>
      </c>
      <c r="H150" s="3">
        <v>876</v>
      </c>
      <c r="I150" s="3">
        <v>2728</v>
      </c>
      <c r="J150" s="3">
        <v>32015</v>
      </c>
      <c r="K150" s="3">
        <v>180272</v>
      </c>
      <c r="L150" s="3" t="s">
        <v>29</v>
      </c>
      <c r="M150" s="4">
        <v>0.1468281263867933</v>
      </c>
    </row>
    <row r="151" spans="1:13" x14ac:dyDescent="0.3">
      <c r="A151" s="3" t="s">
        <v>278</v>
      </c>
      <c r="B151" s="3" t="s">
        <v>13</v>
      </c>
      <c r="C151" s="2">
        <v>45912</v>
      </c>
      <c r="D151" s="3" t="s">
        <v>27</v>
      </c>
      <c r="E151" s="3" t="s">
        <v>361</v>
      </c>
      <c r="F151" s="3">
        <v>15918</v>
      </c>
      <c r="G151" s="3">
        <v>1114</v>
      </c>
      <c r="H151" s="3">
        <v>392</v>
      </c>
      <c r="I151" s="3">
        <v>1641</v>
      </c>
      <c r="J151" s="3">
        <v>28044</v>
      </c>
      <c r="K151" s="3">
        <v>118714</v>
      </c>
      <c r="L151" s="3" t="s">
        <v>20</v>
      </c>
      <c r="M151" s="4">
        <v>0.14677291642097814</v>
      </c>
    </row>
    <row r="152" spans="1:13" x14ac:dyDescent="0.3">
      <c r="A152" s="3" t="s">
        <v>278</v>
      </c>
      <c r="B152" s="3" t="s">
        <v>13</v>
      </c>
      <c r="C152" s="2">
        <v>45912</v>
      </c>
      <c r="D152" s="3" t="s">
        <v>27</v>
      </c>
      <c r="E152" s="3" t="s">
        <v>362</v>
      </c>
      <c r="F152" s="3">
        <v>15918</v>
      </c>
      <c r="G152" s="3">
        <v>1114</v>
      </c>
      <c r="H152" s="3">
        <v>392</v>
      </c>
      <c r="I152" s="3">
        <v>1641</v>
      </c>
      <c r="J152" s="3">
        <v>28044</v>
      </c>
      <c r="K152" s="3">
        <v>118714</v>
      </c>
      <c r="L152" s="3" t="s">
        <v>20</v>
      </c>
      <c r="M152" s="4">
        <v>0.14677291642097814</v>
      </c>
    </row>
    <row r="153" spans="1:13" x14ac:dyDescent="0.3">
      <c r="A153" s="3" t="s">
        <v>191</v>
      </c>
      <c r="B153" s="3" t="s">
        <v>22</v>
      </c>
      <c r="C153" s="2">
        <v>45647</v>
      </c>
      <c r="D153" s="3" t="s">
        <v>14</v>
      </c>
      <c r="E153" s="3" t="s">
        <v>353</v>
      </c>
      <c r="F153" s="3">
        <v>12453</v>
      </c>
      <c r="G153" s="3">
        <v>376</v>
      </c>
      <c r="H153" s="3">
        <v>320</v>
      </c>
      <c r="I153" s="3">
        <v>2546</v>
      </c>
      <c r="J153" s="3">
        <v>22617</v>
      </c>
      <c r="K153" s="3">
        <v>90138</v>
      </c>
      <c r="L153" s="3" t="s">
        <v>25</v>
      </c>
      <c r="M153" s="4">
        <v>0.14587632297144379</v>
      </c>
    </row>
    <row r="154" spans="1:13" x14ac:dyDescent="0.3">
      <c r="A154" s="3" t="s">
        <v>191</v>
      </c>
      <c r="B154" s="3" t="s">
        <v>22</v>
      </c>
      <c r="C154" s="2">
        <v>45647</v>
      </c>
      <c r="D154" s="3" t="s">
        <v>14</v>
      </c>
      <c r="E154" s="3" t="s">
        <v>354</v>
      </c>
      <c r="F154" s="3">
        <v>12453</v>
      </c>
      <c r="G154" s="3">
        <v>376</v>
      </c>
      <c r="H154" s="3">
        <v>320</v>
      </c>
      <c r="I154" s="3">
        <v>2546</v>
      </c>
      <c r="J154" s="3">
        <v>22617</v>
      </c>
      <c r="K154" s="3">
        <v>90138</v>
      </c>
      <c r="L154" s="3" t="s">
        <v>25</v>
      </c>
      <c r="M154" s="4">
        <v>0.14587632297144379</v>
      </c>
    </row>
    <row r="155" spans="1:13" x14ac:dyDescent="0.3">
      <c r="A155" s="3" t="s">
        <v>268</v>
      </c>
      <c r="B155" s="3" t="s">
        <v>18</v>
      </c>
      <c r="C155" s="2">
        <v>45776</v>
      </c>
      <c r="D155" s="3" t="s">
        <v>34</v>
      </c>
      <c r="E155" s="3" t="s">
        <v>363</v>
      </c>
      <c r="F155" s="3">
        <v>16277</v>
      </c>
      <c r="G155" s="3">
        <v>1109</v>
      </c>
      <c r="H155" s="3">
        <v>375</v>
      </c>
      <c r="I155" s="3">
        <v>2225</v>
      </c>
      <c r="J155" s="3">
        <v>1044</v>
      </c>
      <c r="K155" s="3">
        <v>121889</v>
      </c>
      <c r="L155" s="3" t="s">
        <v>29</v>
      </c>
      <c r="M155" s="4">
        <v>0.14571454356012437</v>
      </c>
    </row>
    <row r="156" spans="1:13" x14ac:dyDescent="0.3">
      <c r="A156" s="3" t="s">
        <v>268</v>
      </c>
      <c r="B156" s="3" t="s">
        <v>18</v>
      </c>
      <c r="C156" s="2">
        <v>45776</v>
      </c>
      <c r="D156" s="3" t="s">
        <v>34</v>
      </c>
      <c r="E156" s="3" t="s">
        <v>364</v>
      </c>
      <c r="F156" s="3">
        <v>16277</v>
      </c>
      <c r="G156" s="3">
        <v>1109</v>
      </c>
      <c r="H156" s="3">
        <v>375</v>
      </c>
      <c r="I156" s="3">
        <v>2225</v>
      </c>
      <c r="J156" s="3">
        <v>1044</v>
      </c>
      <c r="K156" s="3">
        <v>121889</v>
      </c>
      <c r="L156" s="3" t="s">
        <v>29</v>
      </c>
      <c r="M156" s="4">
        <v>0.14571454356012437</v>
      </c>
    </row>
    <row r="157" spans="1:13" x14ac:dyDescent="0.3">
      <c r="A157" s="3" t="s">
        <v>260</v>
      </c>
      <c r="B157" s="3" t="s">
        <v>18</v>
      </c>
      <c r="C157" s="2">
        <v>45907</v>
      </c>
      <c r="D157" s="3" t="s">
        <v>23</v>
      </c>
      <c r="E157" s="3" t="s">
        <v>368</v>
      </c>
      <c r="F157" s="3">
        <v>4472</v>
      </c>
      <c r="G157" s="3">
        <v>1301</v>
      </c>
      <c r="H157" s="3">
        <v>956</v>
      </c>
      <c r="I157" s="3">
        <v>1186</v>
      </c>
      <c r="J157" s="3">
        <v>3363</v>
      </c>
      <c r="K157" s="3">
        <v>46471</v>
      </c>
      <c r="L157" s="3" t="s">
        <v>20</v>
      </c>
      <c r="M157" s="4">
        <v>0.14479998278496267</v>
      </c>
    </row>
    <row r="158" spans="1:13" x14ac:dyDescent="0.3">
      <c r="A158" s="3" t="s">
        <v>260</v>
      </c>
      <c r="B158" s="3" t="s">
        <v>18</v>
      </c>
      <c r="C158" s="2">
        <v>45907</v>
      </c>
      <c r="D158" s="3" t="s">
        <v>23</v>
      </c>
      <c r="E158" s="3" t="s">
        <v>369</v>
      </c>
      <c r="F158" s="3">
        <v>4472</v>
      </c>
      <c r="G158" s="3">
        <v>1301</v>
      </c>
      <c r="H158" s="3">
        <v>956</v>
      </c>
      <c r="I158" s="3">
        <v>1186</v>
      </c>
      <c r="J158" s="3">
        <v>3363</v>
      </c>
      <c r="K158" s="3">
        <v>46471</v>
      </c>
      <c r="L158" s="3" t="s">
        <v>20</v>
      </c>
      <c r="M158" s="4">
        <v>0.14479998278496267</v>
      </c>
    </row>
    <row r="159" spans="1:13" x14ac:dyDescent="0.3">
      <c r="A159" s="3" t="s">
        <v>102</v>
      </c>
      <c r="B159" s="3" t="s">
        <v>18</v>
      </c>
      <c r="C159" s="2">
        <v>45745</v>
      </c>
      <c r="D159" s="3" t="s">
        <v>27</v>
      </c>
      <c r="E159" s="3" t="s">
        <v>363</v>
      </c>
      <c r="F159" s="3">
        <v>19461</v>
      </c>
      <c r="G159" s="3">
        <v>1382</v>
      </c>
      <c r="H159" s="3">
        <v>445</v>
      </c>
      <c r="I159" s="3">
        <v>1307</v>
      </c>
      <c r="J159" s="3">
        <v>84691</v>
      </c>
      <c r="K159" s="3">
        <v>151453</v>
      </c>
      <c r="L159" s="3" t="s">
        <v>29</v>
      </c>
      <c r="M159" s="4">
        <v>0.14055845707909384</v>
      </c>
    </row>
    <row r="160" spans="1:13" x14ac:dyDescent="0.3">
      <c r="A160" s="3" t="s">
        <v>102</v>
      </c>
      <c r="B160" s="3" t="s">
        <v>18</v>
      </c>
      <c r="C160" s="2">
        <v>45745</v>
      </c>
      <c r="D160" s="3" t="s">
        <v>27</v>
      </c>
      <c r="E160" s="3" t="s">
        <v>364</v>
      </c>
      <c r="F160" s="3">
        <v>19461</v>
      </c>
      <c r="G160" s="3">
        <v>1382</v>
      </c>
      <c r="H160" s="3">
        <v>445</v>
      </c>
      <c r="I160" s="3">
        <v>1307</v>
      </c>
      <c r="J160" s="3">
        <v>84691</v>
      </c>
      <c r="K160" s="3">
        <v>151453</v>
      </c>
      <c r="L160" s="3" t="s">
        <v>29</v>
      </c>
      <c r="M160" s="4">
        <v>0.14055845707909384</v>
      </c>
    </row>
    <row r="161" spans="1:13" x14ac:dyDescent="0.3">
      <c r="A161" s="3" t="s">
        <v>239</v>
      </c>
      <c r="B161" s="3" t="s">
        <v>13</v>
      </c>
      <c r="C161" s="2">
        <v>45617</v>
      </c>
      <c r="D161" s="3" t="s">
        <v>14</v>
      </c>
      <c r="E161" s="3" t="s">
        <v>363</v>
      </c>
      <c r="F161" s="3">
        <v>8229</v>
      </c>
      <c r="G161" s="3">
        <v>977</v>
      </c>
      <c r="H161" s="3">
        <v>152</v>
      </c>
      <c r="I161" s="3">
        <v>1633</v>
      </c>
      <c r="J161" s="3">
        <v>71447</v>
      </c>
      <c r="K161" s="3">
        <v>67723</v>
      </c>
      <c r="L161" s="3" t="s">
        <v>45</v>
      </c>
      <c r="M161" s="4">
        <v>0.13818052950991538</v>
      </c>
    </row>
    <row r="162" spans="1:13" x14ac:dyDescent="0.3">
      <c r="A162" s="3" t="s">
        <v>239</v>
      </c>
      <c r="B162" s="3" t="s">
        <v>13</v>
      </c>
      <c r="C162" s="2">
        <v>45617</v>
      </c>
      <c r="D162" s="3" t="s">
        <v>14</v>
      </c>
      <c r="E162" s="3" t="s">
        <v>364</v>
      </c>
      <c r="F162" s="3">
        <v>8229</v>
      </c>
      <c r="G162" s="3">
        <v>977</v>
      </c>
      <c r="H162" s="3">
        <v>152</v>
      </c>
      <c r="I162" s="3">
        <v>1633</v>
      </c>
      <c r="J162" s="3">
        <v>71447</v>
      </c>
      <c r="K162" s="3">
        <v>67723</v>
      </c>
      <c r="L162" s="3" t="s">
        <v>45</v>
      </c>
      <c r="M162" s="4">
        <v>0.13818052950991538</v>
      </c>
    </row>
    <row r="163" spans="1:13" x14ac:dyDescent="0.3">
      <c r="A163" s="3" t="s">
        <v>220</v>
      </c>
      <c r="B163" s="3" t="s">
        <v>13</v>
      </c>
      <c r="C163" s="2">
        <v>45943</v>
      </c>
      <c r="D163" s="3" t="s">
        <v>27</v>
      </c>
      <c r="E163" s="3" t="s">
        <v>359</v>
      </c>
      <c r="F163" s="3">
        <v>19302</v>
      </c>
      <c r="G163" s="3">
        <v>1367</v>
      </c>
      <c r="H163" s="3">
        <v>188</v>
      </c>
      <c r="I163" s="3">
        <v>637</v>
      </c>
      <c r="J163" s="3">
        <v>31404</v>
      </c>
      <c r="K163" s="3">
        <v>154044</v>
      </c>
      <c r="L163" s="3" t="s">
        <v>20</v>
      </c>
      <c r="M163" s="4">
        <v>0.13539638025499209</v>
      </c>
    </row>
    <row r="164" spans="1:13" x14ac:dyDescent="0.3">
      <c r="A164" s="3" t="s">
        <v>220</v>
      </c>
      <c r="B164" s="3" t="s">
        <v>13</v>
      </c>
      <c r="C164" s="2">
        <v>45943</v>
      </c>
      <c r="D164" s="3" t="s">
        <v>27</v>
      </c>
      <c r="E164" s="3" t="s">
        <v>366</v>
      </c>
      <c r="F164" s="3">
        <v>19302</v>
      </c>
      <c r="G164" s="3">
        <v>1367</v>
      </c>
      <c r="H164" s="3">
        <v>188</v>
      </c>
      <c r="I164" s="3">
        <v>637</v>
      </c>
      <c r="J164" s="3">
        <v>31404</v>
      </c>
      <c r="K164" s="3">
        <v>154044</v>
      </c>
      <c r="L164" s="3" t="s">
        <v>20</v>
      </c>
      <c r="M164" s="4">
        <v>0.13539638025499209</v>
      </c>
    </row>
    <row r="165" spans="1:13" x14ac:dyDescent="0.3">
      <c r="A165" s="3" t="s">
        <v>124</v>
      </c>
      <c r="B165" s="3" t="s">
        <v>22</v>
      </c>
      <c r="C165" s="2">
        <v>45480</v>
      </c>
      <c r="D165" s="3" t="s">
        <v>23</v>
      </c>
      <c r="E165" s="3" t="s">
        <v>355</v>
      </c>
      <c r="F165" s="3">
        <v>24625</v>
      </c>
      <c r="G165" s="3">
        <v>749</v>
      </c>
      <c r="H165" s="3">
        <v>193</v>
      </c>
      <c r="I165" s="3">
        <v>1340</v>
      </c>
      <c r="J165" s="3">
        <v>4890</v>
      </c>
      <c r="K165" s="3">
        <v>189381</v>
      </c>
      <c r="L165" s="3" t="s">
        <v>16</v>
      </c>
      <c r="M165" s="4">
        <v>0.13500298340382616</v>
      </c>
    </row>
    <row r="166" spans="1:13" x14ac:dyDescent="0.3">
      <c r="A166" s="3" t="s">
        <v>124</v>
      </c>
      <c r="B166" s="3" t="s">
        <v>22</v>
      </c>
      <c r="C166" s="2">
        <v>45480</v>
      </c>
      <c r="D166" s="3" t="s">
        <v>23</v>
      </c>
      <c r="E166" s="3" t="s">
        <v>356</v>
      </c>
      <c r="F166" s="3">
        <v>24625</v>
      </c>
      <c r="G166" s="3">
        <v>749</v>
      </c>
      <c r="H166" s="3">
        <v>193</v>
      </c>
      <c r="I166" s="3">
        <v>1340</v>
      </c>
      <c r="J166" s="3">
        <v>4890</v>
      </c>
      <c r="K166" s="3">
        <v>189381</v>
      </c>
      <c r="L166" s="3" t="s">
        <v>16</v>
      </c>
      <c r="M166" s="4">
        <v>0.13500298340382616</v>
      </c>
    </row>
    <row r="167" spans="1:13" x14ac:dyDescent="0.3">
      <c r="A167" s="3" t="s">
        <v>74</v>
      </c>
      <c r="B167" s="3" t="s">
        <v>22</v>
      </c>
      <c r="C167" s="2">
        <v>45913</v>
      </c>
      <c r="D167" s="3" t="s">
        <v>34</v>
      </c>
      <c r="E167" s="3" t="s">
        <v>361</v>
      </c>
      <c r="F167" s="3">
        <v>17106</v>
      </c>
      <c r="G167" s="3">
        <v>702</v>
      </c>
      <c r="H167" s="3">
        <v>459</v>
      </c>
      <c r="I167" s="3">
        <v>999</v>
      </c>
      <c r="J167" s="3">
        <v>59627</v>
      </c>
      <c r="K167" s="3">
        <v>136059</v>
      </c>
      <c r="L167" s="3" t="s">
        <v>20</v>
      </c>
      <c r="M167" s="4">
        <v>0.13425793222058077</v>
      </c>
    </row>
    <row r="168" spans="1:13" x14ac:dyDescent="0.3">
      <c r="A168" s="3" t="s">
        <v>74</v>
      </c>
      <c r="B168" s="3" t="s">
        <v>22</v>
      </c>
      <c r="C168" s="2">
        <v>45913</v>
      </c>
      <c r="D168" s="3" t="s">
        <v>34</v>
      </c>
      <c r="E168" s="3" t="s">
        <v>362</v>
      </c>
      <c r="F168" s="3">
        <v>17106</v>
      </c>
      <c r="G168" s="3">
        <v>702</v>
      </c>
      <c r="H168" s="3">
        <v>459</v>
      </c>
      <c r="I168" s="3">
        <v>999</v>
      </c>
      <c r="J168" s="3">
        <v>59627</v>
      </c>
      <c r="K168" s="3">
        <v>136059</v>
      </c>
      <c r="L168" s="3" t="s">
        <v>20</v>
      </c>
      <c r="M168" s="4">
        <v>0.13425793222058077</v>
      </c>
    </row>
    <row r="169" spans="1:13" x14ac:dyDescent="0.3">
      <c r="A169" s="3" t="s">
        <v>204</v>
      </c>
      <c r="B169" s="3" t="s">
        <v>13</v>
      </c>
      <c r="C169" s="2">
        <v>45608</v>
      </c>
      <c r="D169" s="3" t="s">
        <v>14</v>
      </c>
      <c r="E169" s="3" t="s">
        <v>355</v>
      </c>
      <c r="F169" s="3">
        <v>19022</v>
      </c>
      <c r="G169" s="3">
        <v>541</v>
      </c>
      <c r="H169" s="3">
        <v>575</v>
      </c>
      <c r="I169" s="3">
        <v>2063</v>
      </c>
      <c r="J169" s="3">
        <v>42743</v>
      </c>
      <c r="K169" s="3">
        <v>150169</v>
      </c>
      <c r="L169" s="3" t="s">
        <v>16</v>
      </c>
      <c r="M169" s="4">
        <v>0.13410224480418728</v>
      </c>
    </row>
    <row r="170" spans="1:13" x14ac:dyDescent="0.3">
      <c r="A170" s="3" t="s">
        <v>204</v>
      </c>
      <c r="B170" s="3" t="s">
        <v>13</v>
      </c>
      <c r="C170" s="2">
        <v>45608</v>
      </c>
      <c r="D170" s="3" t="s">
        <v>14</v>
      </c>
      <c r="E170" s="3" t="s">
        <v>356</v>
      </c>
      <c r="F170" s="3">
        <v>19022</v>
      </c>
      <c r="G170" s="3">
        <v>541</v>
      </c>
      <c r="H170" s="3">
        <v>575</v>
      </c>
      <c r="I170" s="3">
        <v>2063</v>
      </c>
      <c r="J170" s="3">
        <v>42743</v>
      </c>
      <c r="K170" s="3">
        <v>150169</v>
      </c>
      <c r="L170" s="3" t="s">
        <v>16</v>
      </c>
      <c r="M170" s="4">
        <v>0.13410224480418728</v>
      </c>
    </row>
    <row r="171" spans="1:13" x14ac:dyDescent="0.3">
      <c r="A171" s="3" t="s">
        <v>95</v>
      </c>
      <c r="B171" s="3" t="s">
        <v>22</v>
      </c>
      <c r="C171" s="2">
        <v>45685</v>
      </c>
      <c r="D171" s="3" t="s">
        <v>23</v>
      </c>
      <c r="E171" s="3" t="s">
        <v>363</v>
      </c>
      <c r="F171" s="3">
        <v>9239</v>
      </c>
      <c r="G171" s="3">
        <v>1477</v>
      </c>
      <c r="H171" s="3">
        <v>631</v>
      </c>
      <c r="I171" s="3">
        <v>1556</v>
      </c>
      <c r="J171" s="3">
        <v>11580</v>
      </c>
      <c r="K171" s="3">
        <v>84738</v>
      </c>
      <c r="L171" s="3" t="s">
        <v>25</v>
      </c>
      <c r="M171" s="4">
        <v>0.13390686586891359</v>
      </c>
    </row>
    <row r="172" spans="1:13" x14ac:dyDescent="0.3">
      <c r="A172" s="3" t="s">
        <v>95</v>
      </c>
      <c r="B172" s="3" t="s">
        <v>22</v>
      </c>
      <c r="C172" s="2">
        <v>45685</v>
      </c>
      <c r="D172" s="3" t="s">
        <v>23</v>
      </c>
      <c r="E172" s="3" t="s">
        <v>364</v>
      </c>
      <c r="F172" s="3">
        <v>9239</v>
      </c>
      <c r="G172" s="3">
        <v>1477</v>
      </c>
      <c r="H172" s="3">
        <v>631</v>
      </c>
      <c r="I172" s="3">
        <v>1556</v>
      </c>
      <c r="J172" s="3">
        <v>11580</v>
      </c>
      <c r="K172" s="3">
        <v>84738</v>
      </c>
      <c r="L172" s="3" t="s">
        <v>25</v>
      </c>
      <c r="M172" s="4">
        <v>0.13390686586891359</v>
      </c>
    </row>
    <row r="173" spans="1:13" x14ac:dyDescent="0.3">
      <c r="A173" s="3" t="s">
        <v>183</v>
      </c>
      <c r="B173" s="3" t="s">
        <v>13</v>
      </c>
      <c r="C173" s="2">
        <v>45586</v>
      </c>
      <c r="D173" s="3" t="s">
        <v>23</v>
      </c>
      <c r="E173" s="3" t="s">
        <v>365</v>
      </c>
      <c r="F173" s="3">
        <v>20777</v>
      </c>
      <c r="G173" s="3">
        <v>962</v>
      </c>
      <c r="H173" s="3">
        <v>308</v>
      </c>
      <c r="I173" s="3">
        <v>2777</v>
      </c>
      <c r="J173" s="3">
        <v>25529</v>
      </c>
      <c r="K173" s="3">
        <v>165354</v>
      </c>
      <c r="L173" s="3" t="s">
        <v>16</v>
      </c>
      <c r="M173" s="4">
        <v>0.13333212380710477</v>
      </c>
    </row>
    <row r="174" spans="1:13" x14ac:dyDescent="0.3">
      <c r="A174" s="3" t="s">
        <v>183</v>
      </c>
      <c r="B174" s="3" t="s">
        <v>13</v>
      </c>
      <c r="C174" s="2">
        <v>45586</v>
      </c>
      <c r="D174" s="3" t="s">
        <v>23</v>
      </c>
      <c r="E174" s="3" t="s">
        <v>359</v>
      </c>
      <c r="F174" s="3">
        <v>20777</v>
      </c>
      <c r="G174" s="3">
        <v>962</v>
      </c>
      <c r="H174" s="3">
        <v>308</v>
      </c>
      <c r="I174" s="3">
        <v>2777</v>
      </c>
      <c r="J174" s="3">
        <v>25529</v>
      </c>
      <c r="K174" s="3">
        <v>165354</v>
      </c>
      <c r="L174" s="3" t="s">
        <v>16</v>
      </c>
      <c r="M174" s="4">
        <v>0.13333212380710477</v>
      </c>
    </row>
    <row r="175" spans="1:13" x14ac:dyDescent="0.3">
      <c r="A175" s="3" t="s">
        <v>107</v>
      </c>
      <c r="B175" s="3" t="s">
        <v>40</v>
      </c>
      <c r="C175" s="2">
        <v>45719</v>
      </c>
      <c r="D175" s="3" t="s">
        <v>34</v>
      </c>
      <c r="E175" s="3" t="s">
        <v>359</v>
      </c>
      <c r="F175" s="3">
        <v>24928</v>
      </c>
      <c r="G175" s="3">
        <v>214</v>
      </c>
      <c r="H175" s="3">
        <v>765</v>
      </c>
      <c r="I175" s="3">
        <v>1556</v>
      </c>
      <c r="J175" s="3">
        <v>5239</v>
      </c>
      <c r="K175" s="3">
        <v>194571</v>
      </c>
      <c r="L175" s="3" t="s">
        <v>45</v>
      </c>
      <c r="M175" s="4">
        <v>0.13314933880177415</v>
      </c>
    </row>
    <row r="176" spans="1:13" x14ac:dyDescent="0.3">
      <c r="A176" s="3" t="s">
        <v>107</v>
      </c>
      <c r="B176" s="3" t="s">
        <v>40</v>
      </c>
      <c r="C176" s="2">
        <v>45719</v>
      </c>
      <c r="D176" s="3" t="s">
        <v>34</v>
      </c>
      <c r="E176" s="3" t="s">
        <v>366</v>
      </c>
      <c r="F176" s="3">
        <v>24928</v>
      </c>
      <c r="G176" s="3">
        <v>214</v>
      </c>
      <c r="H176" s="3">
        <v>765</v>
      </c>
      <c r="I176" s="3">
        <v>1556</v>
      </c>
      <c r="J176" s="3">
        <v>5239</v>
      </c>
      <c r="K176" s="3">
        <v>194571</v>
      </c>
      <c r="L176" s="3" t="s">
        <v>45</v>
      </c>
      <c r="M176" s="4">
        <v>0.13314933880177415</v>
      </c>
    </row>
    <row r="177" spans="1:13" x14ac:dyDescent="0.3">
      <c r="A177" s="3" t="s">
        <v>301</v>
      </c>
      <c r="B177" s="3" t="s">
        <v>13</v>
      </c>
      <c r="C177" s="2">
        <v>45708</v>
      </c>
      <c r="D177" s="3" t="s">
        <v>34</v>
      </c>
      <c r="E177" s="3" t="s">
        <v>365</v>
      </c>
      <c r="F177" s="3">
        <v>15703</v>
      </c>
      <c r="G177" s="3">
        <v>1381</v>
      </c>
      <c r="H177" s="3">
        <v>639</v>
      </c>
      <c r="I177" s="3">
        <v>984</v>
      </c>
      <c r="J177" s="3">
        <v>10967</v>
      </c>
      <c r="K177" s="3">
        <v>133747</v>
      </c>
      <c r="L177" s="3" t="s">
        <v>45</v>
      </c>
      <c r="M177" s="4">
        <v>0.13251138343289942</v>
      </c>
    </row>
    <row r="178" spans="1:13" x14ac:dyDescent="0.3">
      <c r="A178" s="3" t="s">
        <v>301</v>
      </c>
      <c r="B178" s="3" t="s">
        <v>13</v>
      </c>
      <c r="C178" s="2">
        <v>45708</v>
      </c>
      <c r="D178" s="3" t="s">
        <v>34</v>
      </c>
      <c r="E178" s="3" t="s">
        <v>359</v>
      </c>
      <c r="F178" s="3">
        <v>15703</v>
      </c>
      <c r="G178" s="3">
        <v>1381</v>
      </c>
      <c r="H178" s="3">
        <v>639</v>
      </c>
      <c r="I178" s="3">
        <v>984</v>
      </c>
      <c r="J178" s="3">
        <v>10967</v>
      </c>
      <c r="K178" s="3">
        <v>133747</v>
      </c>
      <c r="L178" s="3" t="s">
        <v>45</v>
      </c>
      <c r="M178" s="4">
        <v>0.13251138343289942</v>
      </c>
    </row>
    <row r="179" spans="1:13" x14ac:dyDescent="0.3">
      <c r="A179" s="3" t="s">
        <v>33</v>
      </c>
      <c r="B179" s="3" t="s">
        <v>22</v>
      </c>
      <c r="C179" s="2">
        <v>45467</v>
      </c>
      <c r="D179" s="3" t="s">
        <v>34</v>
      </c>
      <c r="E179" s="3" t="s">
        <v>361</v>
      </c>
      <c r="F179" s="3">
        <v>7713</v>
      </c>
      <c r="G179" s="3">
        <v>575</v>
      </c>
      <c r="H179" s="3">
        <v>417</v>
      </c>
      <c r="I179" s="3">
        <v>336</v>
      </c>
      <c r="J179" s="3">
        <v>61660</v>
      </c>
      <c r="K179" s="3">
        <v>66017</v>
      </c>
      <c r="L179" s="3" t="s">
        <v>29</v>
      </c>
      <c r="M179" s="4">
        <v>0.13185997546086614</v>
      </c>
    </row>
    <row r="180" spans="1:13" x14ac:dyDescent="0.3">
      <c r="A180" s="3" t="s">
        <v>33</v>
      </c>
      <c r="B180" s="3" t="s">
        <v>22</v>
      </c>
      <c r="C180" s="2">
        <v>45467</v>
      </c>
      <c r="D180" s="3" t="s">
        <v>34</v>
      </c>
      <c r="E180" s="3" t="s">
        <v>362</v>
      </c>
      <c r="F180" s="3">
        <v>7713</v>
      </c>
      <c r="G180" s="3">
        <v>575</v>
      </c>
      <c r="H180" s="3">
        <v>417</v>
      </c>
      <c r="I180" s="3">
        <v>336</v>
      </c>
      <c r="J180" s="3">
        <v>61660</v>
      </c>
      <c r="K180" s="3">
        <v>66017</v>
      </c>
      <c r="L180" s="3" t="s">
        <v>29</v>
      </c>
      <c r="M180" s="4">
        <v>0.13185997546086614</v>
      </c>
    </row>
    <row r="181" spans="1:13" x14ac:dyDescent="0.3">
      <c r="A181" s="3" t="s">
        <v>136</v>
      </c>
      <c r="B181" s="3" t="s">
        <v>22</v>
      </c>
      <c r="C181" s="2">
        <v>45925</v>
      </c>
      <c r="D181" s="3" t="s">
        <v>14</v>
      </c>
      <c r="E181" s="3" t="s">
        <v>32</v>
      </c>
      <c r="F181" s="3">
        <v>20564</v>
      </c>
      <c r="G181" s="3">
        <v>1433</v>
      </c>
      <c r="H181" s="3">
        <v>488</v>
      </c>
      <c r="I181" s="3">
        <v>1015</v>
      </c>
      <c r="J181" s="3">
        <v>24333</v>
      </c>
      <c r="K181" s="3">
        <v>172130</v>
      </c>
      <c r="L181" s="3" t="s">
        <v>20</v>
      </c>
      <c r="M181" s="4">
        <v>0.13062801371056759</v>
      </c>
    </row>
    <row r="182" spans="1:13" x14ac:dyDescent="0.3">
      <c r="A182" s="3" t="s">
        <v>330</v>
      </c>
      <c r="B182" s="3" t="s">
        <v>40</v>
      </c>
      <c r="C182" s="2">
        <v>45462</v>
      </c>
      <c r="D182" s="3" t="s">
        <v>34</v>
      </c>
      <c r="E182" s="3" t="s">
        <v>367</v>
      </c>
      <c r="F182" s="3">
        <v>20444</v>
      </c>
      <c r="G182" s="3">
        <v>233</v>
      </c>
      <c r="H182" s="3">
        <v>189</v>
      </c>
      <c r="I182" s="3">
        <v>2879</v>
      </c>
      <c r="J182" s="3">
        <v>28185</v>
      </c>
      <c r="K182" s="3">
        <v>159891</v>
      </c>
      <c r="L182" s="3" t="s">
        <v>29</v>
      </c>
      <c r="M182" s="4">
        <v>0.13050140408153055</v>
      </c>
    </row>
    <row r="183" spans="1:13" x14ac:dyDescent="0.3">
      <c r="A183" s="3" t="s">
        <v>330</v>
      </c>
      <c r="B183" s="3" t="s">
        <v>40</v>
      </c>
      <c r="C183" s="2">
        <v>45462</v>
      </c>
      <c r="D183" s="3" t="s">
        <v>34</v>
      </c>
      <c r="E183" s="3" t="s">
        <v>32</v>
      </c>
      <c r="F183" s="3">
        <v>20444</v>
      </c>
      <c r="G183" s="3">
        <v>233</v>
      </c>
      <c r="H183" s="3">
        <v>189</v>
      </c>
      <c r="I183" s="3">
        <v>2879</v>
      </c>
      <c r="J183" s="3">
        <v>28185</v>
      </c>
      <c r="K183" s="3">
        <v>159891</v>
      </c>
      <c r="L183" s="3" t="s">
        <v>29</v>
      </c>
      <c r="M183" s="4">
        <v>0.13050140408153055</v>
      </c>
    </row>
    <row r="184" spans="1:13" x14ac:dyDescent="0.3">
      <c r="A184" s="3" t="s">
        <v>12</v>
      </c>
      <c r="B184" s="3" t="s">
        <v>13</v>
      </c>
      <c r="C184" s="2">
        <v>45649</v>
      </c>
      <c r="D184" s="3" t="s">
        <v>14</v>
      </c>
      <c r="E184" s="3" t="s">
        <v>353</v>
      </c>
      <c r="F184" s="3">
        <v>24516</v>
      </c>
      <c r="G184" s="3">
        <v>976</v>
      </c>
      <c r="H184" s="3">
        <v>974</v>
      </c>
      <c r="I184" s="3">
        <v>2675</v>
      </c>
      <c r="J184" s="3">
        <v>23275</v>
      </c>
      <c r="K184" s="3">
        <v>202932</v>
      </c>
      <c r="L184" s="3" t="s">
        <v>16</v>
      </c>
      <c r="M184" s="4">
        <v>0.13041807107799658</v>
      </c>
    </row>
    <row r="185" spans="1:13" x14ac:dyDescent="0.3">
      <c r="A185" s="3" t="s">
        <v>12</v>
      </c>
      <c r="B185" s="3" t="s">
        <v>13</v>
      </c>
      <c r="C185" s="2">
        <v>45649</v>
      </c>
      <c r="D185" s="3" t="s">
        <v>14</v>
      </c>
      <c r="E185" s="3" t="s">
        <v>354</v>
      </c>
      <c r="F185" s="3">
        <v>24516</v>
      </c>
      <c r="G185" s="3">
        <v>976</v>
      </c>
      <c r="H185" s="3">
        <v>974</v>
      </c>
      <c r="I185" s="3">
        <v>2675</v>
      </c>
      <c r="J185" s="3">
        <v>23275</v>
      </c>
      <c r="K185" s="3">
        <v>202932</v>
      </c>
      <c r="L185" s="3" t="s">
        <v>16</v>
      </c>
      <c r="M185" s="4">
        <v>0.13041807107799658</v>
      </c>
    </row>
    <row r="186" spans="1:13" x14ac:dyDescent="0.3">
      <c r="A186" s="3" t="s">
        <v>120</v>
      </c>
      <c r="B186" s="3" t="s">
        <v>18</v>
      </c>
      <c r="C186" s="2">
        <v>45635</v>
      </c>
      <c r="D186" s="3" t="s">
        <v>14</v>
      </c>
      <c r="E186" s="3" t="s">
        <v>355</v>
      </c>
      <c r="F186" s="3">
        <v>15051</v>
      </c>
      <c r="G186" s="3">
        <v>268</v>
      </c>
      <c r="H186" s="3">
        <v>251</v>
      </c>
      <c r="I186" s="3">
        <v>783</v>
      </c>
      <c r="J186" s="3">
        <v>34154</v>
      </c>
      <c r="K186" s="3">
        <v>119671</v>
      </c>
      <c r="L186" s="3" t="s">
        <v>29</v>
      </c>
      <c r="M186" s="4">
        <v>0.13010670922779954</v>
      </c>
    </row>
    <row r="187" spans="1:13" x14ac:dyDescent="0.3">
      <c r="A187" s="3" t="s">
        <v>120</v>
      </c>
      <c r="B187" s="3" t="s">
        <v>18</v>
      </c>
      <c r="C187" s="2">
        <v>45635</v>
      </c>
      <c r="D187" s="3" t="s">
        <v>14</v>
      </c>
      <c r="E187" s="3" t="s">
        <v>356</v>
      </c>
      <c r="F187" s="3">
        <v>15051</v>
      </c>
      <c r="G187" s="3">
        <v>268</v>
      </c>
      <c r="H187" s="3">
        <v>251</v>
      </c>
      <c r="I187" s="3">
        <v>783</v>
      </c>
      <c r="J187" s="3">
        <v>34154</v>
      </c>
      <c r="K187" s="3">
        <v>119671</v>
      </c>
      <c r="L187" s="3" t="s">
        <v>29</v>
      </c>
      <c r="M187" s="4">
        <v>0.13010670922779954</v>
      </c>
    </row>
    <row r="188" spans="1:13" x14ac:dyDescent="0.3">
      <c r="A188" s="3" t="s">
        <v>88</v>
      </c>
      <c r="B188" s="3" t="s">
        <v>13</v>
      </c>
      <c r="C188" s="2">
        <v>45712</v>
      </c>
      <c r="D188" s="3" t="s">
        <v>14</v>
      </c>
      <c r="E188" s="3" t="s">
        <v>359</v>
      </c>
      <c r="F188" s="3">
        <v>23949</v>
      </c>
      <c r="G188" s="3">
        <v>356</v>
      </c>
      <c r="H188" s="3">
        <v>616</v>
      </c>
      <c r="I188" s="3">
        <v>1847</v>
      </c>
      <c r="J188" s="3">
        <v>3144</v>
      </c>
      <c r="K188" s="3">
        <v>192999</v>
      </c>
      <c r="L188" s="3" t="s">
        <v>29</v>
      </c>
      <c r="M188" s="4">
        <v>0.12912502137316773</v>
      </c>
    </row>
    <row r="189" spans="1:13" x14ac:dyDescent="0.3">
      <c r="A189" s="3" t="s">
        <v>88</v>
      </c>
      <c r="B189" s="3" t="s">
        <v>13</v>
      </c>
      <c r="C189" s="2">
        <v>45712</v>
      </c>
      <c r="D189" s="3" t="s">
        <v>14</v>
      </c>
      <c r="E189" s="3" t="s">
        <v>366</v>
      </c>
      <c r="F189" s="3">
        <v>23949</v>
      </c>
      <c r="G189" s="3">
        <v>356</v>
      </c>
      <c r="H189" s="3">
        <v>616</v>
      </c>
      <c r="I189" s="3">
        <v>1847</v>
      </c>
      <c r="J189" s="3">
        <v>3144</v>
      </c>
      <c r="K189" s="3">
        <v>192999</v>
      </c>
      <c r="L189" s="3" t="s">
        <v>29</v>
      </c>
      <c r="M189" s="4">
        <v>0.12912502137316773</v>
      </c>
    </row>
    <row r="190" spans="1:13" x14ac:dyDescent="0.3">
      <c r="A190" s="3" t="s">
        <v>174</v>
      </c>
      <c r="B190" s="3" t="s">
        <v>22</v>
      </c>
      <c r="C190" s="2">
        <v>45745</v>
      </c>
      <c r="D190" s="3" t="s">
        <v>34</v>
      </c>
      <c r="E190" s="3" t="s">
        <v>357</v>
      </c>
      <c r="F190" s="3">
        <v>23508</v>
      </c>
      <c r="G190" s="3">
        <v>585</v>
      </c>
      <c r="H190" s="3">
        <v>743</v>
      </c>
      <c r="I190" s="3">
        <v>2155</v>
      </c>
      <c r="J190" s="3">
        <v>3704</v>
      </c>
      <c r="K190" s="3">
        <v>194268</v>
      </c>
      <c r="L190" s="3" t="s">
        <v>29</v>
      </c>
      <c r="M190" s="4">
        <v>0.1278440093067309</v>
      </c>
    </row>
    <row r="191" spans="1:13" x14ac:dyDescent="0.3">
      <c r="A191" s="3" t="s">
        <v>174</v>
      </c>
      <c r="B191" s="3" t="s">
        <v>22</v>
      </c>
      <c r="C191" s="2">
        <v>45745</v>
      </c>
      <c r="D191" s="3" t="s">
        <v>34</v>
      </c>
      <c r="E191" s="3" t="s">
        <v>358</v>
      </c>
      <c r="F191" s="3">
        <v>23508</v>
      </c>
      <c r="G191" s="3">
        <v>585</v>
      </c>
      <c r="H191" s="3">
        <v>743</v>
      </c>
      <c r="I191" s="3">
        <v>2155</v>
      </c>
      <c r="J191" s="3">
        <v>3704</v>
      </c>
      <c r="K191" s="3">
        <v>194268</v>
      </c>
      <c r="L191" s="3" t="s">
        <v>29</v>
      </c>
      <c r="M191" s="4">
        <v>0.1278440093067309</v>
      </c>
    </row>
    <row r="192" spans="1:13" x14ac:dyDescent="0.3">
      <c r="A192" s="3" t="s">
        <v>230</v>
      </c>
      <c r="B192" s="3" t="s">
        <v>13</v>
      </c>
      <c r="C192" s="2">
        <v>45567</v>
      </c>
      <c r="D192" s="3" t="s">
        <v>27</v>
      </c>
      <c r="E192" s="3" t="s">
        <v>361</v>
      </c>
      <c r="F192" s="3">
        <v>5086</v>
      </c>
      <c r="G192" s="3">
        <v>1336</v>
      </c>
      <c r="H192" s="3">
        <v>897</v>
      </c>
      <c r="I192" s="3">
        <v>1715</v>
      </c>
      <c r="J192" s="3">
        <v>60592</v>
      </c>
      <c r="K192" s="3">
        <v>57772</v>
      </c>
      <c r="L192" s="3" t="s">
        <v>25</v>
      </c>
      <c r="M192" s="4">
        <v>0.12668766876687668</v>
      </c>
    </row>
    <row r="193" spans="1:13" x14ac:dyDescent="0.3">
      <c r="A193" s="3" t="s">
        <v>230</v>
      </c>
      <c r="B193" s="3" t="s">
        <v>13</v>
      </c>
      <c r="C193" s="2">
        <v>45567</v>
      </c>
      <c r="D193" s="3" t="s">
        <v>27</v>
      </c>
      <c r="E193" s="3" t="s">
        <v>362</v>
      </c>
      <c r="F193" s="3">
        <v>5086</v>
      </c>
      <c r="G193" s="3">
        <v>1336</v>
      </c>
      <c r="H193" s="3">
        <v>897</v>
      </c>
      <c r="I193" s="3">
        <v>1715</v>
      </c>
      <c r="J193" s="3">
        <v>60592</v>
      </c>
      <c r="K193" s="3">
        <v>57772</v>
      </c>
      <c r="L193" s="3" t="s">
        <v>25</v>
      </c>
      <c r="M193" s="4">
        <v>0.12668766876687668</v>
      </c>
    </row>
    <row r="194" spans="1:13" x14ac:dyDescent="0.3">
      <c r="A194" s="3" t="s">
        <v>171</v>
      </c>
      <c r="B194" s="3" t="s">
        <v>13</v>
      </c>
      <c r="C194" s="2">
        <v>45624</v>
      </c>
      <c r="D194" s="3" t="s">
        <v>34</v>
      </c>
      <c r="E194" s="3" t="s">
        <v>365</v>
      </c>
      <c r="F194" s="3">
        <v>19055</v>
      </c>
      <c r="G194" s="3">
        <v>443</v>
      </c>
      <c r="H194" s="3">
        <v>976</v>
      </c>
      <c r="I194" s="3">
        <v>869</v>
      </c>
      <c r="J194" s="3">
        <v>75437</v>
      </c>
      <c r="K194" s="3">
        <v>161863</v>
      </c>
      <c r="L194" s="3" t="s">
        <v>25</v>
      </c>
      <c r="M194" s="4">
        <v>0.12648968572187591</v>
      </c>
    </row>
    <row r="195" spans="1:13" x14ac:dyDescent="0.3">
      <c r="A195" s="3" t="s">
        <v>171</v>
      </c>
      <c r="B195" s="3" t="s">
        <v>13</v>
      </c>
      <c r="C195" s="2">
        <v>45624</v>
      </c>
      <c r="D195" s="3" t="s">
        <v>34</v>
      </c>
      <c r="E195" s="3" t="s">
        <v>359</v>
      </c>
      <c r="F195" s="3">
        <v>19055</v>
      </c>
      <c r="G195" s="3">
        <v>443</v>
      </c>
      <c r="H195" s="3">
        <v>976</v>
      </c>
      <c r="I195" s="3">
        <v>869</v>
      </c>
      <c r="J195" s="3">
        <v>75437</v>
      </c>
      <c r="K195" s="3">
        <v>161863</v>
      </c>
      <c r="L195" s="3" t="s">
        <v>25</v>
      </c>
      <c r="M195" s="4">
        <v>0.12648968572187591</v>
      </c>
    </row>
    <row r="196" spans="1:13" x14ac:dyDescent="0.3">
      <c r="A196" s="3" t="s">
        <v>241</v>
      </c>
      <c r="B196" s="3" t="s">
        <v>18</v>
      </c>
      <c r="C196" s="2">
        <v>45923</v>
      </c>
      <c r="D196" s="3" t="s">
        <v>23</v>
      </c>
      <c r="E196" s="3" t="s">
        <v>359</v>
      </c>
      <c r="F196" s="3">
        <v>17147</v>
      </c>
      <c r="G196" s="3">
        <v>286</v>
      </c>
      <c r="H196" s="3">
        <v>291</v>
      </c>
      <c r="I196" s="3">
        <v>2439</v>
      </c>
      <c r="J196" s="3">
        <v>45631</v>
      </c>
      <c r="K196" s="3">
        <v>140494</v>
      </c>
      <c r="L196" s="3" t="s">
        <v>20</v>
      </c>
      <c r="M196" s="4">
        <v>0.12615485358805359</v>
      </c>
    </row>
    <row r="197" spans="1:13" x14ac:dyDescent="0.3">
      <c r="A197" s="3" t="s">
        <v>241</v>
      </c>
      <c r="B197" s="3" t="s">
        <v>18</v>
      </c>
      <c r="C197" s="2">
        <v>45923</v>
      </c>
      <c r="D197" s="3" t="s">
        <v>23</v>
      </c>
      <c r="E197" s="3" t="s">
        <v>366</v>
      </c>
      <c r="F197" s="3">
        <v>17147</v>
      </c>
      <c r="G197" s="3">
        <v>286</v>
      </c>
      <c r="H197" s="3">
        <v>291</v>
      </c>
      <c r="I197" s="3">
        <v>2439</v>
      </c>
      <c r="J197" s="3">
        <v>45631</v>
      </c>
      <c r="K197" s="3">
        <v>140494</v>
      </c>
      <c r="L197" s="3" t="s">
        <v>20</v>
      </c>
      <c r="M197" s="4">
        <v>0.12615485358805359</v>
      </c>
    </row>
    <row r="198" spans="1:13" x14ac:dyDescent="0.3">
      <c r="A198" s="3" t="s">
        <v>58</v>
      </c>
      <c r="B198" s="3" t="s">
        <v>18</v>
      </c>
      <c r="C198" s="2">
        <v>45680</v>
      </c>
      <c r="D198" s="3" t="s">
        <v>27</v>
      </c>
      <c r="E198" s="3" t="s">
        <v>365</v>
      </c>
      <c r="F198" s="3">
        <v>23168</v>
      </c>
      <c r="G198" s="3">
        <v>1265</v>
      </c>
      <c r="H198" s="3">
        <v>441</v>
      </c>
      <c r="I198" s="3">
        <v>1612</v>
      </c>
      <c r="J198" s="3">
        <v>66615</v>
      </c>
      <c r="K198" s="3">
        <v>197795</v>
      </c>
      <c r="L198" s="3" t="s">
        <v>29</v>
      </c>
      <c r="M198" s="4">
        <v>0.12575646502692181</v>
      </c>
    </row>
    <row r="199" spans="1:13" x14ac:dyDescent="0.3">
      <c r="A199" s="3" t="s">
        <v>58</v>
      </c>
      <c r="B199" s="3" t="s">
        <v>18</v>
      </c>
      <c r="C199" s="2">
        <v>45680</v>
      </c>
      <c r="D199" s="3" t="s">
        <v>27</v>
      </c>
      <c r="E199" s="3" t="s">
        <v>359</v>
      </c>
      <c r="F199" s="3">
        <v>23168</v>
      </c>
      <c r="G199" s="3">
        <v>1265</v>
      </c>
      <c r="H199" s="3">
        <v>441</v>
      </c>
      <c r="I199" s="3">
        <v>1612</v>
      </c>
      <c r="J199" s="3">
        <v>66615</v>
      </c>
      <c r="K199" s="3">
        <v>197795</v>
      </c>
      <c r="L199" s="3" t="s">
        <v>29</v>
      </c>
      <c r="M199" s="4">
        <v>0.12575646502692181</v>
      </c>
    </row>
    <row r="200" spans="1:13" x14ac:dyDescent="0.3">
      <c r="A200" s="3" t="s">
        <v>307</v>
      </c>
      <c r="B200" s="3" t="s">
        <v>40</v>
      </c>
      <c r="C200" s="2">
        <v>45582</v>
      </c>
      <c r="D200" s="3" t="s">
        <v>27</v>
      </c>
      <c r="E200" s="3" t="s">
        <v>357</v>
      </c>
      <c r="F200" s="3">
        <v>18608</v>
      </c>
      <c r="G200" s="3">
        <v>1338</v>
      </c>
      <c r="H200" s="3">
        <v>365</v>
      </c>
      <c r="I200" s="3">
        <v>2289</v>
      </c>
      <c r="J200" s="3">
        <v>20785</v>
      </c>
      <c r="K200" s="3">
        <v>161999</v>
      </c>
      <c r="L200" s="3" t="s">
        <v>16</v>
      </c>
      <c r="M200" s="4">
        <v>0.12537731714393299</v>
      </c>
    </row>
    <row r="201" spans="1:13" x14ac:dyDescent="0.3">
      <c r="A201" s="3" t="s">
        <v>307</v>
      </c>
      <c r="B201" s="3" t="s">
        <v>40</v>
      </c>
      <c r="C201" s="2">
        <v>45582</v>
      </c>
      <c r="D201" s="3" t="s">
        <v>27</v>
      </c>
      <c r="E201" s="3" t="s">
        <v>358</v>
      </c>
      <c r="F201" s="3">
        <v>18608</v>
      </c>
      <c r="G201" s="3">
        <v>1338</v>
      </c>
      <c r="H201" s="3">
        <v>365</v>
      </c>
      <c r="I201" s="3">
        <v>2289</v>
      </c>
      <c r="J201" s="3">
        <v>20785</v>
      </c>
      <c r="K201" s="3">
        <v>161999</v>
      </c>
      <c r="L201" s="3" t="s">
        <v>16</v>
      </c>
      <c r="M201" s="4">
        <v>0.12537731714393299</v>
      </c>
    </row>
    <row r="202" spans="1:13" x14ac:dyDescent="0.3">
      <c r="A202" s="3" t="s">
        <v>167</v>
      </c>
      <c r="B202" s="3" t="s">
        <v>18</v>
      </c>
      <c r="C202" s="2">
        <v>45586</v>
      </c>
      <c r="D202" s="3" t="s">
        <v>14</v>
      </c>
      <c r="E202" s="3" t="s">
        <v>365</v>
      </c>
      <c r="F202" s="3">
        <v>20271</v>
      </c>
      <c r="G202" s="3">
        <v>512</v>
      </c>
      <c r="H202" s="3">
        <v>286</v>
      </c>
      <c r="I202" s="3">
        <v>1982</v>
      </c>
      <c r="J202" s="3">
        <v>43225</v>
      </c>
      <c r="K202" s="3">
        <v>168335</v>
      </c>
      <c r="L202" s="3" t="s">
        <v>29</v>
      </c>
      <c r="M202" s="4">
        <v>0.12516113701844536</v>
      </c>
    </row>
    <row r="203" spans="1:13" x14ac:dyDescent="0.3">
      <c r="A203" s="3" t="s">
        <v>167</v>
      </c>
      <c r="B203" s="3" t="s">
        <v>18</v>
      </c>
      <c r="C203" s="2">
        <v>45586</v>
      </c>
      <c r="D203" s="3" t="s">
        <v>14</v>
      </c>
      <c r="E203" s="3" t="s">
        <v>359</v>
      </c>
      <c r="F203" s="3">
        <v>20271</v>
      </c>
      <c r="G203" s="3">
        <v>512</v>
      </c>
      <c r="H203" s="3">
        <v>286</v>
      </c>
      <c r="I203" s="3">
        <v>1982</v>
      </c>
      <c r="J203" s="3">
        <v>43225</v>
      </c>
      <c r="K203" s="3">
        <v>168335</v>
      </c>
      <c r="L203" s="3" t="s">
        <v>29</v>
      </c>
      <c r="M203" s="4">
        <v>0.12516113701844536</v>
      </c>
    </row>
    <row r="204" spans="1:13" x14ac:dyDescent="0.3">
      <c r="A204" s="3" t="s">
        <v>71</v>
      </c>
      <c r="B204" s="3" t="s">
        <v>22</v>
      </c>
      <c r="C204" s="2">
        <v>45766</v>
      </c>
      <c r="D204" s="3" t="s">
        <v>34</v>
      </c>
      <c r="E204" s="3" t="s">
        <v>64</v>
      </c>
      <c r="F204" s="3">
        <v>20384</v>
      </c>
      <c r="G204" s="3">
        <v>344</v>
      </c>
      <c r="H204" s="3">
        <v>956</v>
      </c>
      <c r="I204" s="3">
        <v>655</v>
      </c>
      <c r="J204" s="3">
        <v>67621</v>
      </c>
      <c r="K204" s="3">
        <v>175720</v>
      </c>
      <c r="L204" s="3" t="s">
        <v>25</v>
      </c>
      <c r="M204" s="4">
        <v>0.12340086501251991</v>
      </c>
    </row>
    <row r="205" spans="1:13" x14ac:dyDescent="0.3">
      <c r="A205" s="3" t="s">
        <v>180</v>
      </c>
      <c r="B205" s="3" t="s">
        <v>18</v>
      </c>
      <c r="C205" s="2">
        <v>45593</v>
      </c>
      <c r="D205" s="3" t="s">
        <v>34</v>
      </c>
      <c r="E205" s="3" t="s">
        <v>367</v>
      </c>
      <c r="F205" s="3">
        <v>8981</v>
      </c>
      <c r="G205" s="3">
        <v>1138</v>
      </c>
      <c r="H205" s="3">
        <v>764</v>
      </c>
      <c r="I205" s="3">
        <v>2555</v>
      </c>
      <c r="J205" s="3">
        <v>92810</v>
      </c>
      <c r="K205" s="3">
        <v>88320</v>
      </c>
      <c r="L205" s="3" t="s">
        <v>45</v>
      </c>
      <c r="M205" s="4">
        <v>0.1232223731884058</v>
      </c>
    </row>
    <row r="206" spans="1:13" x14ac:dyDescent="0.3">
      <c r="A206" s="3" t="s">
        <v>180</v>
      </c>
      <c r="B206" s="3" t="s">
        <v>18</v>
      </c>
      <c r="C206" s="2">
        <v>45593</v>
      </c>
      <c r="D206" s="3" t="s">
        <v>34</v>
      </c>
      <c r="E206" s="3" t="s">
        <v>32</v>
      </c>
      <c r="F206" s="3">
        <v>8981</v>
      </c>
      <c r="G206" s="3">
        <v>1138</v>
      </c>
      <c r="H206" s="3">
        <v>764</v>
      </c>
      <c r="I206" s="3">
        <v>2555</v>
      </c>
      <c r="J206" s="3">
        <v>92810</v>
      </c>
      <c r="K206" s="3">
        <v>88320</v>
      </c>
      <c r="L206" s="3" t="s">
        <v>45</v>
      </c>
      <c r="M206" s="4">
        <v>0.1232223731884058</v>
      </c>
    </row>
    <row r="207" spans="1:13" x14ac:dyDescent="0.3">
      <c r="A207" s="3" t="s">
        <v>193</v>
      </c>
      <c r="B207" s="3" t="s">
        <v>13</v>
      </c>
      <c r="C207" s="2">
        <v>45496</v>
      </c>
      <c r="D207" s="3" t="s">
        <v>27</v>
      </c>
      <c r="E207" s="3" t="s">
        <v>367</v>
      </c>
      <c r="F207" s="3">
        <v>24877</v>
      </c>
      <c r="G207" s="3">
        <v>262</v>
      </c>
      <c r="H207" s="3">
        <v>513</v>
      </c>
      <c r="I207" s="3">
        <v>648</v>
      </c>
      <c r="J207" s="3">
        <v>47544</v>
      </c>
      <c r="K207" s="3">
        <v>208280</v>
      </c>
      <c r="L207" s="3" t="s">
        <v>25</v>
      </c>
      <c r="M207" s="4">
        <v>0.12316112924908777</v>
      </c>
    </row>
    <row r="208" spans="1:13" x14ac:dyDescent="0.3">
      <c r="A208" s="3" t="s">
        <v>193</v>
      </c>
      <c r="B208" s="3" t="s">
        <v>13</v>
      </c>
      <c r="C208" s="2">
        <v>45496</v>
      </c>
      <c r="D208" s="3" t="s">
        <v>27</v>
      </c>
      <c r="E208" s="3" t="s">
        <v>32</v>
      </c>
      <c r="F208" s="3">
        <v>24877</v>
      </c>
      <c r="G208" s="3">
        <v>262</v>
      </c>
      <c r="H208" s="3">
        <v>513</v>
      </c>
      <c r="I208" s="3">
        <v>648</v>
      </c>
      <c r="J208" s="3">
        <v>47544</v>
      </c>
      <c r="K208" s="3">
        <v>208280</v>
      </c>
      <c r="L208" s="3" t="s">
        <v>25</v>
      </c>
      <c r="M208" s="4">
        <v>0.12316112924908777</v>
      </c>
    </row>
    <row r="209" spans="1:13" x14ac:dyDescent="0.3">
      <c r="A209" s="3" t="s">
        <v>145</v>
      </c>
      <c r="B209" s="3" t="s">
        <v>40</v>
      </c>
      <c r="C209" s="2">
        <v>45512</v>
      </c>
      <c r="D209" s="3" t="s">
        <v>34</v>
      </c>
      <c r="E209" s="3" t="s">
        <v>363</v>
      </c>
      <c r="F209" s="3">
        <v>24355</v>
      </c>
      <c r="G209" s="3">
        <v>1087</v>
      </c>
      <c r="H209" s="3">
        <v>686</v>
      </c>
      <c r="I209" s="3">
        <v>2426</v>
      </c>
      <c r="J209" s="3">
        <v>24963</v>
      </c>
      <c r="K209" s="3">
        <v>212307</v>
      </c>
      <c r="L209" s="3" t="s">
        <v>16</v>
      </c>
      <c r="M209" s="4">
        <v>0.1230670679723231</v>
      </c>
    </row>
    <row r="210" spans="1:13" x14ac:dyDescent="0.3">
      <c r="A210" s="3" t="s">
        <v>145</v>
      </c>
      <c r="B210" s="3" t="s">
        <v>40</v>
      </c>
      <c r="C210" s="2">
        <v>45512</v>
      </c>
      <c r="D210" s="3" t="s">
        <v>34</v>
      </c>
      <c r="E210" s="3" t="s">
        <v>364</v>
      </c>
      <c r="F210" s="3">
        <v>24355</v>
      </c>
      <c r="G210" s="3">
        <v>1087</v>
      </c>
      <c r="H210" s="3">
        <v>686</v>
      </c>
      <c r="I210" s="3">
        <v>2426</v>
      </c>
      <c r="J210" s="3">
        <v>24963</v>
      </c>
      <c r="K210" s="3">
        <v>212307</v>
      </c>
      <c r="L210" s="3" t="s">
        <v>16</v>
      </c>
      <c r="M210" s="4">
        <v>0.1230670679723231</v>
      </c>
    </row>
    <row r="211" spans="1:13" x14ac:dyDescent="0.3">
      <c r="A211" s="3" t="s">
        <v>253</v>
      </c>
      <c r="B211" s="3" t="s">
        <v>18</v>
      </c>
      <c r="C211" s="2">
        <v>45926</v>
      </c>
      <c r="D211" s="3" t="s">
        <v>34</v>
      </c>
      <c r="E211" s="3" t="s">
        <v>353</v>
      </c>
      <c r="F211" s="3">
        <v>16369</v>
      </c>
      <c r="G211" s="3">
        <v>1452</v>
      </c>
      <c r="H211" s="3">
        <v>493</v>
      </c>
      <c r="I211" s="3">
        <v>1217</v>
      </c>
      <c r="J211" s="3">
        <v>91440</v>
      </c>
      <c r="K211" s="3">
        <v>149834</v>
      </c>
      <c r="L211" s="3" t="s">
        <v>20</v>
      </c>
      <c r="M211" s="4">
        <v>0.12222859965027964</v>
      </c>
    </row>
    <row r="212" spans="1:13" x14ac:dyDescent="0.3">
      <c r="A212" s="3" t="s">
        <v>253</v>
      </c>
      <c r="B212" s="3" t="s">
        <v>18</v>
      </c>
      <c r="C212" s="2">
        <v>45926</v>
      </c>
      <c r="D212" s="3" t="s">
        <v>34</v>
      </c>
      <c r="E212" s="3" t="s">
        <v>354</v>
      </c>
      <c r="F212" s="3">
        <v>16369</v>
      </c>
      <c r="G212" s="3">
        <v>1452</v>
      </c>
      <c r="H212" s="3">
        <v>493</v>
      </c>
      <c r="I212" s="3">
        <v>1217</v>
      </c>
      <c r="J212" s="3">
        <v>91440</v>
      </c>
      <c r="K212" s="3">
        <v>149834</v>
      </c>
      <c r="L212" s="3" t="s">
        <v>20</v>
      </c>
      <c r="M212" s="4">
        <v>0.12222859965027964</v>
      </c>
    </row>
    <row r="213" spans="1:13" x14ac:dyDescent="0.3">
      <c r="A213" s="3" t="s">
        <v>101</v>
      </c>
      <c r="B213" s="3" t="s">
        <v>40</v>
      </c>
      <c r="C213" s="2">
        <v>45499</v>
      </c>
      <c r="D213" s="3" t="s">
        <v>23</v>
      </c>
      <c r="E213" s="3" t="s">
        <v>363</v>
      </c>
      <c r="F213" s="3">
        <v>12176</v>
      </c>
      <c r="G213" s="3">
        <v>1005</v>
      </c>
      <c r="H213" s="3">
        <v>862</v>
      </c>
      <c r="I213" s="3">
        <v>974</v>
      </c>
      <c r="J213" s="3">
        <v>2285</v>
      </c>
      <c r="K213" s="3">
        <v>116619</v>
      </c>
      <c r="L213" s="3" t="s">
        <v>29</v>
      </c>
      <c r="M213" s="4">
        <v>0.12041777068916729</v>
      </c>
    </row>
    <row r="214" spans="1:13" x14ac:dyDescent="0.3">
      <c r="A214" s="3" t="s">
        <v>101</v>
      </c>
      <c r="B214" s="3" t="s">
        <v>40</v>
      </c>
      <c r="C214" s="2">
        <v>45499</v>
      </c>
      <c r="D214" s="3" t="s">
        <v>23</v>
      </c>
      <c r="E214" s="3" t="s">
        <v>364</v>
      </c>
      <c r="F214" s="3">
        <v>12176</v>
      </c>
      <c r="G214" s="3">
        <v>1005</v>
      </c>
      <c r="H214" s="3">
        <v>862</v>
      </c>
      <c r="I214" s="3">
        <v>974</v>
      </c>
      <c r="J214" s="3">
        <v>2285</v>
      </c>
      <c r="K214" s="3">
        <v>116619</v>
      </c>
      <c r="L214" s="3" t="s">
        <v>29</v>
      </c>
      <c r="M214" s="4">
        <v>0.12041777068916729</v>
      </c>
    </row>
    <row r="215" spans="1:13" x14ac:dyDescent="0.3">
      <c r="A215" s="3" t="s">
        <v>264</v>
      </c>
      <c r="B215" s="3" t="s">
        <v>40</v>
      </c>
      <c r="C215" s="2">
        <v>45474</v>
      </c>
      <c r="D215" s="3" t="s">
        <v>27</v>
      </c>
      <c r="E215" s="3" t="s">
        <v>357</v>
      </c>
      <c r="F215" s="3">
        <v>3761</v>
      </c>
      <c r="G215" s="3">
        <v>651</v>
      </c>
      <c r="H215" s="3">
        <v>493</v>
      </c>
      <c r="I215" s="3">
        <v>2294</v>
      </c>
      <c r="J215" s="3">
        <v>71696</v>
      </c>
      <c r="K215" s="3">
        <v>41177</v>
      </c>
      <c r="L215" s="3" t="s">
        <v>16</v>
      </c>
      <c r="M215" s="4">
        <v>0.11911989702989532</v>
      </c>
    </row>
    <row r="216" spans="1:13" x14ac:dyDescent="0.3">
      <c r="A216" s="3" t="s">
        <v>264</v>
      </c>
      <c r="B216" s="3" t="s">
        <v>40</v>
      </c>
      <c r="C216" s="2">
        <v>45474</v>
      </c>
      <c r="D216" s="3" t="s">
        <v>27</v>
      </c>
      <c r="E216" s="3" t="s">
        <v>358</v>
      </c>
      <c r="F216" s="3">
        <v>3761</v>
      </c>
      <c r="G216" s="3">
        <v>651</v>
      </c>
      <c r="H216" s="3">
        <v>493</v>
      </c>
      <c r="I216" s="3">
        <v>2294</v>
      </c>
      <c r="J216" s="3">
        <v>71696</v>
      </c>
      <c r="K216" s="3">
        <v>41177</v>
      </c>
      <c r="L216" s="3" t="s">
        <v>16</v>
      </c>
      <c r="M216" s="4">
        <v>0.11911989702989532</v>
      </c>
    </row>
    <row r="217" spans="1:13" x14ac:dyDescent="0.3">
      <c r="A217" s="3" t="s">
        <v>270</v>
      </c>
      <c r="B217" s="3" t="s">
        <v>18</v>
      </c>
      <c r="C217" s="2">
        <v>45444</v>
      </c>
      <c r="D217" s="3" t="s">
        <v>14</v>
      </c>
      <c r="E217" s="3" t="s">
        <v>361</v>
      </c>
      <c r="F217" s="3">
        <v>19844</v>
      </c>
      <c r="G217" s="3">
        <v>1022</v>
      </c>
      <c r="H217" s="3">
        <v>860</v>
      </c>
      <c r="I217" s="3">
        <v>2570</v>
      </c>
      <c r="J217" s="3">
        <v>23719</v>
      </c>
      <c r="K217" s="3">
        <v>182628</v>
      </c>
      <c r="L217" s="3" t="s">
        <v>25</v>
      </c>
      <c r="M217" s="4">
        <v>0.11896313818253498</v>
      </c>
    </row>
    <row r="218" spans="1:13" x14ac:dyDescent="0.3">
      <c r="A218" s="3" t="s">
        <v>270</v>
      </c>
      <c r="B218" s="3" t="s">
        <v>18</v>
      </c>
      <c r="C218" s="2">
        <v>45444</v>
      </c>
      <c r="D218" s="3" t="s">
        <v>14</v>
      </c>
      <c r="E218" s="3" t="s">
        <v>362</v>
      </c>
      <c r="F218" s="3">
        <v>19844</v>
      </c>
      <c r="G218" s="3">
        <v>1022</v>
      </c>
      <c r="H218" s="3">
        <v>860</v>
      </c>
      <c r="I218" s="3">
        <v>2570</v>
      </c>
      <c r="J218" s="3">
        <v>23719</v>
      </c>
      <c r="K218" s="3">
        <v>182628</v>
      </c>
      <c r="L218" s="3" t="s">
        <v>25</v>
      </c>
      <c r="M218" s="4">
        <v>0.11896313818253498</v>
      </c>
    </row>
    <row r="219" spans="1:13" x14ac:dyDescent="0.3">
      <c r="A219" s="3" t="s">
        <v>143</v>
      </c>
      <c r="B219" s="3" t="s">
        <v>40</v>
      </c>
      <c r="C219" s="2">
        <v>45464</v>
      </c>
      <c r="D219" s="3" t="s">
        <v>27</v>
      </c>
      <c r="E219" s="3" t="s">
        <v>359</v>
      </c>
      <c r="F219" s="3">
        <v>21216</v>
      </c>
      <c r="G219" s="3">
        <v>1207</v>
      </c>
      <c r="H219" s="3">
        <v>859</v>
      </c>
      <c r="I219" s="3">
        <v>328</v>
      </c>
      <c r="J219" s="3">
        <v>91296</v>
      </c>
      <c r="K219" s="3">
        <v>196683</v>
      </c>
      <c r="L219" s="3" t="s">
        <v>25</v>
      </c>
      <c r="M219" s="4">
        <v>0.1183732198512327</v>
      </c>
    </row>
    <row r="220" spans="1:13" x14ac:dyDescent="0.3">
      <c r="A220" s="3" t="s">
        <v>143</v>
      </c>
      <c r="B220" s="3" t="s">
        <v>40</v>
      </c>
      <c r="C220" s="2">
        <v>45464</v>
      </c>
      <c r="D220" s="3" t="s">
        <v>27</v>
      </c>
      <c r="E220" s="3" t="s">
        <v>360</v>
      </c>
      <c r="F220" s="3">
        <v>21216</v>
      </c>
      <c r="G220" s="3">
        <v>1207</v>
      </c>
      <c r="H220" s="3">
        <v>859</v>
      </c>
      <c r="I220" s="3">
        <v>328</v>
      </c>
      <c r="J220" s="3">
        <v>91296</v>
      </c>
      <c r="K220" s="3">
        <v>196683</v>
      </c>
      <c r="L220" s="3" t="s">
        <v>25</v>
      </c>
      <c r="M220" s="4">
        <v>0.1183732198512327</v>
      </c>
    </row>
    <row r="221" spans="1:13" x14ac:dyDescent="0.3">
      <c r="A221" s="3" t="s">
        <v>98</v>
      </c>
      <c r="B221" s="3" t="s">
        <v>22</v>
      </c>
      <c r="C221" s="2">
        <v>45504</v>
      </c>
      <c r="D221" s="3" t="s">
        <v>14</v>
      </c>
      <c r="E221" s="3" t="s">
        <v>353</v>
      </c>
      <c r="F221" s="3">
        <v>12357</v>
      </c>
      <c r="G221" s="3">
        <v>716</v>
      </c>
      <c r="H221" s="3">
        <v>599</v>
      </c>
      <c r="I221" s="3">
        <v>999</v>
      </c>
      <c r="J221" s="3">
        <v>89591</v>
      </c>
      <c r="K221" s="3">
        <v>116367</v>
      </c>
      <c r="L221" s="3" t="s">
        <v>16</v>
      </c>
      <c r="M221" s="4">
        <v>0.11749035379446063</v>
      </c>
    </row>
    <row r="222" spans="1:13" x14ac:dyDescent="0.3">
      <c r="A222" s="3" t="s">
        <v>98</v>
      </c>
      <c r="B222" s="3" t="s">
        <v>22</v>
      </c>
      <c r="C222" s="2">
        <v>45504</v>
      </c>
      <c r="D222" s="3" t="s">
        <v>14</v>
      </c>
      <c r="E222" s="3" t="s">
        <v>354</v>
      </c>
      <c r="F222" s="3">
        <v>12357</v>
      </c>
      <c r="G222" s="3">
        <v>716</v>
      </c>
      <c r="H222" s="3">
        <v>599</v>
      </c>
      <c r="I222" s="3">
        <v>999</v>
      </c>
      <c r="J222" s="3">
        <v>89591</v>
      </c>
      <c r="K222" s="3">
        <v>116367</v>
      </c>
      <c r="L222" s="3" t="s">
        <v>16</v>
      </c>
      <c r="M222" s="4">
        <v>0.11749035379446063</v>
      </c>
    </row>
    <row r="223" spans="1:13" x14ac:dyDescent="0.3">
      <c r="A223" s="3" t="s">
        <v>240</v>
      </c>
      <c r="B223" s="3" t="s">
        <v>22</v>
      </c>
      <c r="C223" s="2">
        <v>45922</v>
      </c>
      <c r="D223" s="3" t="s">
        <v>34</v>
      </c>
      <c r="E223" s="3" t="s">
        <v>32</v>
      </c>
      <c r="F223" s="3">
        <v>18509</v>
      </c>
      <c r="G223" s="3">
        <v>361</v>
      </c>
      <c r="H223" s="3">
        <v>578</v>
      </c>
      <c r="I223" s="3">
        <v>1409</v>
      </c>
      <c r="J223" s="3">
        <v>10569</v>
      </c>
      <c r="K223" s="3">
        <v>166969</v>
      </c>
      <c r="L223" s="3" t="s">
        <v>20</v>
      </c>
      <c r="M223" s="4">
        <v>0.11647671124580011</v>
      </c>
    </row>
    <row r="224" spans="1:13" x14ac:dyDescent="0.3">
      <c r="A224" s="3" t="s">
        <v>286</v>
      </c>
      <c r="B224" s="3" t="s">
        <v>13</v>
      </c>
      <c r="C224" s="2">
        <v>45465</v>
      </c>
      <c r="D224" s="3" t="s">
        <v>23</v>
      </c>
      <c r="E224" s="3" t="s">
        <v>363</v>
      </c>
      <c r="F224" s="3">
        <v>7342</v>
      </c>
      <c r="G224" s="3">
        <v>906</v>
      </c>
      <c r="H224" s="3">
        <v>902</v>
      </c>
      <c r="I224" s="3">
        <v>1199</v>
      </c>
      <c r="J224" s="3">
        <v>68488</v>
      </c>
      <c r="K224" s="3">
        <v>79310</v>
      </c>
      <c r="L224" s="3" t="s">
        <v>16</v>
      </c>
      <c r="M224" s="4">
        <v>0.1153700668263775</v>
      </c>
    </row>
    <row r="225" spans="1:13" x14ac:dyDescent="0.3">
      <c r="A225" s="3" t="s">
        <v>286</v>
      </c>
      <c r="B225" s="3" t="s">
        <v>13</v>
      </c>
      <c r="C225" s="2">
        <v>45465</v>
      </c>
      <c r="D225" s="3" t="s">
        <v>23</v>
      </c>
      <c r="E225" s="3" t="s">
        <v>364</v>
      </c>
      <c r="F225" s="3">
        <v>7342</v>
      </c>
      <c r="G225" s="3">
        <v>906</v>
      </c>
      <c r="H225" s="3">
        <v>902</v>
      </c>
      <c r="I225" s="3">
        <v>1199</v>
      </c>
      <c r="J225" s="3">
        <v>68488</v>
      </c>
      <c r="K225" s="3">
        <v>79310</v>
      </c>
      <c r="L225" s="3" t="s">
        <v>16</v>
      </c>
      <c r="M225" s="4">
        <v>0.1153700668263775</v>
      </c>
    </row>
    <row r="226" spans="1:13" x14ac:dyDescent="0.3">
      <c r="A226" s="3" t="s">
        <v>131</v>
      </c>
      <c r="B226" s="3" t="s">
        <v>40</v>
      </c>
      <c r="C226" s="2">
        <v>45604</v>
      </c>
      <c r="D226" s="3" t="s">
        <v>23</v>
      </c>
      <c r="E226" s="3" t="s">
        <v>359</v>
      </c>
      <c r="F226" s="3">
        <v>23499</v>
      </c>
      <c r="G226" s="3">
        <v>562</v>
      </c>
      <c r="H226" s="3">
        <v>964</v>
      </c>
      <c r="I226" s="3">
        <v>2557</v>
      </c>
      <c r="J226" s="3">
        <v>56890</v>
      </c>
      <c r="K226" s="3">
        <v>218686</v>
      </c>
      <c r="L226" s="3" t="s">
        <v>29</v>
      </c>
      <c r="M226" s="4">
        <v>0.11443347996671026</v>
      </c>
    </row>
    <row r="227" spans="1:13" x14ac:dyDescent="0.3">
      <c r="A227" s="3" t="s">
        <v>131</v>
      </c>
      <c r="B227" s="3" t="s">
        <v>40</v>
      </c>
      <c r="C227" s="2">
        <v>45604</v>
      </c>
      <c r="D227" s="3" t="s">
        <v>23</v>
      </c>
      <c r="E227" s="3" t="s">
        <v>360</v>
      </c>
      <c r="F227" s="3">
        <v>23499</v>
      </c>
      <c r="G227" s="3">
        <v>562</v>
      </c>
      <c r="H227" s="3">
        <v>964</v>
      </c>
      <c r="I227" s="3">
        <v>2557</v>
      </c>
      <c r="J227" s="3">
        <v>56890</v>
      </c>
      <c r="K227" s="3">
        <v>218686</v>
      </c>
      <c r="L227" s="3" t="s">
        <v>29</v>
      </c>
      <c r="M227" s="4">
        <v>0.11443347996671026</v>
      </c>
    </row>
    <row r="228" spans="1:13" x14ac:dyDescent="0.3">
      <c r="A228" s="3" t="s">
        <v>179</v>
      </c>
      <c r="B228" s="3" t="s">
        <v>18</v>
      </c>
      <c r="C228" s="2">
        <v>45567</v>
      </c>
      <c r="D228" s="3" t="s">
        <v>14</v>
      </c>
      <c r="E228" s="3" t="s">
        <v>357</v>
      </c>
      <c r="F228" s="3">
        <v>15716</v>
      </c>
      <c r="G228" s="3">
        <v>839</v>
      </c>
      <c r="H228" s="3">
        <v>639</v>
      </c>
      <c r="I228" s="3">
        <v>2839</v>
      </c>
      <c r="J228" s="3">
        <v>349</v>
      </c>
      <c r="K228" s="3">
        <v>150677</v>
      </c>
      <c r="L228" s="3" t="s">
        <v>25</v>
      </c>
      <c r="M228" s="4">
        <v>0.11411164278556117</v>
      </c>
    </row>
    <row r="229" spans="1:13" x14ac:dyDescent="0.3">
      <c r="A229" s="3" t="s">
        <v>179</v>
      </c>
      <c r="B229" s="3" t="s">
        <v>18</v>
      </c>
      <c r="C229" s="2">
        <v>45567</v>
      </c>
      <c r="D229" s="3" t="s">
        <v>14</v>
      </c>
      <c r="E229" s="3" t="s">
        <v>358</v>
      </c>
      <c r="F229" s="3">
        <v>15716</v>
      </c>
      <c r="G229" s="3">
        <v>839</v>
      </c>
      <c r="H229" s="3">
        <v>639</v>
      </c>
      <c r="I229" s="3">
        <v>2839</v>
      </c>
      <c r="J229" s="3">
        <v>349</v>
      </c>
      <c r="K229" s="3">
        <v>150677</v>
      </c>
      <c r="L229" s="3" t="s">
        <v>25</v>
      </c>
      <c r="M229" s="4">
        <v>0.11411164278556117</v>
      </c>
    </row>
    <row r="230" spans="1:13" x14ac:dyDescent="0.3">
      <c r="A230" s="3" t="s">
        <v>134</v>
      </c>
      <c r="B230" s="3" t="s">
        <v>18</v>
      </c>
      <c r="C230" s="2">
        <v>45453</v>
      </c>
      <c r="D230" s="3" t="s">
        <v>27</v>
      </c>
      <c r="E230" s="3" t="s">
        <v>361</v>
      </c>
      <c r="F230" s="3">
        <v>21561</v>
      </c>
      <c r="G230" s="3">
        <v>340</v>
      </c>
      <c r="H230" s="3">
        <v>741</v>
      </c>
      <c r="I230" s="3">
        <v>986</v>
      </c>
      <c r="J230" s="3">
        <v>24826</v>
      </c>
      <c r="K230" s="3">
        <v>198492</v>
      </c>
      <c r="L230" s="3" t="s">
        <v>16</v>
      </c>
      <c r="M230" s="4">
        <v>0.11407008846704149</v>
      </c>
    </row>
    <row r="231" spans="1:13" x14ac:dyDescent="0.3">
      <c r="A231" s="3" t="s">
        <v>134</v>
      </c>
      <c r="B231" s="3" t="s">
        <v>18</v>
      </c>
      <c r="C231" s="2">
        <v>45453</v>
      </c>
      <c r="D231" s="3" t="s">
        <v>27</v>
      </c>
      <c r="E231" s="3" t="s">
        <v>362</v>
      </c>
      <c r="F231" s="3">
        <v>21561</v>
      </c>
      <c r="G231" s="3">
        <v>340</v>
      </c>
      <c r="H231" s="3">
        <v>741</v>
      </c>
      <c r="I231" s="3">
        <v>986</v>
      </c>
      <c r="J231" s="3">
        <v>24826</v>
      </c>
      <c r="K231" s="3">
        <v>198492</v>
      </c>
      <c r="L231" s="3" t="s">
        <v>16</v>
      </c>
      <c r="M231" s="4">
        <v>0.11407008846704149</v>
      </c>
    </row>
    <row r="232" spans="1:13" x14ac:dyDescent="0.3">
      <c r="A232" s="3" t="s">
        <v>197</v>
      </c>
      <c r="B232" s="3" t="s">
        <v>13</v>
      </c>
      <c r="C232" s="2">
        <v>45936</v>
      </c>
      <c r="D232" s="3" t="s">
        <v>27</v>
      </c>
      <c r="E232" s="3" t="s">
        <v>357</v>
      </c>
      <c r="F232" s="3">
        <v>22028</v>
      </c>
      <c r="G232" s="3">
        <v>355</v>
      </c>
      <c r="H232" s="3">
        <v>665</v>
      </c>
      <c r="I232" s="3">
        <v>1859</v>
      </c>
      <c r="J232" s="3">
        <v>50565</v>
      </c>
      <c r="K232" s="3">
        <v>202962</v>
      </c>
      <c r="L232" s="3" t="s">
        <v>20</v>
      </c>
      <c r="M232" s="4">
        <v>0.11355820301337197</v>
      </c>
    </row>
    <row r="233" spans="1:13" x14ac:dyDescent="0.3">
      <c r="A233" s="3" t="s">
        <v>197</v>
      </c>
      <c r="B233" s="3" t="s">
        <v>13</v>
      </c>
      <c r="C233" s="2">
        <v>45936</v>
      </c>
      <c r="D233" s="3" t="s">
        <v>27</v>
      </c>
      <c r="E233" s="3" t="s">
        <v>358</v>
      </c>
      <c r="F233" s="3">
        <v>22028</v>
      </c>
      <c r="G233" s="3">
        <v>355</v>
      </c>
      <c r="H233" s="3">
        <v>665</v>
      </c>
      <c r="I233" s="3">
        <v>1859</v>
      </c>
      <c r="J233" s="3">
        <v>50565</v>
      </c>
      <c r="K233" s="3">
        <v>202962</v>
      </c>
      <c r="L233" s="3" t="s">
        <v>20</v>
      </c>
      <c r="M233" s="4">
        <v>0.11355820301337197</v>
      </c>
    </row>
    <row r="234" spans="1:13" x14ac:dyDescent="0.3">
      <c r="A234" s="3" t="s">
        <v>61</v>
      </c>
      <c r="B234" s="3" t="s">
        <v>40</v>
      </c>
      <c r="C234" s="2">
        <v>45552</v>
      </c>
      <c r="D234" s="3" t="s">
        <v>23</v>
      </c>
      <c r="E234" s="3" t="s">
        <v>365</v>
      </c>
      <c r="F234" s="3">
        <v>20017</v>
      </c>
      <c r="G234" s="3">
        <v>495</v>
      </c>
      <c r="H234" s="3">
        <v>178</v>
      </c>
      <c r="I234" s="3">
        <v>2683</v>
      </c>
      <c r="J234" s="3">
        <v>32244</v>
      </c>
      <c r="K234" s="3">
        <v>182633</v>
      </c>
      <c r="L234" s="3" t="s">
        <v>16</v>
      </c>
      <c r="M234" s="4">
        <v>0.11328730295182141</v>
      </c>
    </row>
    <row r="235" spans="1:13" x14ac:dyDescent="0.3">
      <c r="A235" s="3" t="s">
        <v>61</v>
      </c>
      <c r="B235" s="3" t="s">
        <v>40</v>
      </c>
      <c r="C235" s="2">
        <v>45552</v>
      </c>
      <c r="D235" s="3" t="s">
        <v>23</v>
      </c>
      <c r="E235" s="3" t="s">
        <v>359</v>
      </c>
      <c r="F235" s="3">
        <v>20017</v>
      </c>
      <c r="G235" s="3">
        <v>495</v>
      </c>
      <c r="H235" s="3">
        <v>178</v>
      </c>
      <c r="I235" s="3">
        <v>2683</v>
      </c>
      <c r="J235" s="3">
        <v>32244</v>
      </c>
      <c r="K235" s="3">
        <v>182633</v>
      </c>
      <c r="L235" s="3" t="s">
        <v>16</v>
      </c>
      <c r="M235" s="4">
        <v>0.11328730295182141</v>
      </c>
    </row>
    <row r="236" spans="1:13" x14ac:dyDescent="0.3">
      <c r="A236" s="3" t="s">
        <v>164</v>
      </c>
      <c r="B236" s="3" t="s">
        <v>22</v>
      </c>
      <c r="C236" s="2">
        <v>45667</v>
      </c>
      <c r="D236" s="3" t="s">
        <v>34</v>
      </c>
      <c r="E236" s="3" t="s">
        <v>367</v>
      </c>
      <c r="F236" s="3">
        <v>14647</v>
      </c>
      <c r="G236" s="3">
        <v>1168</v>
      </c>
      <c r="H236" s="3">
        <v>484</v>
      </c>
      <c r="I236" s="3">
        <v>2650</v>
      </c>
      <c r="J236" s="3">
        <v>27217</v>
      </c>
      <c r="K236" s="3">
        <v>144061</v>
      </c>
      <c r="L236" s="3" t="s">
        <v>29</v>
      </c>
      <c r="M236" s="4">
        <v>0.11313957281984714</v>
      </c>
    </row>
    <row r="237" spans="1:13" x14ac:dyDescent="0.3">
      <c r="A237" s="3" t="s">
        <v>164</v>
      </c>
      <c r="B237" s="3" t="s">
        <v>22</v>
      </c>
      <c r="C237" s="2">
        <v>45667</v>
      </c>
      <c r="D237" s="3" t="s">
        <v>34</v>
      </c>
      <c r="E237" s="3" t="s">
        <v>32</v>
      </c>
      <c r="F237" s="3">
        <v>14647</v>
      </c>
      <c r="G237" s="3">
        <v>1168</v>
      </c>
      <c r="H237" s="3">
        <v>484</v>
      </c>
      <c r="I237" s="3">
        <v>2650</v>
      </c>
      <c r="J237" s="3">
        <v>27217</v>
      </c>
      <c r="K237" s="3">
        <v>144061</v>
      </c>
      <c r="L237" s="3" t="s">
        <v>29</v>
      </c>
      <c r="M237" s="4">
        <v>0.11313957281984714</v>
      </c>
    </row>
    <row r="238" spans="1:13" x14ac:dyDescent="0.3">
      <c r="A238" s="3" t="s">
        <v>195</v>
      </c>
      <c r="B238" s="3" t="s">
        <v>22</v>
      </c>
      <c r="C238" s="2">
        <v>45935</v>
      </c>
      <c r="D238" s="3" t="s">
        <v>23</v>
      </c>
      <c r="E238" s="3" t="s">
        <v>361</v>
      </c>
      <c r="F238" s="3">
        <v>21262</v>
      </c>
      <c r="G238" s="3">
        <v>861</v>
      </c>
      <c r="H238" s="3">
        <v>676</v>
      </c>
      <c r="I238" s="3">
        <v>2263</v>
      </c>
      <c r="J238" s="3">
        <v>12085</v>
      </c>
      <c r="K238" s="3">
        <v>201731</v>
      </c>
      <c r="L238" s="3" t="s">
        <v>20</v>
      </c>
      <c r="M238" s="4">
        <v>0.11301683925623726</v>
      </c>
    </row>
    <row r="239" spans="1:13" x14ac:dyDescent="0.3">
      <c r="A239" s="3" t="s">
        <v>195</v>
      </c>
      <c r="B239" s="3" t="s">
        <v>22</v>
      </c>
      <c r="C239" s="2">
        <v>45935</v>
      </c>
      <c r="D239" s="3" t="s">
        <v>23</v>
      </c>
      <c r="E239" s="3" t="s">
        <v>362</v>
      </c>
      <c r="F239" s="3">
        <v>21262</v>
      </c>
      <c r="G239" s="3">
        <v>861</v>
      </c>
      <c r="H239" s="3">
        <v>676</v>
      </c>
      <c r="I239" s="3">
        <v>2263</v>
      </c>
      <c r="J239" s="3">
        <v>12085</v>
      </c>
      <c r="K239" s="3">
        <v>201731</v>
      </c>
      <c r="L239" s="3" t="s">
        <v>20</v>
      </c>
      <c r="M239" s="4">
        <v>0.11301683925623726</v>
      </c>
    </row>
    <row r="240" spans="1:13" x14ac:dyDescent="0.3">
      <c r="A240" s="3" t="s">
        <v>231</v>
      </c>
      <c r="B240" s="3" t="s">
        <v>13</v>
      </c>
      <c r="C240" s="2">
        <v>45519</v>
      </c>
      <c r="D240" s="3" t="s">
        <v>14</v>
      </c>
      <c r="E240" s="3" t="s">
        <v>365</v>
      </c>
      <c r="F240" s="3">
        <v>15503</v>
      </c>
      <c r="G240" s="3">
        <v>313</v>
      </c>
      <c r="H240" s="3">
        <v>388</v>
      </c>
      <c r="I240" s="3">
        <v>1078</v>
      </c>
      <c r="J240" s="3">
        <v>11500</v>
      </c>
      <c r="K240" s="3">
        <v>143754</v>
      </c>
      <c r="L240" s="3" t="s">
        <v>29</v>
      </c>
      <c r="M240" s="4">
        <v>0.1127203416948398</v>
      </c>
    </row>
    <row r="241" spans="1:13" x14ac:dyDescent="0.3">
      <c r="A241" s="3" t="s">
        <v>231</v>
      </c>
      <c r="B241" s="3" t="s">
        <v>13</v>
      </c>
      <c r="C241" s="2">
        <v>45519</v>
      </c>
      <c r="D241" s="3" t="s">
        <v>14</v>
      </c>
      <c r="E241" s="3" t="s">
        <v>359</v>
      </c>
      <c r="F241" s="3">
        <v>15503</v>
      </c>
      <c r="G241" s="3">
        <v>313</v>
      </c>
      <c r="H241" s="3">
        <v>388</v>
      </c>
      <c r="I241" s="3">
        <v>1078</v>
      </c>
      <c r="J241" s="3">
        <v>11500</v>
      </c>
      <c r="K241" s="3">
        <v>143754</v>
      </c>
      <c r="L241" s="3" t="s">
        <v>29</v>
      </c>
      <c r="M241" s="4">
        <v>0.1127203416948398</v>
      </c>
    </row>
    <row r="242" spans="1:13" x14ac:dyDescent="0.3">
      <c r="A242" s="3" t="s">
        <v>106</v>
      </c>
      <c r="B242" s="3" t="s">
        <v>40</v>
      </c>
      <c r="C242" s="2">
        <v>45537</v>
      </c>
      <c r="D242" s="3" t="s">
        <v>34</v>
      </c>
      <c r="E242" s="3" t="s">
        <v>359</v>
      </c>
      <c r="F242" s="3">
        <v>12040</v>
      </c>
      <c r="G242" s="3">
        <v>1147</v>
      </c>
      <c r="H242" s="3">
        <v>210</v>
      </c>
      <c r="I242" s="3">
        <v>885</v>
      </c>
      <c r="J242" s="3">
        <v>30360</v>
      </c>
      <c r="K242" s="3">
        <v>119530</v>
      </c>
      <c r="L242" s="3" t="s">
        <v>29</v>
      </c>
      <c r="M242" s="4">
        <v>0.1120806492094035</v>
      </c>
    </row>
    <row r="243" spans="1:13" x14ac:dyDescent="0.3">
      <c r="A243" s="3" t="s">
        <v>106</v>
      </c>
      <c r="B243" s="3" t="s">
        <v>40</v>
      </c>
      <c r="C243" s="2">
        <v>45537</v>
      </c>
      <c r="D243" s="3" t="s">
        <v>34</v>
      </c>
      <c r="E243" s="3" t="s">
        <v>360</v>
      </c>
      <c r="F243" s="3">
        <v>12040</v>
      </c>
      <c r="G243" s="3">
        <v>1147</v>
      </c>
      <c r="H243" s="3">
        <v>210</v>
      </c>
      <c r="I243" s="3">
        <v>885</v>
      </c>
      <c r="J243" s="3">
        <v>30360</v>
      </c>
      <c r="K243" s="3">
        <v>119530</v>
      </c>
      <c r="L243" s="3" t="s">
        <v>29</v>
      </c>
      <c r="M243" s="4">
        <v>0.1120806492094035</v>
      </c>
    </row>
    <row r="244" spans="1:13" x14ac:dyDescent="0.3">
      <c r="A244" s="3" t="s">
        <v>128</v>
      </c>
      <c r="B244" s="3" t="s">
        <v>18</v>
      </c>
      <c r="C244" s="2">
        <v>45586</v>
      </c>
      <c r="D244" s="3" t="s">
        <v>23</v>
      </c>
      <c r="E244" s="3" t="s">
        <v>355</v>
      </c>
      <c r="F244" s="3">
        <v>19715</v>
      </c>
      <c r="G244" s="3">
        <v>1014</v>
      </c>
      <c r="H244" s="3">
        <v>718</v>
      </c>
      <c r="I244" s="3">
        <v>1185</v>
      </c>
      <c r="J244" s="3">
        <v>37625</v>
      </c>
      <c r="K244" s="3">
        <v>191409</v>
      </c>
      <c r="L244" s="3" t="s">
        <v>16</v>
      </c>
      <c r="M244" s="4">
        <v>0.11204802282024356</v>
      </c>
    </row>
    <row r="245" spans="1:13" x14ac:dyDescent="0.3">
      <c r="A245" s="3" t="s">
        <v>128</v>
      </c>
      <c r="B245" s="3" t="s">
        <v>18</v>
      </c>
      <c r="C245" s="2">
        <v>45586</v>
      </c>
      <c r="D245" s="3" t="s">
        <v>23</v>
      </c>
      <c r="E245" s="3" t="s">
        <v>356</v>
      </c>
      <c r="F245" s="3">
        <v>19715</v>
      </c>
      <c r="G245" s="3">
        <v>1014</v>
      </c>
      <c r="H245" s="3">
        <v>718</v>
      </c>
      <c r="I245" s="3">
        <v>1185</v>
      </c>
      <c r="J245" s="3">
        <v>37625</v>
      </c>
      <c r="K245" s="3">
        <v>191409</v>
      </c>
      <c r="L245" s="3" t="s">
        <v>16</v>
      </c>
      <c r="M245" s="4">
        <v>0.11204802282024356</v>
      </c>
    </row>
    <row r="246" spans="1:13" x14ac:dyDescent="0.3">
      <c r="A246" s="3" t="s">
        <v>261</v>
      </c>
      <c r="B246" s="3" t="s">
        <v>40</v>
      </c>
      <c r="C246" s="2">
        <v>45463</v>
      </c>
      <c r="D246" s="3" t="s">
        <v>27</v>
      </c>
      <c r="E246" s="3" t="s">
        <v>363</v>
      </c>
      <c r="F246" s="3">
        <v>21123</v>
      </c>
      <c r="G246" s="3">
        <v>1343</v>
      </c>
      <c r="H246" s="3">
        <v>589</v>
      </c>
      <c r="I246" s="3">
        <v>727</v>
      </c>
      <c r="J246" s="3">
        <v>87833</v>
      </c>
      <c r="K246" s="3">
        <v>206703</v>
      </c>
      <c r="L246" s="3" t="s">
        <v>16</v>
      </c>
      <c r="M246" s="4">
        <v>0.11153684271636116</v>
      </c>
    </row>
    <row r="247" spans="1:13" x14ac:dyDescent="0.3">
      <c r="A247" s="3" t="s">
        <v>261</v>
      </c>
      <c r="B247" s="3" t="s">
        <v>40</v>
      </c>
      <c r="C247" s="2">
        <v>45463</v>
      </c>
      <c r="D247" s="3" t="s">
        <v>27</v>
      </c>
      <c r="E247" s="3" t="s">
        <v>364</v>
      </c>
      <c r="F247" s="3">
        <v>21123</v>
      </c>
      <c r="G247" s="3">
        <v>1343</v>
      </c>
      <c r="H247" s="3">
        <v>589</v>
      </c>
      <c r="I247" s="3">
        <v>727</v>
      </c>
      <c r="J247" s="3">
        <v>87833</v>
      </c>
      <c r="K247" s="3">
        <v>206703</v>
      </c>
      <c r="L247" s="3" t="s">
        <v>16</v>
      </c>
      <c r="M247" s="4">
        <v>0.11153684271636116</v>
      </c>
    </row>
    <row r="248" spans="1:13" x14ac:dyDescent="0.3">
      <c r="A248" s="3" t="s">
        <v>52</v>
      </c>
      <c r="B248" s="3" t="s">
        <v>18</v>
      </c>
      <c r="C248" s="2">
        <v>45466</v>
      </c>
      <c r="D248" s="3" t="s">
        <v>23</v>
      </c>
      <c r="E248" s="3" t="s">
        <v>359</v>
      </c>
      <c r="F248" s="3">
        <v>16512</v>
      </c>
      <c r="G248" s="3">
        <v>1050</v>
      </c>
      <c r="H248" s="3">
        <v>971</v>
      </c>
      <c r="I248" s="3">
        <v>1891</v>
      </c>
      <c r="J248" s="3">
        <v>15865</v>
      </c>
      <c r="K248" s="3">
        <v>166503</v>
      </c>
      <c r="L248" s="3" t="s">
        <v>29</v>
      </c>
      <c r="M248" s="4">
        <v>0.1113073037723044</v>
      </c>
    </row>
    <row r="249" spans="1:13" x14ac:dyDescent="0.3">
      <c r="A249" s="3" t="s">
        <v>52</v>
      </c>
      <c r="B249" s="3" t="s">
        <v>18</v>
      </c>
      <c r="C249" s="2">
        <v>45466</v>
      </c>
      <c r="D249" s="3" t="s">
        <v>23</v>
      </c>
      <c r="E249" s="3" t="s">
        <v>366</v>
      </c>
      <c r="F249" s="3">
        <v>16512</v>
      </c>
      <c r="G249" s="3">
        <v>1050</v>
      </c>
      <c r="H249" s="3">
        <v>971</v>
      </c>
      <c r="I249" s="3">
        <v>1891</v>
      </c>
      <c r="J249" s="3">
        <v>15865</v>
      </c>
      <c r="K249" s="3">
        <v>166503</v>
      </c>
      <c r="L249" s="3" t="s">
        <v>29</v>
      </c>
      <c r="M249" s="4">
        <v>0.1113073037723044</v>
      </c>
    </row>
    <row r="250" spans="1:13" x14ac:dyDescent="0.3">
      <c r="A250" s="3" t="s">
        <v>21</v>
      </c>
      <c r="B250" s="3" t="s">
        <v>22</v>
      </c>
      <c r="C250" s="2">
        <v>45789</v>
      </c>
      <c r="D250" s="3" t="s">
        <v>23</v>
      </c>
      <c r="E250" s="3" t="s">
        <v>357</v>
      </c>
      <c r="F250" s="3">
        <v>19308</v>
      </c>
      <c r="G250" s="3">
        <v>1318</v>
      </c>
      <c r="H250" s="3">
        <v>795</v>
      </c>
      <c r="I250" s="3">
        <v>1499</v>
      </c>
      <c r="J250" s="3">
        <v>52307</v>
      </c>
      <c r="K250" s="3">
        <v>193087</v>
      </c>
      <c r="L250" s="3" t="s">
        <v>25</v>
      </c>
      <c r="M250" s="4">
        <v>0.11093962825047776</v>
      </c>
    </row>
    <row r="251" spans="1:13" x14ac:dyDescent="0.3">
      <c r="A251" s="3" t="s">
        <v>21</v>
      </c>
      <c r="B251" s="3" t="s">
        <v>22</v>
      </c>
      <c r="C251" s="2">
        <v>45789</v>
      </c>
      <c r="D251" s="3" t="s">
        <v>23</v>
      </c>
      <c r="E251" s="3" t="s">
        <v>358</v>
      </c>
      <c r="F251" s="3">
        <v>19308</v>
      </c>
      <c r="G251" s="3">
        <v>1318</v>
      </c>
      <c r="H251" s="3">
        <v>795</v>
      </c>
      <c r="I251" s="3">
        <v>1499</v>
      </c>
      <c r="J251" s="3">
        <v>52307</v>
      </c>
      <c r="K251" s="3">
        <v>193087</v>
      </c>
      <c r="L251" s="3" t="s">
        <v>25</v>
      </c>
      <c r="M251" s="4">
        <v>0.11093962825047776</v>
      </c>
    </row>
    <row r="252" spans="1:13" x14ac:dyDescent="0.3">
      <c r="A252" s="3" t="s">
        <v>182</v>
      </c>
      <c r="B252" s="3" t="s">
        <v>13</v>
      </c>
      <c r="C252" s="2">
        <v>45448</v>
      </c>
      <c r="D252" s="3" t="s">
        <v>23</v>
      </c>
      <c r="E252" s="3" t="s">
        <v>367</v>
      </c>
      <c r="F252" s="3">
        <v>18907</v>
      </c>
      <c r="G252" s="3">
        <v>1075</v>
      </c>
      <c r="H252" s="3">
        <v>675</v>
      </c>
      <c r="I252" s="3">
        <v>1383</v>
      </c>
      <c r="J252" s="3">
        <v>17875</v>
      </c>
      <c r="K252" s="3">
        <v>186649</v>
      </c>
      <c r="L252" s="3" t="s">
        <v>16</v>
      </c>
      <c r="M252" s="4">
        <v>0.11067297440650634</v>
      </c>
    </row>
    <row r="253" spans="1:13" x14ac:dyDescent="0.3">
      <c r="A253" s="3" t="s">
        <v>182</v>
      </c>
      <c r="B253" s="3" t="s">
        <v>13</v>
      </c>
      <c r="C253" s="2">
        <v>45448</v>
      </c>
      <c r="D253" s="3" t="s">
        <v>23</v>
      </c>
      <c r="E253" s="3" t="s">
        <v>32</v>
      </c>
      <c r="F253" s="3">
        <v>18907</v>
      </c>
      <c r="G253" s="3">
        <v>1075</v>
      </c>
      <c r="H253" s="3">
        <v>675</v>
      </c>
      <c r="I253" s="3">
        <v>1383</v>
      </c>
      <c r="J253" s="3">
        <v>17875</v>
      </c>
      <c r="K253" s="3">
        <v>186649</v>
      </c>
      <c r="L253" s="3" t="s">
        <v>16</v>
      </c>
      <c r="M253" s="4">
        <v>0.11067297440650634</v>
      </c>
    </row>
    <row r="254" spans="1:13" x14ac:dyDescent="0.3">
      <c r="A254" s="3" t="s">
        <v>320</v>
      </c>
      <c r="B254" s="3" t="s">
        <v>13</v>
      </c>
      <c r="C254" s="2">
        <v>45552</v>
      </c>
      <c r="D254" s="3" t="s">
        <v>27</v>
      </c>
      <c r="E254" s="3" t="s">
        <v>361</v>
      </c>
      <c r="F254" s="3">
        <v>20410</v>
      </c>
      <c r="G254" s="3">
        <v>1332</v>
      </c>
      <c r="H254" s="3">
        <v>472</v>
      </c>
      <c r="I254" s="3">
        <v>1202</v>
      </c>
      <c r="J254" s="3">
        <v>9418</v>
      </c>
      <c r="K254" s="3">
        <v>200806</v>
      </c>
      <c r="L254" s="3" t="s">
        <v>16</v>
      </c>
      <c r="M254" s="4">
        <v>0.11062418453631864</v>
      </c>
    </row>
    <row r="255" spans="1:13" x14ac:dyDescent="0.3">
      <c r="A255" s="3" t="s">
        <v>320</v>
      </c>
      <c r="B255" s="3" t="s">
        <v>13</v>
      </c>
      <c r="C255" s="2">
        <v>45552</v>
      </c>
      <c r="D255" s="3" t="s">
        <v>27</v>
      </c>
      <c r="E255" s="3" t="s">
        <v>362</v>
      </c>
      <c r="F255" s="3">
        <v>20410</v>
      </c>
      <c r="G255" s="3">
        <v>1332</v>
      </c>
      <c r="H255" s="3">
        <v>472</v>
      </c>
      <c r="I255" s="3">
        <v>1202</v>
      </c>
      <c r="J255" s="3">
        <v>9418</v>
      </c>
      <c r="K255" s="3">
        <v>200806</v>
      </c>
      <c r="L255" s="3" t="s">
        <v>16</v>
      </c>
      <c r="M255" s="4">
        <v>0.11062418453631864</v>
      </c>
    </row>
    <row r="256" spans="1:13" x14ac:dyDescent="0.3">
      <c r="A256" s="3" t="s">
        <v>271</v>
      </c>
      <c r="B256" s="3" t="s">
        <v>18</v>
      </c>
      <c r="C256" s="2">
        <v>45648</v>
      </c>
      <c r="D256" s="3" t="s">
        <v>23</v>
      </c>
      <c r="E256" s="3" t="s">
        <v>359</v>
      </c>
      <c r="F256" s="3">
        <v>20117</v>
      </c>
      <c r="G256" s="3">
        <v>1143</v>
      </c>
      <c r="H256" s="3">
        <v>713</v>
      </c>
      <c r="I256" s="3">
        <v>1739</v>
      </c>
      <c r="J256" s="3">
        <v>34444</v>
      </c>
      <c r="K256" s="3">
        <v>198670</v>
      </c>
      <c r="L256" s="3" t="s">
        <v>45</v>
      </c>
      <c r="M256" s="4">
        <v>0.11060049328031409</v>
      </c>
    </row>
    <row r="257" spans="1:13" x14ac:dyDescent="0.3">
      <c r="A257" s="3" t="s">
        <v>271</v>
      </c>
      <c r="B257" s="3" t="s">
        <v>18</v>
      </c>
      <c r="C257" s="2">
        <v>45648</v>
      </c>
      <c r="D257" s="3" t="s">
        <v>23</v>
      </c>
      <c r="E257" s="3" t="s">
        <v>360</v>
      </c>
      <c r="F257" s="3">
        <v>20117</v>
      </c>
      <c r="G257" s="3">
        <v>1143</v>
      </c>
      <c r="H257" s="3">
        <v>713</v>
      </c>
      <c r="I257" s="3">
        <v>1739</v>
      </c>
      <c r="J257" s="3">
        <v>34444</v>
      </c>
      <c r="K257" s="3">
        <v>198670</v>
      </c>
      <c r="L257" s="3" t="s">
        <v>45</v>
      </c>
      <c r="M257" s="4">
        <v>0.11060049328031409</v>
      </c>
    </row>
    <row r="258" spans="1:13" x14ac:dyDescent="0.3">
      <c r="A258" s="3" t="s">
        <v>318</v>
      </c>
      <c r="B258" s="3" t="s">
        <v>18</v>
      </c>
      <c r="C258" s="2">
        <v>45568</v>
      </c>
      <c r="D258" s="3" t="s">
        <v>14</v>
      </c>
      <c r="E258" s="3" t="s">
        <v>359</v>
      </c>
      <c r="F258" s="3">
        <v>22618</v>
      </c>
      <c r="G258" s="3">
        <v>641</v>
      </c>
      <c r="H258" s="3">
        <v>416</v>
      </c>
      <c r="I258" s="3">
        <v>1530</v>
      </c>
      <c r="J258" s="3">
        <v>18395</v>
      </c>
      <c r="K258" s="3">
        <v>215211</v>
      </c>
      <c r="L258" s="3" t="s">
        <v>45</v>
      </c>
      <c r="M258" s="4">
        <v>0.1100083174187193</v>
      </c>
    </row>
    <row r="259" spans="1:13" x14ac:dyDescent="0.3">
      <c r="A259" s="3" t="s">
        <v>318</v>
      </c>
      <c r="B259" s="3" t="s">
        <v>18</v>
      </c>
      <c r="C259" s="2">
        <v>45568</v>
      </c>
      <c r="D259" s="3" t="s">
        <v>14</v>
      </c>
      <c r="E259" s="3" t="s">
        <v>360</v>
      </c>
      <c r="F259" s="3">
        <v>22618</v>
      </c>
      <c r="G259" s="3">
        <v>641</v>
      </c>
      <c r="H259" s="3">
        <v>416</v>
      </c>
      <c r="I259" s="3">
        <v>1530</v>
      </c>
      <c r="J259" s="3">
        <v>18395</v>
      </c>
      <c r="K259" s="3">
        <v>215211</v>
      </c>
      <c r="L259" s="3" t="s">
        <v>45</v>
      </c>
      <c r="M259" s="4">
        <v>0.1100083174187193</v>
      </c>
    </row>
    <row r="260" spans="1:13" x14ac:dyDescent="0.3">
      <c r="A260" s="3" t="s">
        <v>294</v>
      </c>
      <c r="B260" s="3" t="s">
        <v>40</v>
      </c>
      <c r="C260" s="2">
        <v>45509</v>
      </c>
      <c r="D260" s="3" t="s">
        <v>27</v>
      </c>
      <c r="E260" s="3" t="s">
        <v>353</v>
      </c>
      <c r="F260" s="3">
        <v>20935</v>
      </c>
      <c r="G260" s="3">
        <v>1104</v>
      </c>
      <c r="H260" s="3">
        <v>876</v>
      </c>
      <c r="I260" s="3">
        <v>1270</v>
      </c>
      <c r="J260" s="3">
        <v>21454</v>
      </c>
      <c r="K260" s="3">
        <v>208722</v>
      </c>
      <c r="L260" s="3" t="s">
        <v>25</v>
      </c>
      <c r="M260" s="4">
        <v>0.10978718103506099</v>
      </c>
    </row>
    <row r="261" spans="1:13" x14ac:dyDescent="0.3">
      <c r="A261" s="3" t="s">
        <v>294</v>
      </c>
      <c r="B261" s="3" t="s">
        <v>40</v>
      </c>
      <c r="C261" s="2">
        <v>45509</v>
      </c>
      <c r="D261" s="3" t="s">
        <v>27</v>
      </c>
      <c r="E261" s="3" t="s">
        <v>354</v>
      </c>
      <c r="F261" s="3">
        <v>20935</v>
      </c>
      <c r="G261" s="3">
        <v>1104</v>
      </c>
      <c r="H261" s="3">
        <v>876</v>
      </c>
      <c r="I261" s="3">
        <v>1270</v>
      </c>
      <c r="J261" s="3">
        <v>21454</v>
      </c>
      <c r="K261" s="3">
        <v>208722</v>
      </c>
      <c r="L261" s="3" t="s">
        <v>25</v>
      </c>
      <c r="M261" s="4">
        <v>0.10978718103506099</v>
      </c>
    </row>
    <row r="262" spans="1:13" x14ac:dyDescent="0.3">
      <c r="A262" s="3" t="s">
        <v>189</v>
      </c>
      <c r="B262" s="3" t="s">
        <v>22</v>
      </c>
      <c r="C262" s="2">
        <v>45658</v>
      </c>
      <c r="D262" s="3" t="s">
        <v>27</v>
      </c>
      <c r="E262" s="3" t="s">
        <v>355</v>
      </c>
      <c r="F262" s="3">
        <v>24574</v>
      </c>
      <c r="G262" s="3">
        <v>909</v>
      </c>
      <c r="H262" s="3">
        <v>280</v>
      </c>
      <c r="I262" s="3">
        <v>2009</v>
      </c>
      <c r="J262" s="3">
        <v>6221</v>
      </c>
      <c r="K262" s="3">
        <v>236910</v>
      </c>
      <c r="L262" s="3" t="s">
        <v>45</v>
      </c>
      <c r="M262" s="4">
        <v>0.10874593727575872</v>
      </c>
    </row>
    <row r="263" spans="1:13" x14ac:dyDescent="0.3">
      <c r="A263" s="3" t="s">
        <v>189</v>
      </c>
      <c r="B263" s="3" t="s">
        <v>22</v>
      </c>
      <c r="C263" s="2">
        <v>45658</v>
      </c>
      <c r="D263" s="3" t="s">
        <v>27</v>
      </c>
      <c r="E263" s="3" t="s">
        <v>356</v>
      </c>
      <c r="F263" s="3">
        <v>24574</v>
      </c>
      <c r="G263" s="3">
        <v>909</v>
      </c>
      <c r="H263" s="3">
        <v>280</v>
      </c>
      <c r="I263" s="3">
        <v>2009</v>
      </c>
      <c r="J263" s="3">
        <v>6221</v>
      </c>
      <c r="K263" s="3">
        <v>236910</v>
      </c>
      <c r="L263" s="3" t="s">
        <v>45</v>
      </c>
      <c r="M263" s="4">
        <v>0.10874593727575872</v>
      </c>
    </row>
    <row r="264" spans="1:13" x14ac:dyDescent="0.3">
      <c r="A264" s="3" t="s">
        <v>68</v>
      </c>
      <c r="B264" s="3" t="s">
        <v>18</v>
      </c>
      <c r="C264" s="2">
        <v>45911</v>
      </c>
      <c r="D264" s="3" t="s">
        <v>34</v>
      </c>
      <c r="E264" s="3" t="s">
        <v>365</v>
      </c>
      <c r="F264" s="3">
        <v>10175</v>
      </c>
      <c r="G264" s="3">
        <v>342</v>
      </c>
      <c r="H264" s="3">
        <v>825</v>
      </c>
      <c r="I264" s="3">
        <v>2904</v>
      </c>
      <c r="J264" s="3">
        <v>15954</v>
      </c>
      <c r="K264" s="3">
        <v>104324</v>
      </c>
      <c r="L264" s="3" t="s">
        <v>20</v>
      </c>
      <c r="M264" s="4">
        <v>0.10871899083624094</v>
      </c>
    </row>
    <row r="265" spans="1:13" x14ac:dyDescent="0.3">
      <c r="A265" s="3" t="s">
        <v>68</v>
      </c>
      <c r="B265" s="3" t="s">
        <v>18</v>
      </c>
      <c r="C265" s="2">
        <v>45911</v>
      </c>
      <c r="D265" s="3" t="s">
        <v>34</v>
      </c>
      <c r="E265" s="3" t="s">
        <v>359</v>
      </c>
      <c r="F265" s="3">
        <v>10175</v>
      </c>
      <c r="G265" s="3">
        <v>342</v>
      </c>
      <c r="H265" s="3">
        <v>825</v>
      </c>
      <c r="I265" s="3">
        <v>2904</v>
      </c>
      <c r="J265" s="3">
        <v>15954</v>
      </c>
      <c r="K265" s="3">
        <v>104324</v>
      </c>
      <c r="L265" s="3" t="s">
        <v>20</v>
      </c>
      <c r="M265" s="4">
        <v>0.10871899083624094</v>
      </c>
    </row>
    <row r="266" spans="1:13" x14ac:dyDescent="0.3">
      <c r="A266" s="3" t="s">
        <v>219</v>
      </c>
      <c r="B266" s="3" t="s">
        <v>40</v>
      </c>
      <c r="C266" s="2">
        <v>45643</v>
      </c>
      <c r="D266" s="3" t="s">
        <v>14</v>
      </c>
      <c r="E266" s="3" t="s">
        <v>363</v>
      </c>
      <c r="F266" s="3">
        <v>20030</v>
      </c>
      <c r="G266" s="3">
        <v>485</v>
      </c>
      <c r="H266" s="3">
        <v>888</v>
      </c>
      <c r="I266" s="3">
        <v>1643</v>
      </c>
      <c r="J266" s="3">
        <v>4322</v>
      </c>
      <c r="K266" s="3">
        <v>196995</v>
      </c>
      <c r="L266" s="3" t="s">
        <v>25</v>
      </c>
      <c r="M266" s="4">
        <v>0.10864742759968526</v>
      </c>
    </row>
    <row r="267" spans="1:13" x14ac:dyDescent="0.3">
      <c r="A267" s="3" t="s">
        <v>219</v>
      </c>
      <c r="B267" s="3" t="s">
        <v>40</v>
      </c>
      <c r="C267" s="2">
        <v>45643</v>
      </c>
      <c r="D267" s="3" t="s">
        <v>14</v>
      </c>
      <c r="E267" s="3" t="s">
        <v>364</v>
      </c>
      <c r="F267" s="3">
        <v>20030</v>
      </c>
      <c r="G267" s="3">
        <v>485</v>
      </c>
      <c r="H267" s="3">
        <v>888</v>
      </c>
      <c r="I267" s="3">
        <v>1643</v>
      </c>
      <c r="J267" s="3">
        <v>4322</v>
      </c>
      <c r="K267" s="3">
        <v>196995</v>
      </c>
      <c r="L267" s="3" t="s">
        <v>25</v>
      </c>
      <c r="M267" s="4">
        <v>0.10864742759968526</v>
      </c>
    </row>
    <row r="268" spans="1:13" x14ac:dyDescent="0.3">
      <c r="A268" s="3" t="s">
        <v>87</v>
      </c>
      <c r="B268" s="3" t="s">
        <v>40</v>
      </c>
      <c r="C268" s="2">
        <v>45919</v>
      </c>
      <c r="D268" s="3" t="s">
        <v>14</v>
      </c>
      <c r="E268" s="3" t="s">
        <v>363</v>
      </c>
      <c r="F268" s="3">
        <v>19100</v>
      </c>
      <c r="G268" s="3">
        <v>619</v>
      </c>
      <c r="H268" s="3">
        <v>297</v>
      </c>
      <c r="I268" s="3">
        <v>2312</v>
      </c>
      <c r="J268" s="3">
        <v>9730</v>
      </c>
      <c r="K268" s="3">
        <v>184832</v>
      </c>
      <c r="L268" s="3" t="s">
        <v>20</v>
      </c>
      <c r="M268" s="4">
        <v>0.10829293628808864</v>
      </c>
    </row>
    <row r="269" spans="1:13" x14ac:dyDescent="0.3">
      <c r="A269" s="3" t="s">
        <v>87</v>
      </c>
      <c r="B269" s="3" t="s">
        <v>40</v>
      </c>
      <c r="C269" s="2">
        <v>45919</v>
      </c>
      <c r="D269" s="3" t="s">
        <v>14</v>
      </c>
      <c r="E269" s="3" t="s">
        <v>364</v>
      </c>
      <c r="F269" s="3">
        <v>19100</v>
      </c>
      <c r="G269" s="3">
        <v>619</v>
      </c>
      <c r="H269" s="3">
        <v>297</v>
      </c>
      <c r="I269" s="3">
        <v>2312</v>
      </c>
      <c r="J269" s="3">
        <v>9730</v>
      </c>
      <c r="K269" s="3">
        <v>184832</v>
      </c>
      <c r="L269" s="3" t="s">
        <v>20</v>
      </c>
      <c r="M269" s="4">
        <v>0.10829293628808864</v>
      </c>
    </row>
    <row r="270" spans="1:13" x14ac:dyDescent="0.3">
      <c r="A270" s="3" t="s">
        <v>235</v>
      </c>
      <c r="B270" s="3" t="s">
        <v>22</v>
      </c>
      <c r="C270" s="2">
        <v>45920</v>
      </c>
      <c r="D270" s="3" t="s">
        <v>14</v>
      </c>
      <c r="E270" s="3" t="s">
        <v>363</v>
      </c>
      <c r="F270" s="3">
        <v>12267</v>
      </c>
      <c r="G270" s="3">
        <v>1487</v>
      </c>
      <c r="H270" s="3">
        <v>489</v>
      </c>
      <c r="I270" s="3">
        <v>2748</v>
      </c>
      <c r="J270" s="3">
        <v>34685</v>
      </c>
      <c r="K270" s="3">
        <v>131736</v>
      </c>
      <c r="L270" s="3" t="s">
        <v>20</v>
      </c>
      <c r="M270" s="4">
        <v>0.1081177506528208</v>
      </c>
    </row>
    <row r="271" spans="1:13" x14ac:dyDescent="0.3">
      <c r="A271" s="3" t="s">
        <v>235</v>
      </c>
      <c r="B271" s="3" t="s">
        <v>22</v>
      </c>
      <c r="C271" s="2">
        <v>45920</v>
      </c>
      <c r="D271" s="3" t="s">
        <v>14</v>
      </c>
      <c r="E271" s="3" t="s">
        <v>364</v>
      </c>
      <c r="F271" s="3">
        <v>12267</v>
      </c>
      <c r="G271" s="3">
        <v>1487</v>
      </c>
      <c r="H271" s="3">
        <v>489</v>
      </c>
      <c r="I271" s="3">
        <v>2748</v>
      </c>
      <c r="J271" s="3">
        <v>34685</v>
      </c>
      <c r="K271" s="3">
        <v>131736</v>
      </c>
      <c r="L271" s="3" t="s">
        <v>20</v>
      </c>
      <c r="M271" s="4">
        <v>0.1081177506528208</v>
      </c>
    </row>
    <row r="272" spans="1:13" x14ac:dyDescent="0.3">
      <c r="A272" s="3" t="s">
        <v>298</v>
      </c>
      <c r="B272" s="3" t="s">
        <v>40</v>
      </c>
      <c r="C272" s="2">
        <v>45675</v>
      </c>
      <c r="D272" s="3" t="s">
        <v>23</v>
      </c>
      <c r="E272" s="3" t="s">
        <v>367</v>
      </c>
      <c r="F272" s="3">
        <v>22673</v>
      </c>
      <c r="G272" s="3">
        <v>1053</v>
      </c>
      <c r="H272" s="3">
        <v>169</v>
      </c>
      <c r="I272" s="3">
        <v>1566</v>
      </c>
      <c r="J272" s="3">
        <v>9417</v>
      </c>
      <c r="K272" s="3">
        <v>221187</v>
      </c>
      <c r="L272" s="3" t="s">
        <v>29</v>
      </c>
      <c r="M272" s="4">
        <v>0.10803076130152314</v>
      </c>
    </row>
    <row r="273" spans="1:13" x14ac:dyDescent="0.3">
      <c r="A273" s="3" t="s">
        <v>298</v>
      </c>
      <c r="B273" s="3" t="s">
        <v>40</v>
      </c>
      <c r="C273" s="2">
        <v>45675</v>
      </c>
      <c r="D273" s="3" t="s">
        <v>23</v>
      </c>
      <c r="E273" s="3" t="s">
        <v>32</v>
      </c>
      <c r="F273" s="3">
        <v>22673</v>
      </c>
      <c r="G273" s="3">
        <v>1053</v>
      </c>
      <c r="H273" s="3">
        <v>169</v>
      </c>
      <c r="I273" s="3">
        <v>1566</v>
      </c>
      <c r="J273" s="3">
        <v>9417</v>
      </c>
      <c r="K273" s="3">
        <v>221187</v>
      </c>
      <c r="L273" s="3" t="s">
        <v>29</v>
      </c>
      <c r="M273" s="4">
        <v>0.10803076130152314</v>
      </c>
    </row>
    <row r="274" spans="1:13" x14ac:dyDescent="0.3">
      <c r="A274" s="3" t="s">
        <v>304</v>
      </c>
      <c r="B274" s="3" t="s">
        <v>18</v>
      </c>
      <c r="C274" s="2">
        <v>45760</v>
      </c>
      <c r="D274" s="3" t="s">
        <v>34</v>
      </c>
      <c r="E274" s="3" t="s">
        <v>64</v>
      </c>
      <c r="F274" s="3">
        <v>24700</v>
      </c>
      <c r="G274" s="3">
        <v>327</v>
      </c>
      <c r="H274" s="3">
        <v>999</v>
      </c>
      <c r="I274" s="3">
        <v>994</v>
      </c>
      <c r="J274" s="3">
        <v>59400</v>
      </c>
      <c r="K274" s="3">
        <v>243502</v>
      </c>
      <c r="L274" s="3" t="s">
        <v>25</v>
      </c>
      <c r="M274" s="4">
        <v>0.10688207899729776</v>
      </c>
    </row>
    <row r="275" spans="1:13" x14ac:dyDescent="0.3">
      <c r="A275" s="3" t="s">
        <v>216</v>
      </c>
      <c r="B275" s="3" t="s">
        <v>13</v>
      </c>
      <c r="C275" s="2">
        <v>45941</v>
      </c>
      <c r="D275" s="3" t="s">
        <v>34</v>
      </c>
      <c r="E275" s="3" t="s">
        <v>363</v>
      </c>
      <c r="F275" s="3">
        <v>15623</v>
      </c>
      <c r="G275" s="3">
        <v>869</v>
      </c>
      <c r="H275" s="3">
        <v>423</v>
      </c>
      <c r="I275" s="3">
        <v>371</v>
      </c>
      <c r="J275" s="3">
        <v>47579</v>
      </c>
      <c r="K275" s="3">
        <v>158516</v>
      </c>
      <c r="L275" s="3" t="s">
        <v>20</v>
      </c>
      <c r="M275" s="4">
        <v>0.10670847106916652</v>
      </c>
    </row>
    <row r="276" spans="1:13" x14ac:dyDescent="0.3">
      <c r="A276" s="3" t="s">
        <v>216</v>
      </c>
      <c r="B276" s="3" t="s">
        <v>13</v>
      </c>
      <c r="C276" s="2">
        <v>45941</v>
      </c>
      <c r="D276" s="3" t="s">
        <v>34</v>
      </c>
      <c r="E276" s="3" t="s">
        <v>364</v>
      </c>
      <c r="F276" s="3">
        <v>15623</v>
      </c>
      <c r="G276" s="3">
        <v>869</v>
      </c>
      <c r="H276" s="3">
        <v>423</v>
      </c>
      <c r="I276" s="3">
        <v>371</v>
      </c>
      <c r="J276" s="3">
        <v>47579</v>
      </c>
      <c r="K276" s="3">
        <v>158516</v>
      </c>
      <c r="L276" s="3" t="s">
        <v>20</v>
      </c>
      <c r="M276" s="4">
        <v>0.10670847106916652</v>
      </c>
    </row>
    <row r="277" spans="1:13" x14ac:dyDescent="0.3">
      <c r="A277" s="3" t="s">
        <v>250</v>
      </c>
      <c r="B277" s="3" t="s">
        <v>13</v>
      </c>
      <c r="C277" s="2">
        <v>45649</v>
      </c>
      <c r="D277" s="3" t="s">
        <v>27</v>
      </c>
      <c r="E277" s="3" t="s">
        <v>357</v>
      </c>
      <c r="F277" s="3">
        <v>18616</v>
      </c>
      <c r="G277" s="3">
        <v>1277</v>
      </c>
      <c r="H277" s="3">
        <v>734</v>
      </c>
      <c r="I277" s="3">
        <v>2249</v>
      </c>
      <c r="J277" s="3">
        <v>3399</v>
      </c>
      <c r="K277" s="3">
        <v>193515</v>
      </c>
      <c r="L277" s="3" t="s">
        <v>29</v>
      </c>
      <c r="M277" s="4">
        <v>0.10659122031883833</v>
      </c>
    </row>
    <row r="278" spans="1:13" x14ac:dyDescent="0.3">
      <c r="A278" s="3" t="s">
        <v>250</v>
      </c>
      <c r="B278" s="3" t="s">
        <v>13</v>
      </c>
      <c r="C278" s="2">
        <v>45649</v>
      </c>
      <c r="D278" s="3" t="s">
        <v>27</v>
      </c>
      <c r="E278" s="3" t="s">
        <v>358</v>
      </c>
      <c r="F278" s="3">
        <v>18616</v>
      </c>
      <c r="G278" s="3">
        <v>1277</v>
      </c>
      <c r="H278" s="3">
        <v>734</v>
      </c>
      <c r="I278" s="3">
        <v>2249</v>
      </c>
      <c r="J278" s="3">
        <v>3399</v>
      </c>
      <c r="K278" s="3">
        <v>193515</v>
      </c>
      <c r="L278" s="3" t="s">
        <v>29</v>
      </c>
      <c r="M278" s="4">
        <v>0.10659122031883833</v>
      </c>
    </row>
    <row r="279" spans="1:13" x14ac:dyDescent="0.3">
      <c r="A279" s="3" t="s">
        <v>308</v>
      </c>
      <c r="B279" s="3" t="s">
        <v>18</v>
      </c>
      <c r="C279" s="2">
        <v>45743</v>
      </c>
      <c r="D279" s="3" t="s">
        <v>23</v>
      </c>
      <c r="E279" s="3" t="s">
        <v>367</v>
      </c>
      <c r="F279" s="3">
        <v>14819</v>
      </c>
      <c r="G279" s="3">
        <v>1432</v>
      </c>
      <c r="H279" s="3">
        <v>152</v>
      </c>
      <c r="I279" s="3">
        <v>961</v>
      </c>
      <c r="J279" s="3">
        <v>39154</v>
      </c>
      <c r="K279" s="3">
        <v>154793</v>
      </c>
      <c r="L279" s="3" t="s">
        <v>29</v>
      </c>
      <c r="M279" s="4">
        <v>0.10596732410380315</v>
      </c>
    </row>
    <row r="280" spans="1:13" x14ac:dyDescent="0.3">
      <c r="A280" s="3" t="s">
        <v>308</v>
      </c>
      <c r="B280" s="3" t="s">
        <v>18</v>
      </c>
      <c r="C280" s="2">
        <v>45743</v>
      </c>
      <c r="D280" s="3" t="s">
        <v>23</v>
      </c>
      <c r="E280" s="3" t="s">
        <v>32</v>
      </c>
      <c r="F280" s="3">
        <v>14819</v>
      </c>
      <c r="G280" s="3">
        <v>1432</v>
      </c>
      <c r="H280" s="3">
        <v>152</v>
      </c>
      <c r="I280" s="3">
        <v>961</v>
      </c>
      <c r="J280" s="3">
        <v>39154</v>
      </c>
      <c r="K280" s="3">
        <v>154793</v>
      </c>
      <c r="L280" s="3" t="s">
        <v>29</v>
      </c>
      <c r="M280" s="4">
        <v>0.10596732410380315</v>
      </c>
    </row>
    <row r="281" spans="1:13" x14ac:dyDescent="0.3">
      <c r="A281" s="3" t="s">
        <v>234</v>
      </c>
      <c r="B281" s="3" t="s">
        <v>18</v>
      </c>
      <c r="C281" s="2">
        <v>45919</v>
      </c>
      <c r="D281" s="3" t="s">
        <v>34</v>
      </c>
      <c r="E281" s="3" t="s">
        <v>359</v>
      </c>
      <c r="F281" s="3">
        <v>14772</v>
      </c>
      <c r="G281" s="3">
        <v>1030</v>
      </c>
      <c r="H281" s="3">
        <v>508</v>
      </c>
      <c r="I281" s="3">
        <v>1876</v>
      </c>
      <c r="J281" s="3">
        <v>8882</v>
      </c>
      <c r="K281" s="3">
        <v>155142</v>
      </c>
      <c r="L281" s="3" t="s">
        <v>20</v>
      </c>
      <c r="M281" s="4">
        <v>0.10512949426976577</v>
      </c>
    </row>
    <row r="282" spans="1:13" x14ac:dyDescent="0.3">
      <c r="A282" s="3" t="s">
        <v>234</v>
      </c>
      <c r="B282" s="3" t="s">
        <v>18</v>
      </c>
      <c r="C282" s="2">
        <v>45919</v>
      </c>
      <c r="D282" s="3" t="s">
        <v>34</v>
      </c>
      <c r="E282" s="3" t="s">
        <v>360</v>
      </c>
      <c r="F282" s="3">
        <v>14772</v>
      </c>
      <c r="G282" s="3">
        <v>1030</v>
      </c>
      <c r="H282" s="3">
        <v>508</v>
      </c>
      <c r="I282" s="3">
        <v>1876</v>
      </c>
      <c r="J282" s="3">
        <v>8882</v>
      </c>
      <c r="K282" s="3">
        <v>155142</v>
      </c>
      <c r="L282" s="3" t="s">
        <v>20</v>
      </c>
      <c r="M282" s="4">
        <v>0.10512949426976577</v>
      </c>
    </row>
    <row r="283" spans="1:13" x14ac:dyDescent="0.3">
      <c r="A283" s="3" t="s">
        <v>332</v>
      </c>
      <c r="B283" s="3" t="s">
        <v>18</v>
      </c>
      <c r="C283" s="2">
        <v>45699</v>
      </c>
      <c r="D283" s="3" t="s">
        <v>34</v>
      </c>
      <c r="E283" s="3" t="s">
        <v>368</v>
      </c>
      <c r="F283" s="3">
        <v>3619</v>
      </c>
      <c r="G283" s="3">
        <v>1376</v>
      </c>
      <c r="H283" s="3">
        <v>410</v>
      </c>
      <c r="I283" s="3">
        <v>2499</v>
      </c>
      <c r="J283" s="3">
        <v>58146</v>
      </c>
      <c r="K283" s="3">
        <v>52149</v>
      </c>
      <c r="L283" s="3" t="s">
        <v>16</v>
      </c>
      <c r="M283" s="4">
        <v>0.10364532397553165</v>
      </c>
    </row>
    <row r="284" spans="1:13" x14ac:dyDescent="0.3">
      <c r="A284" s="3" t="s">
        <v>332</v>
      </c>
      <c r="B284" s="3" t="s">
        <v>18</v>
      </c>
      <c r="C284" s="2">
        <v>45699</v>
      </c>
      <c r="D284" s="3" t="s">
        <v>34</v>
      </c>
      <c r="E284" s="3" t="s">
        <v>369</v>
      </c>
      <c r="F284" s="3">
        <v>3619</v>
      </c>
      <c r="G284" s="3">
        <v>1376</v>
      </c>
      <c r="H284" s="3">
        <v>410</v>
      </c>
      <c r="I284" s="3">
        <v>2499</v>
      </c>
      <c r="J284" s="3">
        <v>58146</v>
      </c>
      <c r="K284" s="3">
        <v>52149</v>
      </c>
      <c r="L284" s="3" t="s">
        <v>16</v>
      </c>
      <c r="M284" s="4">
        <v>0.10364532397553165</v>
      </c>
    </row>
    <row r="285" spans="1:13" x14ac:dyDescent="0.3">
      <c r="A285" s="3" t="s">
        <v>276</v>
      </c>
      <c r="B285" s="3" t="s">
        <v>18</v>
      </c>
      <c r="C285" s="2">
        <v>45911</v>
      </c>
      <c r="D285" s="3" t="s">
        <v>27</v>
      </c>
      <c r="E285" s="3" t="s">
        <v>361</v>
      </c>
      <c r="F285" s="3">
        <v>21901</v>
      </c>
      <c r="G285" s="3">
        <v>1308</v>
      </c>
      <c r="H285" s="3">
        <v>724</v>
      </c>
      <c r="I285" s="3">
        <v>2183</v>
      </c>
      <c r="J285" s="3">
        <v>15996</v>
      </c>
      <c r="K285" s="3">
        <v>230961</v>
      </c>
      <c r="L285" s="3" t="s">
        <v>20</v>
      </c>
      <c r="M285" s="4">
        <v>0.10362355549205277</v>
      </c>
    </row>
    <row r="286" spans="1:13" x14ac:dyDescent="0.3">
      <c r="A286" s="3" t="s">
        <v>276</v>
      </c>
      <c r="B286" s="3" t="s">
        <v>18</v>
      </c>
      <c r="C286" s="2">
        <v>45911</v>
      </c>
      <c r="D286" s="3" t="s">
        <v>27</v>
      </c>
      <c r="E286" s="3" t="s">
        <v>362</v>
      </c>
      <c r="F286" s="3">
        <v>21901</v>
      </c>
      <c r="G286" s="3">
        <v>1308</v>
      </c>
      <c r="H286" s="3">
        <v>724</v>
      </c>
      <c r="I286" s="3">
        <v>2183</v>
      </c>
      <c r="J286" s="3">
        <v>15996</v>
      </c>
      <c r="K286" s="3">
        <v>230961</v>
      </c>
      <c r="L286" s="3" t="s">
        <v>20</v>
      </c>
      <c r="M286" s="4">
        <v>0.10362355549205277</v>
      </c>
    </row>
    <row r="287" spans="1:13" x14ac:dyDescent="0.3">
      <c r="A287" s="3" t="s">
        <v>279</v>
      </c>
      <c r="B287" s="3" t="s">
        <v>18</v>
      </c>
      <c r="C287" s="2">
        <v>45722</v>
      </c>
      <c r="D287" s="3" t="s">
        <v>23</v>
      </c>
      <c r="E287" s="3" t="s">
        <v>365</v>
      </c>
      <c r="F287" s="3">
        <v>22119</v>
      </c>
      <c r="G287" s="3">
        <v>899</v>
      </c>
      <c r="H287" s="3">
        <v>642</v>
      </c>
      <c r="I287" s="3">
        <v>410</v>
      </c>
      <c r="J287" s="3">
        <v>49490</v>
      </c>
      <c r="K287" s="3">
        <v>229420</v>
      </c>
      <c r="L287" s="3" t="s">
        <v>29</v>
      </c>
      <c r="M287" s="4">
        <v>0.10312963124400662</v>
      </c>
    </row>
    <row r="288" spans="1:13" x14ac:dyDescent="0.3">
      <c r="A288" s="3" t="s">
        <v>279</v>
      </c>
      <c r="B288" s="3" t="s">
        <v>18</v>
      </c>
      <c r="C288" s="2">
        <v>45722</v>
      </c>
      <c r="D288" s="3" t="s">
        <v>23</v>
      </c>
      <c r="E288" s="3" t="s">
        <v>359</v>
      </c>
      <c r="F288" s="3">
        <v>22119</v>
      </c>
      <c r="G288" s="3">
        <v>899</v>
      </c>
      <c r="H288" s="3">
        <v>642</v>
      </c>
      <c r="I288" s="3">
        <v>410</v>
      </c>
      <c r="J288" s="3">
        <v>49490</v>
      </c>
      <c r="K288" s="3">
        <v>229420</v>
      </c>
      <c r="L288" s="3" t="s">
        <v>29</v>
      </c>
      <c r="M288" s="4">
        <v>0.10312963124400662</v>
      </c>
    </row>
    <row r="289" spans="1:13" x14ac:dyDescent="0.3">
      <c r="A289" s="3" t="s">
        <v>326</v>
      </c>
      <c r="B289" s="3" t="s">
        <v>18</v>
      </c>
      <c r="C289" s="2">
        <v>45920</v>
      </c>
      <c r="D289" s="3" t="s">
        <v>14</v>
      </c>
      <c r="E289" s="3" t="s">
        <v>32</v>
      </c>
      <c r="F289" s="3">
        <v>24422</v>
      </c>
      <c r="G289" s="3">
        <v>327</v>
      </c>
      <c r="H289" s="3">
        <v>481</v>
      </c>
      <c r="I289" s="3">
        <v>2371</v>
      </c>
      <c r="J289" s="3">
        <v>35340</v>
      </c>
      <c r="K289" s="3">
        <v>245244</v>
      </c>
      <c r="L289" s="3" t="s">
        <v>20</v>
      </c>
      <c r="M289" s="4">
        <v>0.10287713460879777</v>
      </c>
    </row>
    <row r="290" spans="1:13" x14ac:dyDescent="0.3">
      <c r="A290" s="3" t="s">
        <v>273</v>
      </c>
      <c r="B290" s="3" t="s">
        <v>40</v>
      </c>
      <c r="C290" s="2">
        <v>45587</v>
      </c>
      <c r="D290" s="3" t="s">
        <v>34</v>
      </c>
      <c r="E290" s="3" t="s">
        <v>357</v>
      </c>
      <c r="F290" s="3">
        <v>7622</v>
      </c>
      <c r="G290" s="3">
        <v>529</v>
      </c>
      <c r="H290" s="3">
        <v>720</v>
      </c>
      <c r="I290" s="3">
        <v>1015</v>
      </c>
      <c r="J290" s="3">
        <v>71322</v>
      </c>
      <c r="K290" s="3">
        <v>86819</v>
      </c>
      <c r="L290" s="3" t="s">
        <v>45</v>
      </c>
      <c r="M290" s="4">
        <v>0.10217809465669957</v>
      </c>
    </row>
    <row r="291" spans="1:13" x14ac:dyDescent="0.3">
      <c r="A291" s="3" t="s">
        <v>273</v>
      </c>
      <c r="B291" s="3" t="s">
        <v>40</v>
      </c>
      <c r="C291" s="2">
        <v>45587</v>
      </c>
      <c r="D291" s="3" t="s">
        <v>34</v>
      </c>
      <c r="E291" s="3" t="s">
        <v>358</v>
      </c>
      <c r="F291" s="3">
        <v>7622</v>
      </c>
      <c r="G291" s="3">
        <v>529</v>
      </c>
      <c r="H291" s="3">
        <v>720</v>
      </c>
      <c r="I291" s="3">
        <v>1015</v>
      </c>
      <c r="J291" s="3">
        <v>71322</v>
      </c>
      <c r="K291" s="3">
        <v>86819</v>
      </c>
      <c r="L291" s="3" t="s">
        <v>45</v>
      </c>
      <c r="M291" s="4">
        <v>0.10217809465669957</v>
      </c>
    </row>
    <row r="292" spans="1:13" x14ac:dyDescent="0.3">
      <c r="A292" s="3" t="s">
        <v>202</v>
      </c>
      <c r="B292" s="3" t="s">
        <v>22</v>
      </c>
      <c r="C292" s="2">
        <v>45704</v>
      </c>
      <c r="D292" s="3" t="s">
        <v>23</v>
      </c>
      <c r="E292" s="3" t="s">
        <v>359</v>
      </c>
      <c r="F292" s="3">
        <v>24195</v>
      </c>
      <c r="G292" s="3">
        <v>888</v>
      </c>
      <c r="H292" s="3">
        <v>165</v>
      </c>
      <c r="I292" s="3">
        <v>1559</v>
      </c>
      <c r="J292" s="3">
        <v>11596</v>
      </c>
      <c r="K292" s="3">
        <v>249988</v>
      </c>
      <c r="L292" s="3" t="s">
        <v>25</v>
      </c>
      <c r="M292" s="4">
        <v>0.10099684784869674</v>
      </c>
    </row>
    <row r="293" spans="1:13" x14ac:dyDescent="0.3">
      <c r="A293" s="3" t="s">
        <v>202</v>
      </c>
      <c r="B293" s="3" t="s">
        <v>22</v>
      </c>
      <c r="C293" s="2">
        <v>45704</v>
      </c>
      <c r="D293" s="3" t="s">
        <v>23</v>
      </c>
      <c r="E293" s="3" t="s">
        <v>366</v>
      </c>
      <c r="F293" s="3">
        <v>24195</v>
      </c>
      <c r="G293" s="3">
        <v>888</v>
      </c>
      <c r="H293" s="3">
        <v>165</v>
      </c>
      <c r="I293" s="3">
        <v>1559</v>
      </c>
      <c r="J293" s="3">
        <v>11596</v>
      </c>
      <c r="K293" s="3">
        <v>249988</v>
      </c>
      <c r="L293" s="3" t="s">
        <v>25</v>
      </c>
      <c r="M293" s="4">
        <v>0.10099684784869674</v>
      </c>
    </row>
    <row r="294" spans="1:13" x14ac:dyDescent="0.3">
      <c r="A294" s="3" t="s">
        <v>158</v>
      </c>
      <c r="B294" s="3" t="s">
        <v>22</v>
      </c>
      <c r="C294" s="2">
        <v>45567</v>
      </c>
      <c r="D294" s="3" t="s">
        <v>27</v>
      </c>
      <c r="E294" s="3" t="s">
        <v>367</v>
      </c>
      <c r="F294" s="3">
        <v>9350</v>
      </c>
      <c r="G294" s="3">
        <v>1024</v>
      </c>
      <c r="H294" s="3">
        <v>550</v>
      </c>
      <c r="I294" s="3">
        <v>2123</v>
      </c>
      <c r="J294" s="3">
        <v>53916</v>
      </c>
      <c r="K294" s="3">
        <v>108785</v>
      </c>
      <c r="L294" s="3" t="s">
        <v>25</v>
      </c>
      <c r="M294" s="4">
        <v>0.10041825619340902</v>
      </c>
    </row>
    <row r="295" spans="1:13" x14ac:dyDescent="0.3">
      <c r="A295" s="3" t="s">
        <v>158</v>
      </c>
      <c r="B295" s="3" t="s">
        <v>22</v>
      </c>
      <c r="C295" s="2">
        <v>45567</v>
      </c>
      <c r="D295" s="3" t="s">
        <v>27</v>
      </c>
      <c r="E295" s="3" t="s">
        <v>32</v>
      </c>
      <c r="F295" s="3">
        <v>9350</v>
      </c>
      <c r="G295" s="3">
        <v>1024</v>
      </c>
      <c r="H295" s="3">
        <v>550</v>
      </c>
      <c r="I295" s="3">
        <v>2123</v>
      </c>
      <c r="J295" s="3">
        <v>53916</v>
      </c>
      <c r="K295" s="3">
        <v>108785</v>
      </c>
      <c r="L295" s="3" t="s">
        <v>25</v>
      </c>
      <c r="M295" s="4">
        <v>0.10041825619340902</v>
      </c>
    </row>
    <row r="296" spans="1:13" x14ac:dyDescent="0.3">
      <c r="A296" s="3" t="s">
        <v>285</v>
      </c>
      <c r="B296" s="3" t="s">
        <v>22</v>
      </c>
      <c r="C296" s="2">
        <v>45491</v>
      </c>
      <c r="D296" s="3" t="s">
        <v>27</v>
      </c>
      <c r="E296" s="3" t="s">
        <v>64</v>
      </c>
      <c r="F296" s="3">
        <v>11111</v>
      </c>
      <c r="G296" s="3">
        <v>1222</v>
      </c>
      <c r="H296" s="3">
        <v>367</v>
      </c>
      <c r="I296" s="3">
        <v>507</v>
      </c>
      <c r="J296" s="3">
        <v>14129</v>
      </c>
      <c r="K296" s="3">
        <v>127163</v>
      </c>
      <c r="L296" s="3" t="s">
        <v>45</v>
      </c>
      <c r="M296" s="4">
        <v>9.9871818060284834E-2</v>
      </c>
    </row>
    <row r="297" spans="1:13" x14ac:dyDescent="0.3">
      <c r="A297" s="3" t="s">
        <v>201</v>
      </c>
      <c r="B297" s="3" t="s">
        <v>40</v>
      </c>
      <c r="C297" s="2">
        <v>45937</v>
      </c>
      <c r="D297" s="3" t="s">
        <v>34</v>
      </c>
      <c r="E297" s="3" t="s">
        <v>363</v>
      </c>
      <c r="F297" s="3">
        <v>19660</v>
      </c>
      <c r="G297" s="3">
        <v>1307</v>
      </c>
      <c r="H297" s="3">
        <v>310</v>
      </c>
      <c r="I297" s="3">
        <v>2802</v>
      </c>
      <c r="J297" s="3">
        <v>22171</v>
      </c>
      <c r="K297" s="3">
        <v>213359</v>
      </c>
      <c r="L297" s="3" t="s">
        <v>20</v>
      </c>
      <c r="M297" s="4">
        <v>9.9723939463533293E-2</v>
      </c>
    </row>
    <row r="298" spans="1:13" x14ac:dyDescent="0.3">
      <c r="A298" s="3" t="s">
        <v>201</v>
      </c>
      <c r="B298" s="3" t="s">
        <v>40</v>
      </c>
      <c r="C298" s="2">
        <v>45937</v>
      </c>
      <c r="D298" s="3" t="s">
        <v>34</v>
      </c>
      <c r="E298" s="3" t="s">
        <v>364</v>
      </c>
      <c r="F298" s="3">
        <v>19660</v>
      </c>
      <c r="G298" s="3">
        <v>1307</v>
      </c>
      <c r="H298" s="3">
        <v>310</v>
      </c>
      <c r="I298" s="3">
        <v>2802</v>
      </c>
      <c r="J298" s="3">
        <v>22171</v>
      </c>
      <c r="K298" s="3">
        <v>213359</v>
      </c>
      <c r="L298" s="3" t="s">
        <v>20</v>
      </c>
      <c r="M298" s="4">
        <v>9.9723939463533293E-2</v>
      </c>
    </row>
    <row r="299" spans="1:13" x14ac:dyDescent="0.3">
      <c r="A299" s="3" t="s">
        <v>39</v>
      </c>
      <c r="B299" s="3" t="s">
        <v>40</v>
      </c>
      <c r="C299" s="2">
        <v>45727</v>
      </c>
      <c r="D299" s="3" t="s">
        <v>27</v>
      </c>
      <c r="E299" s="3" t="s">
        <v>365</v>
      </c>
      <c r="F299" s="3">
        <v>20222</v>
      </c>
      <c r="G299" s="3">
        <v>712</v>
      </c>
      <c r="H299" s="3">
        <v>604</v>
      </c>
      <c r="I299" s="3">
        <v>1272</v>
      </c>
      <c r="J299" s="3">
        <v>71598</v>
      </c>
      <c r="K299" s="3">
        <v>216422</v>
      </c>
      <c r="L299" s="3" t="s">
        <v>25</v>
      </c>
      <c r="M299" s="4">
        <v>9.9518533235992648E-2</v>
      </c>
    </row>
    <row r="300" spans="1:13" x14ac:dyDescent="0.3">
      <c r="A300" s="3" t="s">
        <v>39</v>
      </c>
      <c r="B300" s="3" t="s">
        <v>40</v>
      </c>
      <c r="C300" s="2">
        <v>45727</v>
      </c>
      <c r="D300" s="3" t="s">
        <v>27</v>
      </c>
      <c r="E300" s="3" t="s">
        <v>359</v>
      </c>
      <c r="F300" s="3">
        <v>20222</v>
      </c>
      <c r="G300" s="3">
        <v>712</v>
      </c>
      <c r="H300" s="3">
        <v>604</v>
      </c>
      <c r="I300" s="3">
        <v>1272</v>
      </c>
      <c r="J300" s="3">
        <v>71598</v>
      </c>
      <c r="K300" s="3">
        <v>216422</v>
      </c>
      <c r="L300" s="3" t="s">
        <v>25</v>
      </c>
      <c r="M300" s="4">
        <v>9.9518533235992648E-2</v>
      </c>
    </row>
    <row r="301" spans="1:13" x14ac:dyDescent="0.3">
      <c r="A301" s="3" t="s">
        <v>139</v>
      </c>
      <c r="B301" s="3" t="s">
        <v>40</v>
      </c>
      <c r="C301" s="2">
        <v>45927</v>
      </c>
      <c r="D301" s="3" t="s">
        <v>23</v>
      </c>
      <c r="E301" s="3" t="s">
        <v>355</v>
      </c>
      <c r="F301" s="3">
        <v>18521</v>
      </c>
      <c r="G301" s="3">
        <v>1027</v>
      </c>
      <c r="H301" s="3">
        <v>230</v>
      </c>
      <c r="I301" s="3">
        <v>1247</v>
      </c>
      <c r="J301" s="3">
        <v>39588</v>
      </c>
      <c r="K301" s="3">
        <v>200928</v>
      </c>
      <c r="L301" s="3" t="s">
        <v>20</v>
      </c>
      <c r="M301" s="4">
        <v>9.8433269628921807E-2</v>
      </c>
    </row>
    <row r="302" spans="1:13" x14ac:dyDescent="0.3">
      <c r="A302" s="3" t="s">
        <v>139</v>
      </c>
      <c r="B302" s="3" t="s">
        <v>40</v>
      </c>
      <c r="C302" s="2">
        <v>45927</v>
      </c>
      <c r="D302" s="3" t="s">
        <v>23</v>
      </c>
      <c r="E302" s="3" t="s">
        <v>356</v>
      </c>
      <c r="F302" s="3">
        <v>18521</v>
      </c>
      <c r="G302" s="3">
        <v>1027</v>
      </c>
      <c r="H302" s="3">
        <v>230</v>
      </c>
      <c r="I302" s="3">
        <v>1247</v>
      </c>
      <c r="J302" s="3">
        <v>39588</v>
      </c>
      <c r="K302" s="3">
        <v>200928</v>
      </c>
      <c r="L302" s="3" t="s">
        <v>20</v>
      </c>
      <c r="M302" s="4">
        <v>9.8433269628921807E-2</v>
      </c>
    </row>
    <row r="303" spans="1:13" x14ac:dyDescent="0.3">
      <c r="A303" s="3" t="s">
        <v>154</v>
      </c>
      <c r="B303" s="3" t="s">
        <v>40</v>
      </c>
      <c r="C303" s="2">
        <v>45600</v>
      </c>
      <c r="D303" s="3" t="s">
        <v>27</v>
      </c>
      <c r="E303" s="3" t="s">
        <v>32</v>
      </c>
      <c r="F303" s="3">
        <v>14234</v>
      </c>
      <c r="G303" s="3">
        <v>1013</v>
      </c>
      <c r="H303" s="3">
        <v>437</v>
      </c>
      <c r="I303" s="3">
        <v>338</v>
      </c>
      <c r="J303" s="3">
        <v>67754</v>
      </c>
      <c r="K303" s="3">
        <v>160030</v>
      </c>
      <c r="L303" s="3" t="s">
        <v>25</v>
      </c>
      <c r="M303" s="4">
        <v>9.8006623758045364E-2</v>
      </c>
    </row>
    <row r="304" spans="1:13" x14ac:dyDescent="0.3">
      <c r="A304" s="3" t="s">
        <v>289</v>
      </c>
      <c r="B304" s="3" t="s">
        <v>18</v>
      </c>
      <c r="C304" s="2">
        <v>45916</v>
      </c>
      <c r="D304" s="3" t="s">
        <v>14</v>
      </c>
      <c r="E304" s="3" t="s">
        <v>64</v>
      </c>
      <c r="F304" s="3">
        <v>16043</v>
      </c>
      <c r="G304" s="3">
        <v>595</v>
      </c>
      <c r="H304" s="3">
        <v>923</v>
      </c>
      <c r="I304" s="3">
        <v>1194</v>
      </c>
      <c r="J304" s="3">
        <v>52613</v>
      </c>
      <c r="K304" s="3">
        <v>179978</v>
      </c>
      <c r="L304" s="3" t="s">
        <v>20</v>
      </c>
      <c r="M304" s="4">
        <v>9.757303670448611E-2</v>
      </c>
    </row>
    <row r="305" spans="1:13" x14ac:dyDescent="0.3">
      <c r="A305" s="3" t="s">
        <v>150</v>
      </c>
      <c r="B305" s="3" t="s">
        <v>40</v>
      </c>
      <c r="C305" s="2">
        <v>45610</v>
      </c>
      <c r="D305" s="3" t="s">
        <v>14</v>
      </c>
      <c r="E305" s="3" t="s">
        <v>357</v>
      </c>
      <c r="F305" s="3">
        <v>6300</v>
      </c>
      <c r="G305" s="3">
        <v>1213</v>
      </c>
      <c r="H305" s="3">
        <v>720</v>
      </c>
      <c r="I305" s="3">
        <v>1037</v>
      </c>
      <c r="J305" s="3">
        <v>39569</v>
      </c>
      <c r="K305" s="3">
        <v>85272</v>
      </c>
      <c r="L305" s="3" t="s">
        <v>29</v>
      </c>
      <c r="M305" s="4">
        <v>9.6549863964724647E-2</v>
      </c>
    </row>
    <row r="306" spans="1:13" x14ac:dyDescent="0.3">
      <c r="A306" s="3" t="s">
        <v>150</v>
      </c>
      <c r="B306" s="3" t="s">
        <v>40</v>
      </c>
      <c r="C306" s="2">
        <v>45610</v>
      </c>
      <c r="D306" s="3" t="s">
        <v>14</v>
      </c>
      <c r="E306" s="3" t="s">
        <v>358</v>
      </c>
      <c r="F306" s="3">
        <v>6300</v>
      </c>
      <c r="G306" s="3">
        <v>1213</v>
      </c>
      <c r="H306" s="3">
        <v>720</v>
      </c>
      <c r="I306" s="3">
        <v>1037</v>
      </c>
      <c r="J306" s="3">
        <v>39569</v>
      </c>
      <c r="K306" s="3">
        <v>85272</v>
      </c>
      <c r="L306" s="3" t="s">
        <v>29</v>
      </c>
      <c r="M306" s="4">
        <v>9.6549863964724647E-2</v>
      </c>
    </row>
    <row r="307" spans="1:13" x14ac:dyDescent="0.3">
      <c r="A307" s="3" t="s">
        <v>244</v>
      </c>
      <c r="B307" s="3" t="s">
        <v>18</v>
      </c>
      <c r="C307" s="2">
        <v>45467</v>
      </c>
      <c r="D307" s="3" t="s">
        <v>23</v>
      </c>
      <c r="E307" s="3" t="s">
        <v>355</v>
      </c>
      <c r="F307" s="3">
        <v>5596</v>
      </c>
      <c r="G307" s="3">
        <v>1231</v>
      </c>
      <c r="H307" s="3">
        <v>473</v>
      </c>
      <c r="I307" s="3">
        <v>2251</v>
      </c>
      <c r="J307" s="3">
        <v>43705</v>
      </c>
      <c r="K307" s="3">
        <v>75643</v>
      </c>
      <c r="L307" s="3" t="s">
        <v>16</v>
      </c>
      <c r="M307" s="4">
        <v>9.6505955607260427E-2</v>
      </c>
    </row>
    <row r="308" spans="1:13" x14ac:dyDescent="0.3">
      <c r="A308" s="3" t="s">
        <v>244</v>
      </c>
      <c r="B308" s="3" t="s">
        <v>18</v>
      </c>
      <c r="C308" s="2">
        <v>45467</v>
      </c>
      <c r="D308" s="3" t="s">
        <v>23</v>
      </c>
      <c r="E308" s="3" t="s">
        <v>356</v>
      </c>
      <c r="F308" s="3">
        <v>5596</v>
      </c>
      <c r="G308" s="3">
        <v>1231</v>
      </c>
      <c r="H308" s="3">
        <v>473</v>
      </c>
      <c r="I308" s="3">
        <v>2251</v>
      </c>
      <c r="J308" s="3">
        <v>43705</v>
      </c>
      <c r="K308" s="3">
        <v>75643</v>
      </c>
      <c r="L308" s="3" t="s">
        <v>16</v>
      </c>
      <c r="M308" s="4">
        <v>9.6505955607260427E-2</v>
      </c>
    </row>
    <row r="309" spans="1:13" x14ac:dyDescent="0.3">
      <c r="A309" s="3" t="s">
        <v>299</v>
      </c>
      <c r="B309" s="3" t="s">
        <v>22</v>
      </c>
      <c r="C309" s="2">
        <v>45524</v>
      </c>
      <c r="D309" s="3" t="s">
        <v>23</v>
      </c>
      <c r="E309" s="3" t="s">
        <v>32</v>
      </c>
      <c r="F309" s="3">
        <v>2846</v>
      </c>
      <c r="G309" s="3">
        <v>792</v>
      </c>
      <c r="H309" s="3">
        <v>902</v>
      </c>
      <c r="I309" s="3">
        <v>2469</v>
      </c>
      <c r="J309" s="3">
        <v>12130</v>
      </c>
      <c r="K309" s="3">
        <v>47151</v>
      </c>
      <c r="L309" s="3" t="s">
        <v>16</v>
      </c>
      <c r="M309" s="4">
        <v>9.6286399015927546E-2</v>
      </c>
    </row>
    <row r="310" spans="1:13" x14ac:dyDescent="0.3">
      <c r="A310" s="3" t="s">
        <v>70</v>
      </c>
      <c r="B310" s="3" t="s">
        <v>40</v>
      </c>
      <c r="C310" s="2">
        <v>45626</v>
      </c>
      <c r="D310" s="3" t="s">
        <v>27</v>
      </c>
      <c r="E310" s="3" t="s">
        <v>359</v>
      </c>
      <c r="F310" s="3">
        <v>14763</v>
      </c>
      <c r="G310" s="3">
        <v>864</v>
      </c>
      <c r="H310" s="3">
        <v>336</v>
      </c>
      <c r="I310" s="3">
        <v>1493</v>
      </c>
      <c r="J310" s="3">
        <v>33310</v>
      </c>
      <c r="K310" s="3">
        <v>165932</v>
      </c>
      <c r="L310" s="3" t="s">
        <v>29</v>
      </c>
      <c r="M310" s="4">
        <v>9.6202058674637797E-2</v>
      </c>
    </row>
    <row r="311" spans="1:13" x14ac:dyDescent="0.3">
      <c r="A311" s="3" t="s">
        <v>70</v>
      </c>
      <c r="B311" s="3" t="s">
        <v>40</v>
      </c>
      <c r="C311" s="2">
        <v>45626</v>
      </c>
      <c r="D311" s="3" t="s">
        <v>27</v>
      </c>
      <c r="E311" s="3" t="s">
        <v>366</v>
      </c>
      <c r="F311" s="3">
        <v>14763</v>
      </c>
      <c r="G311" s="3">
        <v>864</v>
      </c>
      <c r="H311" s="3">
        <v>336</v>
      </c>
      <c r="I311" s="3">
        <v>1493</v>
      </c>
      <c r="J311" s="3">
        <v>33310</v>
      </c>
      <c r="K311" s="3">
        <v>165932</v>
      </c>
      <c r="L311" s="3" t="s">
        <v>29</v>
      </c>
      <c r="M311" s="4">
        <v>9.6202058674637797E-2</v>
      </c>
    </row>
    <row r="312" spans="1:13" x14ac:dyDescent="0.3">
      <c r="A312" s="3" t="s">
        <v>60</v>
      </c>
      <c r="B312" s="3" t="s">
        <v>40</v>
      </c>
      <c r="C312" s="2">
        <v>45752</v>
      </c>
      <c r="D312" s="3" t="s">
        <v>27</v>
      </c>
      <c r="E312" s="3" t="s">
        <v>363</v>
      </c>
      <c r="F312" s="3">
        <v>22384</v>
      </c>
      <c r="G312" s="3">
        <v>601</v>
      </c>
      <c r="H312" s="3">
        <v>943</v>
      </c>
      <c r="I312" s="3">
        <v>515</v>
      </c>
      <c r="J312" s="3">
        <v>41309</v>
      </c>
      <c r="K312" s="3">
        <v>249373</v>
      </c>
      <c r="L312" s="3" t="s">
        <v>16</v>
      </c>
      <c r="M312" s="4">
        <v>9.5952649244304716E-2</v>
      </c>
    </row>
    <row r="313" spans="1:13" x14ac:dyDescent="0.3">
      <c r="A313" s="3" t="s">
        <v>60</v>
      </c>
      <c r="B313" s="3" t="s">
        <v>40</v>
      </c>
      <c r="C313" s="2">
        <v>45752</v>
      </c>
      <c r="D313" s="3" t="s">
        <v>27</v>
      </c>
      <c r="E313" s="3" t="s">
        <v>364</v>
      </c>
      <c r="F313" s="3">
        <v>22384</v>
      </c>
      <c r="G313" s="3">
        <v>601</v>
      </c>
      <c r="H313" s="3">
        <v>943</v>
      </c>
      <c r="I313" s="3">
        <v>515</v>
      </c>
      <c r="J313" s="3">
        <v>41309</v>
      </c>
      <c r="K313" s="3">
        <v>249373</v>
      </c>
      <c r="L313" s="3" t="s">
        <v>16</v>
      </c>
      <c r="M313" s="4">
        <v>9.5952649244304716E-2</v>
      </c>
    </row>
    <row r="314" spans="1:13" x14ac:dyDescent="0.3">
      <c r="A314" s="3" t="s">
        <v>274</v>
      </c>
      <c r="B314" s="3" t="s">
        <v>40</v>
      </c>
      <c r="C314" s="2">
        <v>45489</v>
      </c>
      <c r="D314" s="3" t="s">
        <v>23</v>
      </c>
      <c r="E314" s="3" t="s">
        <v>365</v>
      </c>
      <c r="F314" s="3">
        <v>8767</v>
      </c>
      <c r="G314" s="3">
        <v>974</v>
      </c>
      <c r="H314" s="3">
        <v>733</v>
      </c>
      <c r="I314" s="3">
        <v>1587</v>
      </c>
      <c r="J314" s="3">
        <v>74927</v>
      </c>
      <c r="K314" s="3">
        <v>113770</v>
      </c>
      <c r="L314" s="3" t="s">
        <v>16</v>
      </c>
      <c r="M314" s="4">
        <v>9.2062933989628198E-2</v>
      </c>
    </row>
    <row r="315" spans="1:13" x14ac:dyDescent="0.3">
      <c r="A315" s="3" t="s">
        <v>274</v>
      </c>
      <c r="B315" s="3" t="s">
        <v>40</v>
      </c>
      <c r="C315" s="2">
        <v>45489</v>
      </c>
      <c r="D315" s="3" t="s">
        <v>23</v>
      </c>
      <c r="E315" s="3" t="s">
        <v>359</v>
      </c>
      <c r="F315" s="3">
        <v>8767</v>
      </c>
      <c r="G315" s="3">
        <v>974</v>
      </c>
      <c r="H315" s="3">
        <v>733</v>
      </c>
      <c r="I315" s="3">
        <v>1587</v>
      </c>
      <c r="J315" s="3">
        <v>74927</v>
      </c>
      <c r="K315" s="3">
        <v>113770</v>
      </c>
      <c r="L315" s="3" t="s">
        <v>16</v>
      </c>
      <c r="M315" s="4">
        <v>9.2062933989628198E-2</v>
      </c>
    </row>
    <row r="316" spans="1:13" x14ac:dyDescent="0.3">
      <c r="A316" s="3" t="s">
        <v>91</v>
      </c>
      <c r="B316" s="3" t="s">
        <v>18</v>
      </c>
      <c r="C316" s="2">
        <v>45644</v>
      </c>
      <c r="D316" s="3" t="s">
        <v>23</v>
      </c>
      <c r="E316" s="3" t="s">
        <v>365</v>
      </c>
      <c r="F316" s="3">
        <v>14775</v>
      </c>
      <c r="G316" s="3">
        <v>1220</v>
      </c>
      <c r="H316" s="3">
        <v>640</v>
      </c>
      <c r="I316" s="3">
        <v>1547</v>
      </c>
      <c r="J316" s="3">
        <v>28527</v>
      </c>
      <c r="K316" s="3">
        <v>183660</v>
      </c>
      <c r="L316" s="3" t="s">
        <v>45</v>
      </c>
      <c r="M316" s="4">
        <v>9.0574975498203203E-2</v>
      </c>
    </row>
    <row r="317" spans="1:13" x14ac:dyDescent="0.3">
      <c r="A317" s="3" t="s">
        <v>91</v>
      </c>
      <c r="B317" s="3" t="s">
        <v>18</v>
      </c>
      <c r="C317" s="2">
        <v>45644</v>
      </c>
      <c r="D317" s="3" t="s">
        <v>23</v>
      </c>
      <c r="E317" s="3" t="s">
        <v>359</v>
      </c>
      <c r="F317" s="3">
        <v>14775</v>
      </c>
      <c r="G317" s="3">
        <v>1220</v>
      </c>
      <c r="H317" s="3">
        <v>640</v>
      </c>
      <c r="I317" s="3">
        <v>1547</v>
      </c>
      <c r="J317" s="3">
        <v>28527</v>
      </c>
      <c r="K317" s="3">
        <v>183660</v>
      </c>
      <c r="L317" s="3" t="s">
        <v>45</v>
      </c>
      <c r="M317" s="4">
        <v>9.0574975498203203E-2</v>
      </c>
    </row>
    <row r="318" spans="1:13" x14ac:dyDescent="0.3">
      <c r="A318" s="3" t="s">
        <v>302</v>
      </c>
      <c r="B318" s="3" t="s">
        <v>40</v>
      </c>
      <c r="C318" s="2">
        <v>45621</v>
      </c>
      <c r="D318" s="3" t="s">
        <v>27</v>
      </c>
      <c r="E318" s="3" t="s">
        <v>365</v>
      </c>
      <c r="F318" s="3">
        <v>17385</v>
      </c>
      <c r="G318" s="3">
        <v>831</v>
      </c>
      <c r="H318" s="3">
        <v>568</v>
      </c>
      <c r="I318" s="3">
        <v>2227</v>
      </c>
      <c r="J318" s="3">
        <v>49351</v>
      </c>
      <c r="K318" s="3">
        <v>207450</v>
      </c>
      <c r="L318" s="3" t="s">
        <v>25</v>
      </c>
      <c r="M318" s="4">
        <v>9.0547119787900698E-2</v>
      </c>
    </row>
    <row r="319" spans="1:13" x14ac:dyDescent="0.3">
      <c r="A319" s="3" t="s">
        <v>302</v>
      </c>
      <c r="B319" s="3" t="s">
        <v>40</v>
      </c>
      <c r="C319" s="2">
        <v>45621</v>
      </c>
      <c r="D319" s="3" t="s">
        <v>27</v>
      </c>
      <c r="E319" s="3" t="s">
        <v>359</v>
      </c>
      <c r="F319" s="3">
        <v>17385</v>
      </c>
      <c r="G319" s="3">
        <v>831</v>
      </c>
      <c r="H319" s="3">
        <v>568</v>
      </c>
      <c r="I319" s="3">
        <v>2227</v>
      </c>
      <c r="J319" s="3">
        <v>49351</v>
      </c>
      <c r="K319" s="3">
        <v>207450</v>
      </c>
      <c r="L319" s="3" t="s">
        <v>25</v>
      </c>
      <c r="M319" s="4">
        <v>9.0547119787900698E-2</v>
      </c>
    </row>
    <row r="320" spans="1:13" x14ac:dyDescent="0.3">
      <c r="A320" s="3" t="s">
        <v>215</v>
      </c>
      <c r="B320" s="3" t="s">
        <v>22</v>
      </c>
      <c r="C320" s="2">
        <v>45488</v>
      </c>
      <c r="D320" s="3" t="s">
        <v>14</v>
      </c>
      <c r="E320" s="3" t="s">
        <v>359</v>
      </c>
      <c r="F320" s="3">
        <v>17034</v>
      </c>
      <c r="G320" s="3">
        <v>231</v>
      </c>
      <c r="H320" s="3">
        <v>290</v>
      </c>
      <c r="I320" s="3">
        <v>1387</v>
      </c>
      <c r="J320" s="3">
        <v>63550</v>
      </c>
      <c r="K320" s="3">
        <v>198280</v>
      </c>
      <c r="L320" s="3" t="s">
        <v>45</v>
      </c>
      <c r="M320" s="4">
        <v>8.8536413153116805E-2</v>
      </c>
    </row>
    <row r="321" spans="1:13" x14ac:dyDescent="0.3">
      <c r="A321" s="3" t="s">
        <v>215</v>
      </c>
      <c r="B321" s="3" t="s">
        <v>22</v>
      </c>
      <c r="C321" s="2">
        <v>45488</v>
      </c>
      <c r="D321" s="3" t="s">
        <v>14</v>
      </c>
      <c r="E321" s="3" t="s">
        <v>366</v>
      </c>
      <c r="F321" s="3">
        <v>17034</v>
      </c>
      <c r="G321" s="3">
        <v>231</v>
      </c>
      <c r="H321" s="3">
        <v>290</v>
      </c>
      <c r="I321" s="3">
        <v>1387</v>
      </c>
      <c r="J321" s="3">
        <v>63550</v>
      </c>
      <c r="K321" s="3">
        <v>198280</v>
      </c>
      <c r="L321" s="3" t="s">
        <v>45</v>
      </c>
      <c r="M321" s="4">
        <v>8.8536413153116805E-2</v>
      </c>
    </row>
    <row r="322" spans="1:13" x14ac:dyDescent="0.3">
      <c r="A322" s="3" t="s">
        <v>17</v>
      </c>
      <c r="B322" s="3" t="s">
        <v>18</v>
      </c>
      <c r="C322" s="2">
        <v>45903</v>
      </c>
      <c r="D322" s="3" t="s">
        <v>14</v>
      </c>
      <c r="E322" s="3" t="s">
        <v>355</v>
      </c>
      <c r="F322" s="3">
        <v>4779</v>
      </c>
      <c r="G322" s="3">
        <v>1110</v>
      </c>
      <c r="H322" s="3">
        <v>436</v>
      </c>
      <c r="I322" s="3">
        <v>1574</v>
      </c>
      <c r="J322" s="3">
        <v>77167</v>
      </c>
      <c r="K322" s="3">
        <v>71585</v>
      </c>
      <c r="L322" s="3" t="s">
        <v>20</v>
      </c>
      <c r="M322" s="4">
        <v>8.8356499266606131E-2</v>
      </c>
    </row>
    <row r="323" spans="1:13" x14ac:dyDescent="0.3">
      <c r="A323" s="3" t="s">
        <v>17</v>
      </c>
      <c r="B323" s="3" t="s">
        <v>18</v>
      </c>
      <c r="C323" s="2">
        <v>45903</v>
      </c>
      <c r="D323" s="3" t="s">
        <v>14</v>
      </c>
      <c r="E323" s="3" t="s">
        <v>356</v>
      </c>
      <c r="F323" s="3">
        <v>4779</v>
      </c>
      <c r="G323" s="3">
        <v>1110</v>
      </c>
      <c r="H323" s="3">
        <v>436</v>
      </c>
      <c r="I323" s="3">
        <v>1574</v>
      </c>
      <c r="J323" s="3">
        <v>77167</v>
      </c>
      <c r="K323" s="3">
        <v>71585</v>
      </c>
      <c r="L323" s="3" t="s">
        <v>20</v>
      </c>
      <c r="M323" s="4">
        <v>8.8356499266606131E-2</v>
      </c>
    </row>
    <row r="324" spans="1:13" x14ac:dyDescent="0.3">
      <c r="A324" s="3" t="s">
        <v>122</v>
      </c>
      <c r="B324" s="3" t="s">
        <v>13</v>
      </c>
      <c r="C324" s="2">
        <v>45684</v>
      </c>
      <c r="D324" s="3" t="s">
        <v>34</v>
      </c>
      <c r="E324" s="3" t="s">
        <v>365</v>
      </c>
      <c r="F324" s="3">
        <v>8949</v>
      </c>
      <c r="G324" s="3">
        <v>1477</v>
      </c>
      <c r="H324" s="3">
        <v>424</v>
      </c>
      <c r="I324" s="3">
        <v>1030</v>
      </c>
      <c r="J324" s="3">
        <v>58052</v>
      </c>
      <c r="K324" s="3">
        <v>123310</v>
      </c>
      <c r="L324" s="3" t="s">
        <v>16</v>
      </c>
      <c r="M324" s="4">
        <v>8.7989619657773091E-2</v>
      </c>
    </row>
    <row r="325" spans="1:13" x14ac:dyDescent="0.3">
      <c r="A325" s="3" t="s">
        <v>122</v>
      </c>
      <c r="B325" s="3" t="s">
        <v>13</v>
      </c>
      <c r="C325" s="2">
        <v>45684</v>
      </c>
      <c r="D325" s="3" t="s">
        <v>34</v>
      </c>
      <c r="E325" s="3" t="s">
        <v>359</v>
      </c>
      <c r="F325" s="3">
        <v>8949</v>
      </c>
      <c r="G325" s="3">
        <v>1477</v>
      </c>
      <c r="H325" s="3">
        <v>424</v>
      </c>
      <c r="I325" s="3">
        <v>1030</v>
      </c>
      <c r="J325" s="3">
        <v>58052</v>
      </c>
      <c r="K325" s="3">
        <v>123310</v>
      </c>
      <c r="L325" s="3" t="s">
        <v>16</v>
      </c>
      <c r="M325" s="4">
        <v>8.7989619657773091E-2</v>
      </c>
    </row>
    <row r="326" spans="1:13" x14ac:dyDescent="0.3">
      <c r="A326" s="3" t="s">
        <v>92</v>
      </c>
      <c r="B326" s="3" t="s">
        <v>18</v>
      </c>
      <c r="C326" s="2">
        <v>45586</v>
      </c>
      <c r="D326" s="3" t="s">
        <v>27</v>
      </c>
      <c r="E326" s="3" t="s">
        <v>359</v>
      </c>
      <c r="F326" s="3">
        <v>12015</v>
      </c>
      <c r="G326" s="3">
        <v>1196</v>
      </c>
      <c r="H326" s="3">
        <v>998</v>
      </c>
      <c r="I326" s="3">
        <v>1848</v>
      </c>
      <c r="J326" s="3">
        <v>44739</v>
      </c>
      <c r="K326" s="3">
        <v>161750</v>
      </c>
      <c r="L326" s="3" t="s">
        <v>45</v>
      </c>
      <c r="M326" s="4">
        <v>8.7845440494590421E-2</v>
      </c>
    </row>
    <row r="327" spans="1:13" x14ac:dyDescent="0.3">
      <c r="A327" s="3" t="s">
        <v>92</v>
      </c>
      <c r="B327" s="3" t="s">
        <v>18</v>
      </c>
      <c r="C327" s="2">
        <v>45586</v>
      </c>
      <c r="D327" s="3" t="s">
        <v>27</v>
      </c>
      <c r="E327" s="3" t="s">
        <v>366</v>
      </c>
      <c r="F327" s="3">
        <v>12015</v>
      </c>
      <c r="G327" s="3">
        <v>1196</v>
      </c>
      <c r="H327" s="3">
        <v>998</v>
      </c>
      <c r="I327" s="3">
        <v>1848</v>
      </c>
      <c r="J327" s="3">
        <v>44739</v>
      </c>
      <c r="K327" s="3">
        <v>161750</v>
      </c>
      <c r="L327" s="3" t="s">
        <v>45</v>
      </c>
      <c r="M327" s="4">
        <v>8.7845440494590421E-2</v>
      </c>
    </row>
    <row r="328" spans="1:13" x14ac:dyDescent="0.3">
      <c r="A328" s="3" t="s">
        <v>333</v>
      </c>
      <c r="B328" s="3" t="s">
        <v>40</v>
      </c>
      <c r="C328" s="2">
        <v>45650</v>
      </c>
      <c r="D328" s="3" t="s">
        <v>14</v>
      </c>
      <c r="E328" s="3" t="s">
        <v>64</v>
      </c>
      <c r="F328" s="3">
        <v>10512</v>
      </c>
      <c r="G328" s="3">
        <v>1197</v>
      </c>
      <c r="H328" s="3">
        <v>544</v>
      </c>
      <c r="I328" s="3">
        <v>2012</v>
      </c>
      <c r="J328" s="3">
        <v>10245</v>
      </c>
      <c r="K328" s="3">
        <v>140102</v>
      </c>
      <c r="L328" s="3" t="s">
        <v>16</v>
      </c>
      <c r="M328" s="4">
        <v>8.745770938316369E-2</v>
      </c>
    </row>
    <row r="329" spans="1:13" x14ac:dyDescent="0.3">
      <c r="A329" s="3" t="s">
        <v>173</v>
      </c>
      <c r="B329" s="3" t="s">
        <v>22</v>
      </c>
      <c r="C329" s="2">
        <v>45504</v>
      </c>
      <c r="D329" s="3" t="s">
        <v>34</v>
      </c>
      <c r="E329" s="3" t="s">
        <v>359</v>
      </c>
      <c r="F329" s="3">
        <v>13314</v>
      </c>
      <c r="G329" s="3">
        <v>274</v>
      </c>
      <c r="H329" s="3">
        <v>626</v>
      </c>
      <c r="I329" s="3">
        <v>2280</v>
      </c>
      <c r="J329" s="3">
        <v>14639</v>
      </c>
      <c r="K329" s="3">
        <v>163008</v>
      </c>
      <c r="L329" s="3" t="s">
        <v>29</v>
      </c>
      <c r="M329" s="4">
        <v>8.7198174322732622E-2</v>
      </c>
    </row>
    <row r="330" spans="1:13" x14ac:dyDescent="0.3">
      <c r="A330" s="3" t="s">
        <v>173</v>
      </c>
      <c r="B330" s="3" t="s">
        <v>22</v>
      </c>
      <c r="C330" s="2">
        <v>45504</v>
      </c>
      <c r="D330" s="3" t="s">
        <v>34</v>
      </c>
      <c r="E330" s="3" t="s">
        <v>360</v>
      </c>
      <c r="F330" s="3">
        <v>13314</v>
      </c>
      <c r="G330" s="3">
        <v>274</v>
      </c>
      <c r="H330" s="3">
        <v>626</v>
      </c>
      <c r="I330" s="3">
        <v>2280</v>
      </c>
      <c r="J330" s="3">
        <v>14639</v>
      </c>
      <c r="K330" s="3">
        <v>163008</v>
      </c>
      <c r="L330" s="3" t="s">
        <v>29</v>
      </c>
      <c r="M330" s="4">
        <v>8.7198174322732622E-2</v>
      </c>
    </row>
    <row r="331" spans="1:13" x14ac:dyDescent="0.3">
      <c r="A331" s="3" t="s">
        <v>63</v>
      </c>
      <c r="B331" s="3" t="s">
        <v>18</v>
      </c>
      <c r="C331" s="2">
        <v>45910</v>
      </c>
      <c r="D331" s="3" t="s">
        <v>34</v>
      </c>
      <c r="E331" s="3" t="s">
        <v>64</v>
      </c>
      <c r="F331" s="3">
        <v>9266</v>
      </c>
      <c r="G331" s="3">
        <v>999</v>
      </c>
      <c r="H331" s="3">
        <v>928</v>
      </c>
      <c r="I331" s="3">
        <v>2700</v>
      </c>
      <c r="J331" s="3">
        <v>12264</v>
      </c>
      <c r="K331" s="3">
        <v>128397</v>
      </c>
      <c r="L331" s="3" t="s">
        <v>20</v>
      </c>
      <c r="M331" s="4">
        <v>8.7174933993784898E-2</v>
      </c>
    </row>
    <row r="332" spans="1:13" x14ac:dyDescent="0.3">
      <c r="A332" s="3" t="s">
        <v>69</v>
      </c>
      <c r="B332" s="3" t="s">
        <v>40</v>
      </c>
      <c r="C332" s="2">
        <v>45912</v>
      </c>
      <c r="D332" s="3" t="s">
        <v>23</v>
      </c>
      <c r="E332" s="3" t="s">
        <v>357</v>
      </c>
      <c r="F332" s="3">
        <v>17158</v>
      </c>
      <c r="G332" s="3">
        <v>1192</v>
      </c>
      <c r="H332" s="3">
        <v>262</v>
      </c>
      <c r="I332" s="3">
        <v>2016</v>
      </c>
      <c r="J332" s="3">
        <v>28771</v>
      </c>
      <c r="K332" s="3">
        <v>216037</v>
      </c>
      <c r="L332" s="3" t="s">
        <v>20</v>
      </c>
      <c r="M332" s="4">
        <v>8.6151909163708074E-2</v>
      </c>
    </row>
    <row r="333" spans="1:13" x14ac:dyDescent="0.3">
      <c r="A333" s="3" t="s">
        <v>69</v>
      </c>
      <c r="B333" s="3" t="s">
        <v>40</v>
      </c>
      <c r="C333" s="2">
        <v>45912</v>
      </c>
      <c r="D333" s="3" t="s">
        <v>23</v>
      </c>
      <c r="E333" s="3" t="s">
        <v>358</v>
      </c>
      <c r="F333" s="3">
        <v>17158</v>
      </c>
      <c r="G333" s="3">
        <v>1192</v>
      </c>
      <c r="H333" s="3">
        <v>262</v>
      </c>
      <c r="I333" s="3">
        <v>2016</v>
      </c>
      <c r="J333" s="3">
        <v>28771</v>
      </c>
      <c r="K333" s="3">
        <v>216037</v>
      </c>
      <c r="L333" s="3" t="s">
        <v>20</v>
      </c>
      <c r="M333" s="4">
        <v>8.6151909163708074E-2</v>
      </c>
    </row>
    <row r="334" spans="1:13" x14ac:dyDescent="0.3">
      <c r="A334" s="3" t="s">
        <v>99</v>
      </c>
      <c r="B334" s="3" t="s">
        <v>22</v>
      </c>
      <c r="C334" s="2">
        <v>45521</v>
      </c>
      <c r="D334" s="3" t="s">
        <v>27</v>
      </c>
      <c r="E334" s="3" t="s">
        <v>32</v>
      </c>
      <c r="F334" s="3">
        <v>19154</v>
      </c>
      <c r="G334" s="3">
        <v>1064</v>
      </c>
      <c r="H334" s="3">
        <v>650</v>
      </c>
      <c r="I334" s="3">
        <v>747</v>
      </c>
      <c r="J334" s="3">
        <v>42667</v>
      </c>
      <c r="K334" s="3">
        <v>242332</v>
      </c>
      <c r="L334" s="3" t="s">
        <v>25</v>
      </c>
      <c r="M334" s="4">
        <v>8.6113266097750191E-2</v>
      </c>
    </row>
    <row r="335" spans="1:13" x14ac:dyDescent="0.3">
      <c r="A335" s="3" t="s">
        <v>90</v>
      </c>
      <c r="B335" s="3" t="s">
        <v>13</v>
      </c>
      <c r="C335" s="2">
        <v>45460</v>
      </c>
      <c r="D335" s="3" t="s">
        <v>34</v>
      </c>
      <c r="E335" s="3" t="s">
        <v>353</v>
      </c>
      <c r="F335" s="3">
        <v>6976</v>
      </c>
      <c r="G335" s="3">
        <v>1320</v>
      </c>
      <c r="H335" s="3">
        <v>393</v>
      </c>
      <c r="I335" s="3">
        <v>2285</v>
      </c>
      <c r="J335" s="3">
        <v>14049</v>
      </c>
      <c r="K335" s="3">
        <v>101367</v>
      </c>
      <c r="L335" s="3" t="s">
        <v>45</v>
      </c>
      <c r="M335" s="4">
        <v>8.5718231771681114E-2</v>
      </c>
    </row>
    <row r="336" spans="1:13" x14ac:dyDescent="0.3">
      <c r="A336" s="3" t="s">
        <v>90</v>
      </c>
      <c r="B336" s="3" t="s">
        <v>13</v>
      </c>
      <c r="C336" s="2">
        <v>45460</v>
      </c>
      <c r="D336" s="3" t="s">
        <v>34</v>
      </c>
      <c r="E336" s="3" t="s">
        <v>354</v>
      </c>
      <c r="F336" s="3">
        <v>6976</v>
      </c>
      <c r="G336" s="3">
        <v>1320</v>
      </c>
      <c r="H336" s="3">
        <v>393</v>
      </c>
      <c r="I336" s="3">
        <v>2285</v>
      </c>
      <c r="J336" s="3">
        <v>14049</v>
      </c>
      <c r="K336" s="3">
        <v>101367</v>
      </c>
      <c r="L336" s="3" t="s">
        <v>45</v>
      </c>
      <c r="M336" s="4">
        <v>8.5718231771681114E-2</v>
      </c>
    </row>
    <row r="337" spans="1:13" x14ac:dyDescent="0.3">
      <c r="A337" s="3" t="s">
        <v>295</v>
      </c>
      <c r="B337" s="3" t="s">
        <v>18</v>
      </c>
      <c r="C337" s="2">
        <v>45698</v>
      </c>
      <c r="D337" s="3" t="s">
        <v>34</v>
      </c>
      <c r="E337" s="3" t="s">
        <v>355</v>
      </c>
      <c r="F337" s="3">
        <v>16309</v>
      </c>
      <c r="G337" s="3">
        <v>1449</v>
      </c>
      <c r="H337" s="3">
        <v>838</v>
      </c>
      <c r="I337" s="3">
        <v>2434</v>
      </c>
      <c r="J337" s="3">
        <v>2940</v>
      </c>
      <c r="K337" s="3">
        <v>217953</v>
      </c>
      <c r="L337" s="3" t="s">
        <v>29</v>
      </c>
      <c r="M337" s="4">
        <v>8.5321147219813445E-2</v>
      </c>
    </row>
    <row r="338" spans="1:13" x14ac:dyDescent="0.3">
      <c r="A338" s="3" t="s">
        <v>295</v>
      </c>
      <c r="B338" s="3" t="s">
        <v>18</v>
      </c>
      <c r="C338" s="2">
        <v>45698</v>
      </c>
      <c r="D338" s="3" t="s">
        <v>34</v>
      </c>
      <c r="E338" s="3" t="s">
        <v>356</v>
      </c>
      <c r="F338" s="3">
        <v>16309</v>
      </c>
      <c r="G338" s="3">
        <v>1449</v>
      </c>
      <c r="H338" s="3">
        <v>838</v>
      </c>
      <c r="I338" s="3">
        <v>2434</v>
      </c>
      <c r="J338" s="3">
        <v>2940</v>
      </c>
      <c r="K338" s="3">
        <v>217953</v>
      </c>
      <c r="L338" s="3" t="s">
        <v>29</v>
      </c>
      <c r="M338" s="4">
        <v>8.5321147219813445E-2</v>
      </c>
    </row>
    <row r="339" spans="1:13" x14ac:dyDescent="0.3">
      <c r="A339" s="3" t="s">
        <v>59</v>
      </c>
      <c r="B339" s="3" t="s">
        <v>18</v>
      </c>
      <c r="C339" s="2">
        <v>45909</v>
      </c>
      <c r="D339" s="3" t="s">
        <v>27</v>
      </c>
      <c r="E339" s="3" t="s">
        <v>363</v>
      </c>
      <c r="F339" s="3">
        <v>15772</v>
      </c>
      <c r="G339" s="3">
        <v>288</v>
      </c>
      <c r="H339" s="3">
        <v>520</v>
      </c>
      <c r="I339" s="3">
        <v>1585</v>
      </c>
      <c r="J339" s="3">
        <v>59182</v>
      </c>
      <c r="K339" s="3">
        <v>194351</v>
      </c>
      <c r="L339" s="3" t="s">
        <v>20</v>
      </c>
      <c r="M339" s="4">
        <v>8.5309568769905988E-2</v>
      </c>
    </row>
    <row r="340" spans="1:13" x14ac:dyDescent="0.3">
      <c r="A340" s="3" t="s">
        <v>59</v>
      </c>
      <c r="B340" s="3" t="s">
        <v>18</v>
      </c>
      <c r="C340" s="2">
        <v>45909</v>
      </c>
      <c r="D340" s="3" t="s">
        <v>27</v>
      </c>
      <c r="E340" s="3" t="s">
        <v>364</v>
      </c>
      <c r="F340" s="3">
        <v>15772</v>
      </c>
      <c r="G340" s="3">
        <v>288</v>
      </c>
      <c r="H340" s="3">
        <v>520</v>
      </c>
      <c r="I340" s="3">
        <v>1585</v>
      </c>
      <c r="J340" s="3">
        <v>59182</v>
      </c>
      <c r="K340" s="3">
        <v>194351</v>
      </c>
      <c r="L340" s="3" t="s">
        <v>20</v>
      </c>
      <c r="M340" s="4">
        <v>8.5309568769905988E-2</v>
      </c>
    </row>
    <row r="341" spans="1:13" x14ac:dyDescent="0.3">
      <c r="A341" s="3" t="s">
        <v>249</v>
      </c>
      <c r="B341" s="3" t="s">
        <v>22</v>
      </c>
      <c r="C341" s="2">
        <v>45778</v>
      </c>
      <c r="D341" s="3" t="s">
        <v>23</v>
      </c>
      <c r="E341" s="3" t="s">
        <v>365</v>
      </c>
      <c r="F341" s="3">
        <v>10258</v>
      </c>
      <c r="G341" s="3">
        <v>527</v>
      </c>
      <c r="H341" s="3">
        <v>854</v>
      </c>
      <c r="I341" s="3">
        <v>2068</v>
      </c>
      <c r="J341" s="3">
        <v>45632</v>
      </c>
      <c r="K341" s="3">
        <v>136546</v>
      </c>
      <c r="L341" s="3" t="s">
        <v>45</v>
      </c>
      <c r="M341" s="4">
        <v>8.5238674146441498E-2</v>
      </c>
    </row>
    <row r="342" spans="1:13" x14ac:dyDescent="0.3">
      <c r="A342" s="3" t="s">
        <v>249</v>
      </c>
      <c r="B342" s="3" t="s">
        <v>22</v>
      </c>
      <c r="C342" s="2">
        <v>45778</v>
      </c>
      <c r="D342" s="3" t="s">
        <v>23</v>
      </c>
      <c r="E342" s="3" t="s">
        <v>359</v>
      </c>
      <c r="F342" s="3">
        <v>10258</v>
      </c>
      <c r="G342" s="3">
        <v>527</v>
      </c>
      <c r="H342" s="3">
        <v>854</v>
      </c>
      <c r="I342" s="3">
        <v>2068</v>
      </c>
      <c r="J342" s="3">
        <v>45632</v>
      </c>
      <c r="K342" s="3">
        <v>136546</v>
      </c>
      <c r="L342" s="3" t="s">
        <v>45</v>
      </c>
      <c r="M342" s="4">
        <v>8.5238674146441498E-2</v>
      </c>
    </row>
    <row r="343" spans="1:13" x14ac:dyDescent="0.3">
      <c r="A343" s="3" t="s">
        <v>291</v>
      </c>
      <c r="B343" s="3" t="s">
        <v>22</v>
      </c>
      <c r="C343" s="2">
        <v>45750</v>
      </c>
      <c r="D343" s="3" t="s">
        <v>14</v>
      </c>
      <c r="E343" s="3" t="s">
        <v>368</v>
      </c>
      <c r="F343" s="3">
        <v>10837</v>
      </c>
      <c r="G343" s="3">
        <v>1004</v>
      </c>
      <c r="H343" s="3">
        <v>922</v>
      </c>
      <c r="I343" s="3">
        <v>1108</v>
      </c>
      <c r="J343" s="3">
        <v>36807</v>
      </c>
      <c r="K343" s="3">
        <v>150350</v>
      </c>
      <c r="L343" s="3" t="s">
        <v>25</v>
      </c>
      <c r="M343" s="4">
        <v>8.4888593282341204E-2</v>
      </c>
    </row>
    <row r="344" spans="1:13" x14ac:dyDescent="0.3">
      <c r="A344" s="3" t="s">
        <v>291</v>
      </c>
      <c r="B344" s="3" t="s">
        <v>22</v>
      </c>
      <c r="C344" s="2">
        <v>45750</v>
      </c>
      <c r="D344" s="3" t="s">
        <v>14</v>
      </c>
      <c r="E344" s="3" t="s">
        <v>369</v>
      </c>
      <c r="F344" s="3">
        <v>10837</v>
      </c>
      <c r="G344" s="3">
        <v>1004</v>
      </c>
      <c r="H344" s="3">
        <v>922</v>
      </c>
      <c r="I344" s="3">
        <v>1108</v>
      </c>
      <c r="J344" s="3">
        <v>36807</v>
      </c>
      <c r="K344" s="3">
        <v>150350</v>
      </c>
      <c r="L344" s="3" t="s">
        <v>25</v>
      </c>
      <c r="M344" s="4">
        <v>8.4888593282341204E-2</v>
      </c>
    </row>
    <row r="345" spans="1:13" x14ac:dyDescent="0.3">
      <c r="A345" s="3" t="s">
        <v>36</v>
      </c>
      <c r="B345" s="3" t="s">
        <v>22</v>
      </c>
      <c r="C345" s="2">
        <v>45486</v>
      </c>
      <c r="D345" s="3" t="s">
        <v>27</v>
      </c>
      <c r="E345" s="3" t="s">
        <v>363</v>
      </c>
      <c r="F345" s="3">
        <v>18639</v>
      </c>
      <c r="G345" s="3">
        <v>1360</v>
      </c>
      <c r="H345" s="3">
        <v>898</v>
      </c>
      <c r="I345" s="3">
        <v>2011</v>
      </c>
      <c r="J345" s="3">
        <v>42841</v>
      </c>
      <c r="K345" s="3">
        <v>247779</v>
      </c>
      <c r="L345" s="3" t="s">
        <v>29</v>
      </c>
      <c r="M345" s="4">
        <v>8.4337252148083575E-2</v>
      </c>
    </row>
    <row r="346" spans="1:13" x14ac:dyDescent="0.3">
      <c r="A346" s="3" t="s">
        <v>36</v>
      </c>
      <c r="B346" s="3" t="s">
        <v>22</v>
      </c>
      <c r="C346" s="2">
        <v>45486</v>
      </c>
      <c r="D346" s="3" t="s">
        <v>27</v>
      </c>
      <c r="E346" s="3" t="s">
        <v>364</v>
      </c>
      <c r="F346" s="3">
        <v>18639</v>
      </c>
      <c r="G346" s="3">
        <v>1360</v>
      </c>
      <c r="H346" s="3">
        <v>898</v>
      </c>
      <c r="I346" s="3">
        <v>2011</v>
      </c>
      <c r="J346" s="3">
        <v>42841</v>
      </c>
      <c r="K346" s="3">
        <v>247779</v>
      </c>
      <c r="L346" s="3" t="s">
        <v>29</v>
      </c>
      <c r="M346" s="4">
        <v>8.4337252148083575E-2</v>
      </c>
    </row>
    <row r="347" spans="1:13" x14ac:dyDescent="0.3">
      <c r="A347" s="3" t="s">
        <v>251</v>
      </c>
      <c r="B347" s="3" t="s">
        <v>13</v>
      </c>
      <c r="C347" s="2">
        <v>45925</v>
      </c>
      <c r="D347" s="3" t="s">
        <v>27</v>
      </c>
      <c r="E347" s="3" t="s">
        <v>367</v>
      </c>
      <c r="F347" s="3">
        <v>8371</v>
      </c>
      <c r="G347" s="3">
        <v>960</v>
      </c>
      <c r="H347" s="3">
        <v>548</v>
      </c>
      <c r="I347" s="3">
        <v>2936</v>
      </c>
      <c r="J347" s="3">
        <v>82543</v>
      </c>
      <c r="K347" s="3">
        <v>119973</v>
      </c>
      <c r="L347" s="3" t="s">
        <v>20</v>
      </c>
      <c r="M347" s="4">
        <v>8.2343527293641069E-2</v>
      </c>
    </row>
    <row r="348" spans="1:13" x14ac:dyDescent="0.3">
      <c r="A348" s="3" t="s">
        <v>251</v>
      </c>
      <c r="B348" s="3" t="s">
        <v>13</v>
      </c>
      <c r="C348" s="2">
        <v>45925</v>
      </c>
      <c r="D348" s="3" t="s">
        <v>27</v>
      </c>
      <c r="E348" s="3" t="s">
        <v>32</v>
      </c>
      <c r="F348" s="3">
        <v>8371</v>
      </c>
      <c r="G348" s="3">
        <v>960</v>
      </c>
      <c r="H348" s="3">
        <v>548</v>
      </c>
      <c r="I348" s="3">
        <v>2936</v>
      </c>
      <c r="J348" s="3">
        <v>82543</v>
      </c>
      <c r="K348" s="3">
        <v>119973</v>
      </c>
      <c r="L348" s="3" t="s">
        <v>20</v>
      </c>
      <c r="M348" s="4">
        <v>8.2343527293641069E-2</v>
      </c>
    </row>
    <row r="349" spans="1:13" x14ac:dyDescent="0.3">
      <c r="A349" s="3" t="s">
        <v>153</v>
      </c>
      <c r="B349" s="3" t="s">
        <v>22</v>
      </c>
      <c r="C349" s="2">
        <v>45600</v>
      </c>
      <c r="D349" s="3" t="s">
        <v>14</v>
      </c>
      <c r="E349" s="3" t="s">
        <v>359</v>
      </c>
      <c r="F349" s="3">
        <v>14015</v>
      </c>
      <c r="G349" s="3">
        <v>978</v>
      </c>
      <c r="H349" s="3">
        <v>196</v>
      </c>
      <c r="I349" s="3">
        <v>2744</v>
      </c>
      <c r="J349" s="3">
        <v>20190</v>
      </c>
      <c r="K349" s="3">
        <v>186470</v>
      </c>
      <c r="L349" s="3" t="s">
        <v>25</v>
      </c>
      <c r="M349" s="4">
        <v>8.1455462004611998E-2</v>
      </c>
    </row>
    <row r="350" spans="1:13" x14ac:dyDescent="0.3">
      <c r="A350" s="3" t="s">
        <v>153</v>
      </c>
      <c r="B350" s="3" t="s">
        <v>22</v>
      </c>
      <c r="C350" s="2">
        <v>45600</v>
      </c>
      <c r="D350" s="3" t="s">
        <v>14</v>
      </c>
      <c r="E350" s="3" t="s">
        <v>366</v>
      </c>
      <c r="F350" s="3">
        <v>14015</v>
      </c>
      <c r="G350" s="3">
        <v>978</v>
      </c>
      <c r="H350" s="3">
        <v>196</v>
      </c>
      <c r="I350" s="3">
        <v>2744</v>
      </c>
      <c r="J350" s="3">
        <v>20190</v>
      </c>
      <c r="K350" s="3">
        <v>186470</v>
      </c>
      <c r="L350" s="3" t="s">
        <v>25</v>
      </c>
      <c r="M350" s="4">
        <v>8.1455462004611998E-2</v>
      </c>
    </row>
    <row r="351" spans="1:13" x14ac:dyDescent="0.3">
      <c r="A351" s="3" t="s">
        <v>212</v>
      </c>
      <c r="B351" s="3" t="s">
        <v>40</v>
      </c>
      <c r="C351" s="2">
        <v>45939</v>
      </c>
      <c r="D351" s="3" t="s">
        <v>34</v>
      </c>
      <c r="E351" s="3" t="s">
        <v>357</v>
      </c>
      <c r="F351" s="3">
        <v>18748</v>
      </c>
      <c r="G351" s="3">
        <v>634</v>
      </c>
      <c r="H351" s="3">
        <v>400</v>
      </c>
      <c r="I351" s="3">
        <v>1667</v>
      </c>
      <c r="J351" s="3">
        <v>75813</v>
      </c>
      <c r="K351" s="3">
        <v>244456</v>
      </c>
      <c r="L351" s="3" t="s">
        <v>20</v>
      </c>
      <c r="M351" s="4">
        <v>8.0922538207284747E-2</v>
      </c>
    </row>
    <row r="352" spans="1:13" x14ac:dyDescent="0.3">
      <c r="A352" s="3" t="s">
        <v>212</v>
      </c>
      <c r="B352" s="3" t="s">
        <v>40</v>
      </c>
      <c r="C352" s="2">
        <v>45939</v>
      </c>
      <c r="D352" s="3" t="s">
        <v>34</v>
      </c>
      <c r="E352" s="3" t="s">
        <v>358</v>
      </c>
      <c r="F352" s="3">
        <v>18748</v>
      </c>
      <c r="G352" s="3">
        <v>634</v>
      </c>
      <c r="H352" s="3">
        <v>400</v>
      </c>
      <c r="I352" s="3">
        <v>1667</v>
      </c>
      <c r="J352" s="3">
        <v>75813</v>
      </c>
      <c r="K352" s="3">
        <v>244456</v>
      </c>
      <c r="L352" s="3" t="s">
        <v>20</v>
      </c>
      <c r="M352" s="4">
        <v>8.0922538207284747E-2</v>
      </c>
    </row>
    <row r="353" spans="1:13" x14ac:dyDescent="0.3">
      <c r="A353" s="3" t="s">
        <v>211</v>
      </c>
      <c r="B353" s="3" t="s">
        <v>18</v>
      </c>
      <c r="C353" s="2">
        <v>45938</v>
      </c>
      <c r="D353" s="3" t="s">
        <v>23</v>
      </c>
      <c r="E353" s="3" t="s">
        <v>359</v>
      </c>
      <c r="F353" s="3">
        <v>17745</v>
      </c>
      <c r="G353" s="3">
        <v>414</v>
      </c>
      <c r="H353" s="3">
        <v>563</v>
      </c>
      <c r="I353" s="3">
        <v>2733</v>
      </c>
      <c r="J353" s="3">
        <v>995</v>
      </c>
      <c r="K353" s="3">
        <v>231648</v>
      </c>
      <c r="L353" s="3" t="s">
        <v>20</v>
      </c>
      <c r="M353" s="4">
        <v>8.0820900676889074E-2</v>
      </c>
    </row>
    <row r="354" spans="1:13" x14ac:dyDescent="0.3">
      <c r="A354" s="3" t="s">
        <v>211</v>
      </c>
      <c r="B354" s="3" t="s">
        <v>18</v>
      </c>
      <c r="C354" s="2">
        <v>45938</v>
      </c>
      <c r="D354" s="3" t="s">
        <v>23</v>
      </c>
      <c r="E354" s="3" t="s">
        <v>366</v>
      </c>
      <c r="F354" s="3">
        <v>17745</v>
      </c>
      <c r="G354" s="3">
        <v>414</v>
      </c>
      <c r="H354" s="3">
        <v>563</v>
      </c>
      <c r="I354" s="3">
        <v>2733</v>
      </c>
      <c r="J354" s="3">
        <v>995</v>
      </c>
      <c r="K354" s="3">
        <v>231648</v>
      </c>
      <c r="L354" s="3" t="s">
        <v>20</v>
      </c>
      <c r="M354" s="4">
        <v>8.0820900676889074E-2</v>
      </c>
    </row>
    <row r="355" spans="1:13" x14ac:dyDescent="0.3">
      <c r="A355" s="3" t="s">
        <v>248</v>
      </c>
      <c r="B355" s="3" t="s">
        <v>13</v>
      </c>
      <c r="C355" s="2">
        <v>45719</v>
      </c>
      <c r="D355" s="3" t="s">
        <v>27</v>
      </c>
      <c r="E355" s="3" t="s">
        <v>353</v>
      </c>
      <c r="F355" s="3">
        <v>9561</v>
      </c>
      <c r="G355" s="3">
        <v>642</v>
      </c>
      <c r="H355" s="3">
        <v>581</v>
      </c>
      <c r="I355" s="3">
        <v>2572</v>
      </c>
      <c r="J355" s="3">
        <v>38552</v>
      </c>
      <c r="K355" s="3">
        <v>133680</v>
      </c>
      <c r="L355" s="3" t="s">
        <v>16</v>
      </c>
      <c r="M355" s="4">
        <v>8.0670257330939563E-2</v>
      </c>
    </row>
    <row r="356" spans="1:13" x14ac:dyDescent="0.3">
      <c r="A356" s="3" t="s">
        <v>248</v>
      </c>
      <c r="B356" s="3" t="s">
        <v>13</v>
      </c>
      <c r="C356" s="2">
        <v>45719</v>
      </c>
      <c r="D356" s="3" t="s">
        <v>27</v>
      </c>
      <c r="E356" s="3" t="s">
        <v>354</v>
      </c>
      <c r="F356" s="3">
        <v>9561</v>
      </c>
      <c r="G356" s="3">
        <v>642</v>
      </c>
      <c r="H356" s="3">
        <v>581</v>
      </c>
      <c r="I356" s="3">
        <v>2572</v>
      </c>
      <c r="J356" s="3">
        <v>38552</v>
      </c>
      <c r="K356" s="3">
        <v>133680</v>
      </c>
      <c r="L356" s="3" t="s">
        <v>16</v>
      </c>
      <c r="M356" s="4">
        <v>8.0670257330939563E-2</v>
      </c>
    </row>
    <row r="357" spans="1:13" x14ac:dyDescent="0.3">
      <c r="A357" s="3" t="s">
        <v>208</v>
      </c>
      <c r="B357" s="3" t="s">
        <v>22</v>
      </c>
      <c r="C357" s="2">
        <v>45518</v>
      </c>
      <c r="D357" s="3" t="s">
        <v>34</v>
      </c>
      <c r="E357" s="3" t="s">
        <v>368</v>
      </c>
      <c r="F357" s="3">
        <v>10150</v>
      </c>
      <c r="G357" s="3">
        <v>526</v>
      </c>
      <c r="H357" s="3">
        <v>888</v>
      </c>
      <c r="I357" s="3">
        <v>1313</v>
      </c>
      <c r="J357" s="3">
        <v>51605</v>
      </c>
      <c r="K357" s="3">
        <v>143409</v>
      </c>
      <c r="L357" s="3" t="s">
        <v>16</v>
      </c>
      <c r="M357" s="4">
        <v>8.0636501195880311E-2</v>
      </c>
    </row>
    <row r="358" spans="1:13" x14ac:dyDescent="0.3">
      <c r="A358" s="3" t="s">
        <v>208</v>
      </c>
      <c r="B358" s="3" t="s">
        <v>22</v>
      </c>
      <c r="C358" s="2">
        <v>45518</v>
      </c>
      <c r="D358" s="3" t="s">
        <v>34</v>
      </c>
      <c r="E358" s="3" t="s">
        <v>369</v>
      </c>
      <c r="F358" s="3">
        <v>10150</v>
      </c>
      <c r="G358" s="3">
        <v>526</v>
      </c>
      <c r="H358" s="3">
        <v>888</v>
      </c>
      <c r="I358" s="3">
        <v>1313</v>
      </c>
      <c r="J358" s="3">
        <v>51605</v>
      </c>
      <c r="K358" s="3">
        <v>143409</v>
      </c>
      <c r="L358" s="3" t="s">
        <v>16</v>
      </c>
      <c r="M358" s="4">
        <v>8.0636501195880311E-2</v>
      </c>
    </row>
    <row r="359" spans="1:13" x14ac:dyDescent="0.3">
      <c r="A359" s="3" t="s">
        <v>227</v>
      </c>
      <c r="B359" s="3" t="s">
        <v>13</v>
      </c>
      <c r="C359" s="2">
        <v>45944</v>
      </c>
      <c r="D359" s="3" t="s">
        <v>34</v>
      </c>
      <c r="E359" s="3" t="s">
        <v>367</v>
      </c>
      <c r="F359" s="3">
        <v>9673</v>
      </c>
      <c r="G359" s="3">
        <v>393</v>
      </c>
      <c r="H359" s="3">
        <v>846</v>
      </c>
      <c r="I359" s="3">
        <v>1028</v>
      </c>
      <c r="J359" s="3">
        <v>55556</v>
      </c>
      <c r="K359" s="3">
        <v>136652</v>
      </c>
      <c r="L359" s="3" t="s">
        <v>20</v>
      </c>
      <c r="M359" s="4">
        <v>7.9852471972601938E-2</v>
      </c>
    </row>
    <row r="360" spans="1:13" x14ac:dyDescent="0.3">
      <c r="A360" s="3" t="s">
        <v>227</v>
      </c>
      <c r="B360" s="3" t="s">
        <v>13</v>
      </c>
      <c r="C360" s="2">
        <v>45944</v>
      </c>
      <c r="D360" s="3" t="s">
        <v>34</v>
      </c>
      <c r="E360" s="3" t="s">
        <v>32</v>
      </c>
      <c r="F360" s="3">
        <v>9673</v>
      </c>
      <c r="G360" s="3">
        <v>393</v>
      </c>
      <c r="H360" s="3">
        <v>846</v>
      </c>
      <c r="I360" s="3">
        <v>1028</v>
      </c>
      <c r="J360" s="3">
        <v>55556</v>
      </c>
      <c r="K360" s="3">
        <v>136652</v>
      </c>
      <c r="L360" s="3" t="s">
        <v>20</v>
      </c>
      <c r="M360" s="4">
        <v>7.9852471972601938E-2</v>
      </c>
    </row>
    <row r="361" spans="1:13" x14ac:dyDescent="0.3">
      <c r="A361" s="3" t="s">
        <v>263</v>
      </c>
      <c r="B361" s="3" t="s">
        <v>22</v>
      </c>
      <c r="C361" s="2">
        <v>45455</v>
      </c>
      <c r="D361" s="3" t="s">
        <v>23</v>
      </c>
      <c r="E361" s="3" t="s">
        <v>355</v>
      </c>
      <c r="F361" s="3">
        <v>17679</v>
      </c>
      <c r="G361" s="3">
        <v>690</v>
      </c>
      <c r="H361" s="3">
        <v>451</v>
      </c>
      <c r="I361" s="3">
        <v>2195</v>
      </c>
      <c r="J361" s="3">
        <v>4390</v>
      </c>
      <c r="K361" s="3">
        <v>235804</v>
      </c>
      <c r="L361" s="3" t="s">
        <v>45</v>
      </c>
      <c r="M361" s="4">
        <v>7.9812047293514959E-2</v>
      </c>
    </row>
    <row r="362" spans="1:13" x14ac:dyDescent="0.3">
      <c r="A362" s="3" t="s">
        <v>263</v>
      </c>
      <c r="B362" s="3" t="s">
        <v>22</v>
      </c>
      <c r="C362" s="2">
        <v>45455</v>
      </c>
      <c r="D362" s="3" t="s">
        <v>23</v>
      </c>
      <c r="E362" s="3" t="s">
        <v>356</v>
      </c>
      <c r="F362" s="3">
        <v>17679</v>
      </c>
      <c r="G362" s="3">
        <v>690</v>
      </c>
      <c r="H362" s="3">
        <v>451</v>
      </c>
      <c r="I362" s="3">
        <v>2195</v>
      </c>
      <c r="J362" s="3">
        <v>4390</v>
      </c>
      <c r="K362" s="3">
        <v>235804</v>
      </c>
      <c r="L362" s="3" t="s">
        <v>45</v>
      </c>
      <c r="M362" s="4">
        <v>7.9812047293514959E-2</v>
      </c>
    </row>
    <row r="363" spans="1:13" x14ac:dyDescent="0.3">
      <c r="A363" s="3" t="s">
        <v>303</v>
      </c>
      <c r="B363" s="3" t="s">
        <v>18</v>
      </c>
      <c r="C363" s="2">
        <v>45569</v>
      </c>
      <c r="D363" s="3" t="s">
        <v>27</v>
      </c>
      <c r="E363" s="3" t="s">
        <v>359</v>
      </c>
      <c r="F363" s="3">
        <v>15746</v>
      </c>
      <c r="G363" s="3">
        <v>258</v>
      </c>
      <c r="H363" s="3">
        <v>839</v>
      </c>
      <c r="I363" s="3">
        <v>2656</v>
      </c>
      <c r="J363" s="3">
        <v>66614</v>
      </c>
      <c r="K363" s="3">
        <v>213724</v>
      </c>
      <c r="L363" s="3" t="s">
        <v>25</v>
      </c>
      <c r="M363" s="4">
        <v>7.8807246729426739E-2</v>
      </c>
    </row>
    <row r="364" spans="1:13" x14ac:dyDescent="0.3">
      <c r="A364" s="3" t="s">
        <v>303</v>
      </c>
      <c r="B364" s="3" t="s">
        <v>18</v>
      </c>
      <c r="C364" s="2">
        <v>45569</v>
      </c>
      <c r="D364" s="3" t="s">
        <v>27</v>
      </c>
      <c r="E364" s="3" t="s">
        <v>366</v>
      </c>
      <c r="F364" s="3">
        <v>15746</v>
      </c>
      <c r="G364" s="3">
        <v>258</v>
      </c>
      <c r="H364" s="3">
        <v>839</v>
      </c>
      <c r="I364" s="3">
        <v>2656</v>
      </c>
      <c r="J364" s="3">
        <v>66614</v>
      </c>
      <c r="K364" s="3">
        <v>213724</v>
      </c>
      <c r="L364" s="3" t="s">
        <v>25</v>
      </c>
      <c r="M364" s="4">
        <v>7.8807246729426739E-2</v>
      </c>
    </row>
    <row r="365" spans="1:13" x14ac:dyDescent="0.3">
      <c r="A365" s="3" t="s">
        <v>94</v>
      </c>
      <c r="B365" s="3" t="s">
        <v>13</v>
      </c>
      <c r="C365" s="2">
        <v>45465</v>
      </c>
      <c r="D365" s="3" t="s">
        <v>14</v>
      </c>
      <c r="E365" s="3" t="s">
        <v>363</v>
      </c>
      <c r="F365" s="3">
        <v>16430</v>
      </c>
      <c r="G365" s="3">
        <v>488</v>
      </c>
      <c r="H365" s="3">
        <v>514</v>
      </c>
      <c r="I365" s="3">
        <v>1436</v>
      </c>
      <c r="J365" s="3">
        <v>30059</v>
      </c>
      <c r="K365" s="3">
        <v>223305</v>
      </c>
      <c r="L365" s="3" t="s">
        <v>29</v>
      </c>
      <c r="M365" s="4">
        <v>7.8063634938760881E-2</v>
      </c>
    </row>
    <row r="366" spans="1:13" x14ac:dyDescent="0.3">
      <c r="A366" s="3" t="s">
        <v>94</v>
      </c>
      <c r="B366" s="3" t="s">
        <v>13</v>
      </c>
      <c r="C366" s="2">
        <v>45465</v>
      </c>
      <c r="D366" s="3" t="s">
        <v>14</v>
      </c>
      <c r="E366" s="3" t="s">
        <v>364</v>
      </c>
      <c r="F366" s="3">
        <v>16430</v>
      </c>
      <c r="G366" s="3">
        <v>488</v>
      </c>
      <c r="H366" s="3">
        <v>514</v>
      </c>
      <c r="I366" s="3">
        <v>1436</v>
      </c>
      <c r="J366" s="3">
        <v>30059</v>
      </c>
      <c r="K366" s="3">
        <v>223305</v>
      </c>
      <c r="L366" s="3" t="s">
        <v>29</v>
      </c>
      <c r="M366" s="4">
        <v>7.8063634938760881E-2</v>
      </c>
    </row>
    <row r="367" spans="1:13" x14ac:dyDescent="0.3">
      <c r="A367" s="3" t="s">
        <v>160</v>
      </c>
      <c r="B367" s="3" t="s">
        <v>13</v>
      </c>
      <c r="C367" s="2">
        <v>45753</v>
      </c>
      <c r="D367" s="3" t="s">
        <v>23</v>
      </c>
      <c r="E367" s="3" t="s">
        <v>367</v>
      </c>
      <c r="F367" s="3">
        <v>8238</v>
      </c>
      <c r="G367" s="3">
        <v>766</v>
      </c>
      <c r="H367" s="3">
        <v>235</v>
      </c>
      <c r="I367" s="3">
        <v>1273</v>
      </c>
      <c r="J367" s="3">
        <v>4706</v>
      </c>
      <c r="K367" s="3">
        <v>119141</v>
      </c>
      <c r="L367" s="3" t="s">
        <v>29</v>
      </c>
      <c r="M367" s="4">
        <v>7.7546772311798629E-2</v>
      </c>
    </row>
    <row r="368" spans="1:13" x14ac:dyDescent="0.3">
      <c r="A368" s="3" t="s">
        <v>160</v>
      </c>
      <c r="B368" s="3" t="s">
        <v>13</v>
      </c>
      <c r="C368" s="2">
        <v>45753</v>
      </c>
      <c r="D368" s="3" t="s">
        <v>23</v>
      </c>
      <c r="E368" s="3" t="s">
        <v>32</v>
      </c>
      <c r="F368" s="3">
        <v>8238</v>
      </c>
      <c r="G368" s="3">
        <v>766</v>
      </c>
      <c r="H368" s="3">
        <v>235</v>
      </c>
      <c r="I368" s="3">
        <v>1273</v>
      </c>
      <c r="J368" s="3">
        <v>4706</v>
      </c>
      <c r="K368" s="3">
        <v>119141</v>
      </c>
      <c r="L368" s="3" t="s">
        <v>29</v>
      </c>
      <c r="M368" s="4">
        <v>7.7546772311798629E-2</v>
      </c>
    </row>
    <row r="369" spans="1:13" x14ac:dyDescent="0.3">
      <c r="A369" s="3" t="s">
        <v>137</v>
      </c>
      <c r="B369" s="3" t="s">
        <v>13</v>
      </c>
      <c r="C369" s="2">
        <v>45583</v>
      </c>
      <c r="D369" s="3" t="s">
        <v>34</v>
      </c>
      <c r="E369" s="3" t="s">
        <v>355</v>
      </c>
      <c r="F369" s="3">
        <v>6892</v>
      </c>
      <c r="G369" s="3">
        <v>1184</v>
      </c>
      <c r="H369" s="3">
        <v>925</v>
      </c>
      <c r="I369" s="3">
        <v>1062</v>
      </c>
      <c r="J369" s="3">
        <v>75008</v>
      </c>
      <c r="K369" s="3">
        <v>116260</v>
      </c>
      <c r="L369" s="3" t="s">
        <v>45</v>
      </c>
      <c r="M369" s="4">
        <v>7.7421297092723204E-2</v>
      </c>
    </row>
    <row r="370" spans="1:13" x14ac:dyDescent="0.3">
      <c r="A370" s="3" t="s">
        <v>137</v>
      </c>
      <c r="B370" s="3" t="s">
        <v>13</v>
      </c>
      <c r="C370" s="2">
        <v>45583</v>
      </c>
      <c r="D370" s="3" t="s">
        <v>34</v>
      </c>
      <c r="E370" s="3" t="s">
        <v>356</v>
      </c>
      <c r="F370" s="3">
        <v>6892</v>
      </c>
      <c r="G370" s="3">
        <v>1184</v>
      </c>
      <c r="H370" s="3">
        <v>925</v>
      </c>
      <c r="I370" s="3">
        <v>1062</v>
      </c>
      <c r="J370" s="3">
        <v>75008</v>
      </c>
      <c r="K370" s="3">
        <v>116260</v>
      </c>
      <c r="L370" s="3" t="s">
        <v>45</v>
      </c>
      <c r="M370" s="4">
        <v>7.7421297092723204E-2</v>
      </c>
    </row>
    <row r="371" spans="1:13" x14ac:dyDescent="0.3">
      <c r="A371" s="3" t="s">
        <v>314</v>
      </c>
      <c r="B371" s="3" t="s">
        <v>40</v>
      </c>
      <c r="C371" s="2">
        <v>45622</v>
      </c>
      <c r="D371" s="3" t="s">
        <v>27</v>
      </c>
      <c r="E371" s="3" t="s">
        <v>361</v>
      </c>
      <c r="F371" s="3">
        <v>14607</v>
      </c>
      <c r="G371" s="3">
        <v>1458</v>
      </c>
      <c r="H371" s="3">
        <v>478</v>
      </c>
      <c r="I371" s="3">
        <v>334</v>
      </c>
      <c r="J371" s="3">
        <v>49257</v>
      </c>
      <c r="K371" s="3">
        <v>214668</v>
      </c>
      <c r="L371" s="3" t="s">
        <v>29</v>
      </c>
      <c r="M371" s="4">
        <v>7.7063185942944451E-2</v>
      </c>
    </row>
    <row r="372" spans="1:13" x14ac:dyDescent="0.3">
      <c r="A372" s="3" t="s">
        <v>314</v>
      </c>
      <c r="B372" s="3" t="s">
        <v>40</v>
      </c>
      <c r="C372" s="2">
        <v>45622</v>
      </c>
      <c r="D372" s="3" t="s">
        <v>27</v>
      </c>
      <c r="E372" s="3" t="s">
        <v>362</v>
      </c>
      <c r="F372" s="3">
        <v>14607</v>
      </c>
      <c r="G372" s="3">
        <v>1458</v>
      </c>
      <c r="H372" s="3">
        <v>478</v>
      </c>
      <c r="I372" s="3">
        <v>334</v>
      </c>
      <c r="J372" s="3">
        <v>49257</v>
      </c>
      <c r="K372" s="3">
        <v>214668</v>
      </c>
      <c r="L372" s="3" t="s">
        <v>29</v>
      </c>
      <c r="M372" s="4">
        <v>7.7063185942944451E-2</v>
      </c>
    </row>
    <row r="373" spans="1:13" x14ac:dyDescent="0.3">
      <c r="A373" s="3" t="s">
        <v>42</v>
      </c>
      <c r="B373" s="3" t="s">
        <v>13</v>
      </c>
      <c r="C373" s="2">
        <v>45690</v>
      </c>
      <c r="D373" s="3" t="s">
        <v>34</v>
      </c>
      <c r="E373" s="3" t="s">
        <v>359</v>
      </c>
      <c r="F373" s="3">
        <v>12136</v>
      </c>
      <c r="G373" s="3">
        <v>1117</v>
      </c>
      <c r="H373" s="3">
        <v>834</v>
      </c>
      <c r="I373" s="3">
        <v>892</v>
      </c>
      <c r="J373" s="3">
        <v>24675</v>
      </c>
      <c r="K373" s="3">
        <v>183273</v>
      </c>
      <c r="L373" s="3" t="s">
        <v>25</v>
      </c>
      <c r="M373" s="4">
        <v>7.6863476889667326E-2</v>
      </c>
    </row>
    <row r="374" spans="1:13" x14ac:dyDescent="0.3">
      <c r="A374" s="3" t="s">
        <v>42</v>
      </c>
      <c r="B374" s="3" t="s">
        <v>13</v>
      </c>
      <c r="C374" s="2">
        <v>45690</v>
      </c>
      <c r="D374" s="3" t="s">
        <v>34</v>
      </c>
      <c r="E374" s="3" t="s">
        <v>360</v>
      </c>
      <c r="F374" s="3">
        <v>12136</v>
      </c>
      <c r="G374" s="3">
        <v>1117</v>
      </c>
      <c r="H374" s="3">
        <v>834</v>
      </c>
      <c r="I374" s="3">
        <v>892</v>
      </c>
      <c r="J374" s="3">
        <v>24675</v>
      </c>
      <c r="K374" s="3">
        <v>183273</v>
      </c>
      <c r="L374" s="3" t="s">
        <v>25</v>
      </c>
      <c r="M374" s="4">
        <v>7.6863476889667326E-2</v>
      </c>
    </row>
    <row r="375" spans="1:13" x14ac:dyDescent="0.3">
      <c r="A375" s="3" t="s">
        <v>313</v>
      </c>
      <c r="B375" s="3" t="s">
        <v>22</v>
      </c>
      <c r="C375" s="2">
        <v>45753</v>
      </c>
      <c r="D375" s="3" t="s">
        <v>14</v>
      </c>
      <c r="E375" s="3" t="s">
        <v>64</v>
      </c>
      <c r="F375" s="3">
        <v>14941</v>
      </c>
      <c r="G375" s="3">
        <v>1424</v>
      </c>
      <c r="H375" s="3">
        <v>238</v>
      </c>
      <c r="I375" s="3">
        <v>1054</v>
      </c>
      <c r="J375" s="3">
        <v>20516</v>
      </c>
      <c r="K375" s="3">
        <v>216048</v>
      </c>
      <c r="L375" s="3" t="s">
        <v>45</v>
      </c>
      <c r="M375" s="4">
        <v>7.6848663260016298E-2</v>
      </c>
    </row>
    <row r="376" spans="1:13" x14ac:dyDescent="0.3">
      <c r="A376" s="3" t="s">
        <v>152</v>
      </c>
      <c r="B376" s="3" t="s">
        <v>18</v>
      </c>
      <c r="C376" s="2">
        <v>45734</v>
      </c>
      <c r="D376" s="3" t="s">
        <v>14</v>
      </c>
      <c r="E376" s="3" t="s">
        <v>363</v>
      </c>
      <c r="F376" s="3">
        <v>5818</v>
      </c>
      <c r="G376" s="3">
        <v>1252</v>
      </c>
      <c r="H376" s="3">
        <v>687</v>
      </c>
      <c r="I376" s="3">
        <v>2300</v>
      </c>
      <c r="J376" s="3">
        <v>25081</v>
      </c>
      <c r="K376" s="3">
        <v>101212</v>
      </c>
      <c r="L376" s="3" t="s">
        <v>45</v>
      </c>
      <c r="M376" s="4">
        <v>7.6641109749832043E-2</v>
      </c>
    </row>
    <row r="377" spans="1:13" x14ac:dyDescent="0.3">
      <c r="A377" s="3" t="s">
        <v>152</v>
      </c>
      <c r="B377" s="3" t="s">
        <v>18</v>
      </c>
      <c r="C377" s="2">
        <v>45734</v>
      </c>
      <c r="D377" s="3" t="s">
        <v>14</v>
      </c>
      <c r="E377" s="3" t="s">
        <v>364</v>
      </c>
      <c r="F377" s="3">
        <v>5818</v>
      </c>
      <c r="G377" s="3">
        <v>1252</v>
      </c>
      <c r="H377" s="3">
        <v>687</v>
      </c>
      <c r="I377" s="3">
        <v>2300</v>
      </c>
      <c r="J377" s="3">
        <v>25081</v>
      </c>
      <c r="K377" s="3">
        <v>101212</v>
      </c>
      <c r="L377" s="3" t="s">
        <v>45</v>
      </c>
      <c r="M377" s="4">
        <v>7.6641109749832043E-2</v>
      </c>
    </row>
    <row r="378" spans="1:13" x14ac:dyDescent="0.3">
      <c r="A378" s="3" t="s">
        <v>148</v>
      </c>
      <c r="B378" s="3" t="s">
        <v>13</v>
      </c>
      <c r="C378" s="2">
        <v>45570</v>
      </c>
      <c r="D378" s="3" t="s">
        <v>34</v>
      </c>
      <c r="E378" s="3" t="s">
        <v>355</v>
      </c>
      <c r="F378" s="3">
        <v>16388</v>
      </c>
      <c r="G378" s="3">
        <v>1208</v>
      </c>
      <c r="H378" s="3">
        <v>417</v>
      </c>
      <c r="I378" s="3">
        <v>2306</v>
      </c>
      <c r="J378" s="3">
        <v>16865</v>
      </c>
      <c r="K378" s="3">
        <v>236733</v>
      </c>
      <c r="L378" s="3" t="s">
        <v>16</v>
      </c>
      <c r="M378" s="4">
        <v>7.6089940988370866E-2</v>
      </c>
    </row>
    <row r="379" spans="1:13" x14ac:dyDescent="0.3">
      <c r="A379" s="3" t="s">
        <v>148</v>
      </c>
      <c r="B379" s="3" t="s">
        <v>13</v>
      </c>
      <c r="C379" s="2">
        <v>45570</v>
      </c>
      <c r="D379" s="3" t="s">
        <v>34</v>
      </c>
      <c r="E379" s="3" t="s">
        <v>356</v>
      </c>
      <c r="F379" s="3">
        <v>16388</v>
      </c>
      <c r="G379" s="3">
        <v>1208</v>
      </c>
      <c r="H379" s="3">
        <v>417</v>
      </c>
      <c r="I379" s="3">
        <v>2306</v>
      </c>
      <c r="J379" s="3">
        <v>16865</v>
      </c>
      <c r="K379" s="3">
        <v>236733</v>
      </c>
      <c r="L379" s="3" t="s">
        <v>16</v>
      </c>
      <c r="M379" s="4">
        <v>7.6089940988370866E-2</v>
      </c>
    </row>
    <row r="380" spans="1:13" x14ac:dyDescent="0.3">
      <c r="A380" s="3" t="s">
        <v>247</v>
      </c>
      <c r="B380" s="3" t="s">
        <v>13</v>
      </c>
      <c r="C380" s="2">
        <v>45924</v>
      </c>
      <c r="D380" s="3" t="s">
        <v>14</v>
      </c>
      <c r="E380" s="3" t="s">
        <v>64</v>
      </c>
      <c r="F380" s="3">
        <v>11795</v>
      </c>
      <c r="G380" s="3">
        <v>958</v>
      </c>
      <c r="H380" s="3">
        <v>814</v>
      </c>
      <c r="I380" s="3">
        <v>301</v>
      </c>
      <c r="J380" s="3">
        <v>12564</v>
      </c>
      <c r="K380" s="3">
        <v>179999</v>
      </c>
      <c r="L380" s="3" t="s">
        <v>20</v>
      </c>
      <c r="M380" s="4">
        <v>7.5372640959116444E-2</v>
      </c>
    </row>
    <row r="381" spans="1:13" x14ac:dyDescent="0.3">
      <c r="A381" s="3" t="s">
        <v>269</v>
      </c>
      <c r="B381" s="3" t="s">
        <v>18</v>
      </c>
      <c r="C381" s="2">
        <v>45724</v>
      </c>
      <c r="D381" s="3" t="s">
        <v>14</v>
      </c>
      <c r="E381" s="3" t="s">
        <v>353</v>
      </c>
      <c r="F381" s="3">
        <v>5812</v>
      </c>
      <c r="G381" s="3">
        <v>934</v>
      </c>
      <c r="H381" s="3">
        <v>302</v>
      </c>
      <c r="I381" s="3">
        <v>2356</v>
      </c>
      <c r="J381" s="3">
        <v>37437</v>
      </c>
      <c r="K381" s="3">
        <v>93551</v>
      </c>
      <c r="L381" s="3" t="s">
        <v>16</v>
      </c>
      <c r="M381" s="4">
        <v>7.5338585370546551E-2</v>
      </c>
    </row>
    <row r="382" spans="1:13" x14ac:dyDescent="0.3">
      <c r="A382" s="3" t="s">
        <v>269</v>
      </c>
      <c r="B382" s="3" t="s">
        <v>18</v>
      </c>
      <c r="C382" s="2">
        <v>45724</v>
      </c>
      <c r="D382" s="3" t="s">
        <v>14</v>
      </c>
      <c r="E382" s="3" t="s">
        <v>354</v>
      </c>
      <c r="F382" s="3">
        <v>5812</v>
      </c>
      <c r="G382" s="3">
        <v>934</v>
      </c>
      <c r="H382" s="3">
        <v>302</v>
      </c>
      <c r="I382" s="3">
        <v>2356</v>
      </c>
      <c r="J382" s="3">
        <v>37437</v>
      </c>
      <c r="K382" s="3">
        <v>93551</v>
      </c>
      <c r="L382" s="3" t="s">
        <v>16</v>
      </c>
      <c r="M382" s="4">
        <v>7.5338585370546551E-2</v>
      </c>
    </row>
    <row r="383" spans="1:13" x14ac:dyDescent="0.3">
      <c r="A383" s="3" t="s">
        <v>275</v>
      </c>
      <c r="B383" s="3" t="s">
        <v>13</v>
      </c>
      <c r="C383" s="2">
        <v>45910</v>
      </c>
      <c r="D383" s="3" t="s">
        <v>14</v>
      </c>
      <c r="E383" s="3" t="s">
        <v>355</v>
      </c>
      <c r="F383" s="3">
        <v>13613</v>
      </c>
      <c r="G383" s="3">
        <v>350</v>
      </c>
      <c r="H383" s="3">
        <v>809</v>
      </c>
      <c r="I383" s="3">
        <v>2013</v>
      </c>
      <c r="J383" s="3">
        <v>20471</v>
      </c>
      <c r="K383" s="3">
        <v>198038</v>
      </c>
      <c r="L383" s="3" t="s">
        <v>20</v>
      </c>
      <c r="M383" s="4">
        <v>7.4591745018632791E-2</v>
      </c>
    </row>
    <row r="384" spans="1:13" x14ac:dyDescent="0.3">
      <c r="A384" s="3" t="s">
        <v>275</v>
      </c>
      <c r="B384" s="3" t="s">
        <v>13</v>
      </c>
      <c r="C384" s="2">
        <v>45910</v>
      </c>
      <c r="D384" s="3" t="s">
        <v>14</v>
      </c>
      <c r="E384" s="3" t="s">
        <v>356</v>
      </c>
      <c r="F384" s="3">
        <v>13613</v>
      </c>
      <c r="G384" s="3">
        <v>350</v>
      </c>
      <c r="H384" s="3">
        <v>809</v>
      </c>
      <c r="I384" s="3">
        <v>2013</v>
      </c>
      <c r="J384" s="3">
        <v>20471</v>
      </c>
      <c r="K384" s="3">
        <v>198038</v>
      </c>
      <c r="L384" s="3" t="s">
        <v>20</v>
      </c>
      <c r="M384" s="4">
        <v>7.4591745018632791E-2</v>
      </c>
    </row>
    <row r="385" spans="1:13" x14ac:dyDescent="0.3">
      <c r="A385" s="3" t="s">
        <v>49</v>
      </c>
      <c r="B385" s="3" t="s">
        <v>18</v>
      </c>
      <c r="C385" s="2">
        <v>45782</v>
      </c>
      <c r="D385" s="3" t="s">
        <v>23</v>
      </c>
      <c r="E385" s="3" t="s">
        <v>359</v>
      </c>
      <c r="F385" s="3">
        <v>10415</v>
      </c>
      <c r="G385" s="3">
        <v>1388</v>
      </c>
      <c r="H385" s="3">
        <v>725</v>
      </c>
      <c r="I385" s="3">
        <v>2462</v>
      </c>
      <c r="J385" s="3">
        <v>53082</v>
      </c>
      <c r="K385" s="3">
        <v>168267</v>
      </c>
      <c r="L385" s="3" t="s">
        <v>45</v>
      </c>
      <c r="M385" s="4">
        <v>7.4453101321114656E-2</v>
      </c>
    </row>
    <row r="386" spans="1:13" x14ac:dyDescent="0.3">
      <c r="A386" s="3" t="s">
        <v>49</v>
      </c>
      <c r="B386" s="3" t="s">
        <v>18</v>
      </c>
      <c r="C386" s="2">
        <v>45782</v>
      </c>
      <c r="D386" s="3" t="s">
        <v>23</v>
      </c>
      <c r="E386" s="3" t="s">
        <v>366</v>
      </c>
      <c r="F386" s="3">
        <v>10415</v>
      </c>
      <c r="G386" s="3">
        <v>1388</v>
      </c>
      <c r="H386" s="3">
        <v>725</v>
      </c>
      <c r="I386" s="3">
        <v>2462</v>
      </c>
      <c r="J386" s="3">
        <v>53082</v>
      </c>
      <c r="K386" s="3">
        <v>168267</v>
      </c>
      <c r="L386" s="3" t="s">
        <v>45</v>
      </c>
      <c r="M386" s="4">
        <v>7.4453101321114656E-2</v>
      </c>
    </row>
    <row r="387" spans="1:13" x14ac:dyDescent="0.3">
      <c r="A387" s="3" t="s">
        <v>288</v>
      </c>
      <c r="B387" s="3" t="s">
        <v>22</v>
      </c>
      <c r="C387" s="2">
        <v>45775</v>
      </c>
      <c r="D387" s="3" t="s">
        <v>34</v>
      </c>
      <c r="E387" s="3" t="s">
        <v>359</v>
      </c>
      <c r="F387" s="3">
        <v>10659</v>
      </c>
      <c r="G387" s="3">
        <v>1342</v>
      </c>
      <c r="H387" s="3">
        <v>408</v>
      </c>
      <c r="I387" s="3">
        <v>709</v>
      </c>
      <c r="J387" s="3">
        <v>16309</v>
      </c>
      <c r="K387" s="3">
        <v>168803</v>
      </c>
      <c r="L387" s="3" t="s">
        <v>25</v>
      </c>
      <c r="M387" s="4">
        <v>7.3511726687321907E-2</v>
      </c>
    </row>
    <row r="388" spans="1:13" x14ac:dyDescent="0.3">
      <c r="A388" s="3" t="s">
        <v>288</v>
      </c>
      <c r="B388" s="3" t="s">
        <v>22</v>
      </c>
      <c r="C388" s="2">
        <v>45775</v>
      </c>
      <c r="D388" s="3" t="s">
        <v>34</v>
      </c>
      <c r="E388" s="3" t="s">
        <v>366</v>
      </c>
      <c r="F388" s="3">
        <v>10659</v>
      </c>
      <c r="G388" s="3">
        <v>1342</v>
      </c>
      <c r="H388" s="3">
        <v>408</v>
      </c>
      <c r="I388" s="3">
        <v>709</v>
      </c>
      <c r="J388" s="3">
        <v>16309</v>
      </c>
      <c r="K388" s="3">
        <v>168803</v>
      </c>
      <c r="L388" s="3" t="s">
        <v>25</v>
      </c>
      <c r="M388" s="4">
        <v>7.3511726687321907E-2</v>
      </c>
    </row>
    <row r="389" spans="1:13" x14ac:dyDescent="0.3">
      <c r="A389" s="3" t="s">
        <v>245</v>
      </c>
      <c r="B389" s="3" t="s">
        <v>40</v>
      </c>
      <c r="C389" s="2">
        <v>45735</v>
      </c>
      <c r="D389" s="3" t="s">
        <v>34</v>
      </c>
      <c r="E389" s="3" t="s">
        <v>359</v>
      </c>
      <c r="F389" s="3">
        <v>13475</v>
      </c>
      <c r="G389" s="3">
        <v>1032</v>
      </c>
      <c r="H389" s="3">
        <v>295</v>
      </c>
      <c r="I389" s="3">
        <v>541</v>
      </c>
      <c r="J389" s="3">
        <v>43666</v>
      </c>
      <c r="K389" s="3">
        <v>202396</v>
      </c>
      <c r="L389" s="3" t="s">
        <v>45</v>
      </c>
      <c r="M389" s="4">
        <v>7.3133856400324118E-2</v>
      </c>
    </row>
    <row r="390" spans="1:13" x14ac:dyDescent="0.3">
      <c r="A390" s="3" t="s">
        <v>245</v>
      </c>
      <c r="B390" s="3" t="s">
        <v>40</v>
      </c>
      <c r="C390" s="2">
        <v>45735</v>
      </c>
      <c r="D390" s="3" t="s">
        <v>34</v>
      </c>
      <c r="E390" s="3" t="s">
        <v>360</v>
      </c>
      <c r="F390" s="3">
        <v>13475</v>
      </c>
      <c r="G390" s="3">
        <v>1032</v>
      </c>
      <c r="H390" s="3">
        <v>295</v>
      </c>
      <c r="I390" s="3">
        <v>541</v>
      </c>
      <c r="J390" s="3">
        <v>43666</v>
      </c>
      <c r="K390" s="3">
        <v>202396</v>
      </c>
      <c r="L390" s="3" t="s">
        <v>45</v>
      </c>
      <c r="M390" s="4">
        <v>7.3133856400324118E-2</v>
      </c>
    </row>
    <row r="391" spans="1:13" x14ac:dyDescent="0.3">
      <c r="A391" s="3" t="s">
        <v>51</v>
      </c>
      <c r="B391" s="3" t="s">
        <v>18</v>
      </c>
      <c r="C391" s="2">
        <v>45523</v>
      </c>
      <c r="D391" s="3" t="s">
        <v>14</v>
      </c>
      <c r="E391" s="3" t="s">
        <v>363</v>
      </c>
      <c r="F391" s="3">
        <v>15550</v>
      </c>
      <c r="G391" s="3">
        <v>204</v>
      </c>
      <c r="H391" s="3">
        <v>279</v>
      </c>
      <c r="I391" s="3">
        <v>1646</v>
      </c>
      <c r="J391" s="3">
        <v>35819</v>
      </c>
      <c r="K391" s="3">
        <v>219436</v>
      </c>
      <c r="L391" s="3" t="s">
        <v>16</v>
      </c>
      <c r="M391" s="4">
        <v>7.306458375107093E-2</v>
      </c>
    </row>
    <row r="392" spans="1:13" x14ac:dyDescent="0.3">
      <c r="A392" s="3" t="s">
        <v>51</v>
      </c>
      <c r="B392" s="3" t="s">
        <v>18</v>
      </c>
      <c r="C392" s="2">
        <v>45523</v>
      </c>
      <c r="D392" s="3" t="s">
        <v>14</v>
      </c>
      <c r="E392" s="3" t="s">
        <v>364</v>
      </c>
      <c r="F392" s="3">
        <v>15550</v>
      </c>
      <c r="G392" s="3">
        <v>204</v>
      </c>
      <c r="H392" s="3">
        <v>279</v>
      </c>
      <c r="I392" s="3">
        <v>1646</v>
      </c>
      <c r="J392" s="3">
        <v>35819</v>
      </c>
      <c r="K392" s="3">
        <v>219436</v>
      </c>
      <c r="L392" s="3" t="s">
        <v>16</v>
      </c>
      <c r="M392" s="4">
        <v>7.306458375107093E-2</v>
      </c>
    </row>
    <row r="393" spans="1:13" x14ac:dyDescent="0.3">
      <c r="A393" s="3" t="s">
        <v>265</v>
      </c>
      <c r="B393" s="3" t="s">
        <v>22</v>
      </c>
      <c r="C393" s="2">
        <v>45476</v>
      </c>
      <c r="D393" s="3" t="s">
        <v>27</v>
      </c>
      <c r="E393" s="3" t="s">
        <v>355</v>
      </c>
      <c r="F393" s="3">
        <v>12167</v>
      </c>
      <c r="G393" s="3">
        <v>364</v>
      </c>
      <c r="H393" s="3">
        <v>160</v>
      </c>
      <c r="I393" s="3">
        <v>616</v>
      </c>
      <c r="J393" s="3">
        <v>42228</v>
      </c>
      <c r="K393" s="3">
        <v>175832</v>
      </c>
      <c r="L393" s="3" t="s">
        <v>25</v>
      </c>
      <c r="M393" s="4">
        <v>7.2176850630146963E-2</v>
      </c>
    </row>
    <row r="394" spans="1:13" x14ac:dyDescent="0.3">
      <c r="A394" s="3" t="s">
        <v>265</v>
      </c>
      <c r="B394" s="3" t="s">
        <v>22</v>
      </c>
      <c r="C394" s="2">
        <v>45476</v>
      </c>
      <c r="D394" s="3" t="s">
        <v>27</v>
      </c>
      <c r="E394" s="3" t="s">
        <v>356</v>
      </c>
      <c r="F394" s="3">
        <v>12167</v>
      </c>
      <c r="G394" s="3">
        <v>364</v>
      </c>
      <c r="H394" s="3">
        <v>160</v>
      </c>
      <c r="I394" s="3">
        <v>616</v>
      </c>
      <c r="J394" s="3">
        <v>42228</v>
      </c>
      <c r="K394" s="3">
        <v>175832</v>
      </c>
      <c r="L394" s="3" t="s">
        <v>25</v>
      </c>
      <c r="M394" s="4">
        <v>7.2176850630146963E-2</v>
      </c>
    </row>
    <row r="395" spans="1:13" x14ac:dyDescent="0.3">
      <c r="A395" s="3" t="s">
        <v>125</v>
      </c>
      <c r="B395" s="3" t="s">
        <v>18</v>
      </c>
      <c r="C395" s="2">
        <v>45923</v>
      </c>
      <c r="D395" s="3" t="s">
        <v>14</v>
      </c>
      <c r="E395" s="3" t="s">
        <v>368</v>
      </c>
      <c r="F395" s="3">
        <v>10017</v>
      </c>
      <c r="G395" s="3">
        <v>1357</v>
      </c>
      <c r="H395" s="3">
        <v>966</v>
      </c>
      <c r="I395" s="3">
        <v>2871</v>
      </c>
      <c r="J395" s="3">
        <v>14800</v>
      </c>
      <c r="K395" s="3">
        <v>171691</v>
      </c>
      <c r="L395" s="3" t="s">
        <v>20</v>
      </c>
      <c r="M395" s="4">
        <v>7.1873307278774071E-2</v>
      </c>
    </row>
    <row r="396" spans="1:13" x14ac:dyDescent="0.3">
      <c r="A396" s="3" t="s">
        <v>125</v>
      </c>
      <c r="B396" s="3" t="s">
        <v>18</v>
      </c>
      <c r="C396" s="2">
        <v>45923</v>
      </c>
      <c r="D396" s="3" t="s">
        <v>14</v>
      </c>
      <c r="E396" s="3" t="s">
        <v>369</v>
      </c>
      <c r="F396" s="3">
        <v>10017</v>
      </c>
      <c r="G396" s="3">
        <v>1357</v>
      </c>
      <c r="H396" s="3">
        <v>966</v>
      </c>
      <c r="I396" s="3">
        <v>2871</v>
      </c>
      <c r="J396" s="3">
        <v>14800</v>
      </c>
      <c r="K396" s="3">
        <v>171691</v>
      </c>
      <c r="L396" s="3" t="s">
        <v>20</v>
      </c>
      <c r="M396" s="4">
        <v>7.1873307278774071E-2</v>
      </c>
    </row>
    <row r="397" spans="1:13" x14ac:dyDescent="0.3">
      <c r="A397" s="3" t="s">
        <v>213</v>
      </c>
      <c r="B397" s="3" t="s">
        <v>13</v>
      </c>
      <c r="C397" s="2">
        <v>45483</v>
      </c>
      <c r="D397" s="3" t="s">
        <v>14</v>
      </c>
      <c r="E397" s="3" t="s">
        <v>367</v>
      </c>
      <c r="F397" s="3">
        <v>8809</v>
      </c>
      <c r="G397" s="3">
        <v>1151</v>
      </c>
      <c r="H397" s="3">
        <v>908</v>
      </c>
      <c r="I397" s="3">
        <v>883</v>
      </c>
      <c r="J397" s="3">
        <v>42921</v>
      </c>
      <c r="K397" s="3">
        <v>151279</v>
      </c>
      <c r="L397" s="3" t="s">
        <v>45</v>
      </c>
      <c r="M397" s="4">
        <v>7.1840771025720687E-2</v>
      </c>
    </row>
    <row r="398" spans="1:13" x14ac:dyDescent="0.3">
      <c r="A398" s="3" t="s">
        <v>213</v>
      </c>
      <c r="B398" s="3" t="s">
        <v>13</v>
      </c>
      <c r="C398" s="2">
        <v>45483</v>
      </c>
      <c r="D398" s="3" t="s">
        <v>14</v>
      </c>
      <c r="E398" s="3" t="s">
        <v>32</v>
      </c>
      <c r="F398" s="3">
        <v>8809</v>
      </c>
      <c r="G398" s="3">
        <v>1151</v>
      </c>
      <c r="H398" s="3">
        <v>908</v>
      </c>
      <c r="I398" s="3">
        <v>883</v>
      </c>
      <c r="J398" s="3">
        <v>42921</v>
      </c>
      <c r="K398" s="3">
        <v>151279</v>
      </c>
      <c r="L398" s="3" t="s">
        <v>45</v>
      </c>
      <c r="M398" s="4">
        <v>7.1840771025720687E-2</v>
      </c>
    </row>
    <row r="399" spans="1:13" x14ac:dyDescent="0.3">
      <c r="A399" s="3" t="s">
        <v>228</v>
      </c>
      <c r="B399" s="3" t="s">
        <v>13</v>
      </c>
      <c r="C399" s="2">
        <v>45945</v>
      </c>
      <c r="D399" s="3" t="s">
        <v>14</v>
      </c>
      <c r="E399" s="3" t="s">
        <v>363</v>
      </c>
      <c r="F399" s="3">
        <v>8882</v>
      </c>
      <c r="G399" s="3">
        <v>701</v>
      </c>
      <c r="H399" s="3">
        <v>421</v>
      </c>
      <c r="I399" s="3">
        <v>2343</v>
      </c>
      <c r="J399" s="3">
        <v>13588</v>
      </c>
      <c r="K399" s="3">
        <v>139304</v>
      </c>
      <c r="L399" s="3" t="s">
        <v>20</v>
      </c>
      <c r="M399" s="4">
        <v>7.1814161833113191E-2</v>
      </c>
    </row>
    <row r="400" spans="1:13" x14ac:dyDescent="0.3">
      <c r="A400" s="3" t="s">
        <v>228</v>
      </c>
      <c r="B400" s="3" t="s">
        <v>13</v>
      </c>
      <c r="C400" s="2">
        <v>45945</v>
      </c>
      <c r="D400" s="3" t="s">
        <v>14</v>
      </c>
      <c r="E400" s="3" t="s">
        <v>364</v>
      </c>
      <c r="F400" s="3">
        <v>8882</v>
      </c>
      <c r="G400" s="3">
        <v>701</v>
      </c>
      <c r="H400" s="3">
        <v>421</v>
      </c>
      <c r="I400" s="3">
        <v>2343</v>
      </c>
      <c r="J400" s="3">
        <v>13588</v>
      </c>
      <c r="K400" s="3">
        <v>139304</v>
      </c>
      <c r="L400" s="3" t="s">
        <v>20</v>
      </c>
      <c r="M400" s="4">
        <v>7.1814161833113191E-2</v>
      </c>
    </row>
    <row r="401" spans="1:13" x14ac:dyDescent="0.3">
      <c r="A401" s="3" t="s">
        <v>151</v>
      </c>
      <c r="B401" s="3" t="s">
        <v>13</v>
      </c>
      <c r="C401" s="2">
        <v>45930</v>
      </c>
      <c r="D401" s="3" t="s">
        <v>23</v>
      </c>
      <c r="E401" s="3" t="s">
        <v>353</v>
      </c>
      <c r="F401" s="3">
        <v>8269</v>
      </c>
      <c r="G401" s="3">
        <v>250</v>
      </c>
      <c r="H401" s="3">
        <v>638</v>
      </c>
      <c r="I401" s="3">
        <v>815</v>
      </c>
      <c r="J401" s="3">
        <v>41991</v>
      </c>
      <c r="K401" s="3">
        <v>129393</v>
      </c>
      <c r="L401" s="3" t="s">
        <v>20</v>
      </c>
      <c r="M401" s="4">
        <v>7.0768897853825175E-2</v>
      </c>
    </row>
    <row r="402" spans="1:13" x14ac:dyDescent="0.3">
      <c r="A402" s="3" t="s">
        <v>151</v>
      </c>
      <c r="B402" s="3" t="s">
        <v>13</v>
      </c>
      <c r="C402" s="2">
        <v>45930</v>
      </c>
      <c r="D402" s="3" t="s">
        <v>23</v>
      </c>
      <c r="E402" s="3" t="s">
        <v>354</v>
      </c>
      <c r="F402" s="3">
        <v>8269</v>
      </c>
      <c r="G402" s="3">
        <v>250</v>
      </c>
      <c r="H402" s="3">
        <v>638</v>
      </c>
      <c r="I402" s="3">
        <v>815</v>
      </c>
      <c r="J402" s="3">
        <v>41991</v>
      </c>
      <c r="K402" s="3">
        <v>129393</v>
      </c>
      <c r="L402" s="3" t="s">
        <v>20</v>
      </c>
      <c r="M402" s="4">
        <v>7.0768897853825175E-2</v>
      </c>
    </row>
    <row r="403" spans="1:13" x14ac:dyDescent="0.3">
      <c r="A403" s="3" t="s">
        <v>293</v>
      </c>
      <c r="B403" s="3" t="s">
        <v>13</v>
      </c>
      <c r="C403" s="2">
        <v>45753</v>
      </c>
      <c r="D403" s="3" t="s">
        <v>34</v>
      </c>
      <c r="E403" s="3" t="s">
        <v>359</v>
      </c>
      <c r="F403" s="3">
        <v>15917</v>
      </c>
      <c r="G403" s="3">
        <v>1479</v>
      </c>
      <c r="H403" s="3">
        <v>196</v>
      </c>
      <c r="I403" s="3">
        <v>313</v>
      </c>
      <c r="J403" s="3">
        <v>48524</v>
      </c>
      <c r="K403" s="3">
        <v>249684</v>
      </c>
      <c r="L403" s="3" t="s">
        <v>29</v>
      </c>
      <c r="M403" s="4">
        <v>7.0457057720959296E-2</v>
      </c>
    </row>
    <row r="404" spans="1:13" x14ac:dyDescent="0.3">
      <c r="A404" s="3" t="s">
        <v>293</v>
      </c>
      <c r="B404" s="3" t="s">
        <v>13</v>
      </c>
      <c r="C404" s="2">
        <v>45753</v>
      </c>
      <c r="D404" s="3" t="s">
        <v>34</v>
      </c>
      <c r="E404" s="3" t="s">
        <v>366</v>
      </c>
      <c r="F404" s="3">
        <v>15917</v>
      </c>
      <c r="G404" s="3">
        <v>1479</v>
      </c>
      <c r="H404" s="3">
        <v>196</v>
      </c>
      <c r="I404" s="3">
        <v>313</v>
      </c>
      <c r="J404" s="3">
        <v>48524</v>
      </c>
      <c r="K404" s="3">
        <v>249684</v>
      </c>
      <c r="L404" s="3" t="s">
        <v>29</v>
      </c>
      <c r="M404" s="4">
        <v>7.0457057720959296E-2</v>
      </c>
    </row>
    <row r="405" spans="1:13" x14ac:dyDescent="0.3">
      <c r="A405" s="3" t="s">
        <v>327</v>
      </c>
      <c r="B405" s="3" t="s">
        <v>22</v>
      </c>
      <c r="C405" s="2">
        <v>45602</v>
      </c>
      <c r="D405" s="3" t="s">
        <v>14</v>
      </c>
      <c r="E405" s="3" t="s">
        <v>361</v>
      </c>
      <c r="F405" s="3">
        <v>11865</v>
      </c>
      <c r="G405" s="3">
        <v>241</v>
      </c>
      <c r="H405" s="3">
        <v>319</v>
      </c>
      <c r="I405" s="3">
        <v>703</v>
      </c>
      <c r="J405" s="3">
        <v>69596</v>
      </c>
      <c r="K405" s="3">
        <v>177513</v>
      </c>
      <c r="L405" s="3" t="s">
        <v>29</v>
      </c>
      <c r="M405" s="4">
        <v>6.999487361489018E-2</v>
      </c>
    </row>
    <row r="406" spans="1:13" x14ac:dyDescent="0.3">
      <c r="A406" s="3" t="s">
        <v>327</v>
      </c>
      <c r="B406" s="3" t="s">
        <v>22</v>
      </c>
      <c r="C406" s="2">
        <v>45602</v>
      </c>
      <c r="D406" s="3" t="s">
        <v>14</v>
      </c>
      <c r="E406" s="3" t="s">
        <v>362</v>
      </c>
      <c r="F406" s="3">
        <v>11865</v>
      </c>
      <c r="G406" s="3">
        <v>241</v>
      </c>
      <c r="H406" s="3">
        <v>319</v>
      </c>
      <c r="I406" s="3">
        <v>703</v>
      </c>
      <c r="J406" s="3">
        <v>69596</v>
      </c>
      <c r="K406" s="3">
        <v>177513</v>
      </c>
      <c r="L406" s="3" t="s">
        <v>29</v>
      </c>
      <c r="M406" s="4">
        <v>6.999487361489018E-2</v>
      </c>
    </row>
    <row r="407" spans="1:13" x14ac:dyDescent="0.3">
      <c r="A407" s="3" t="s">
        <v>335</v>
      </c>
      <c r="B407" s="3" t="s">
        <v>22</v>
      </c>
      <c r="C407" s="2">
        <v>45925</v>
      </c>
      <c r="D407" s="3" t="s">
        <v>34</v>
      </c>
      <c r="E407" s="3" t="s">
        <v>367</v>
      </c>
      <c r="F407" s="3">
        <v>12568</v>
      </c>
      <c r="G407" s="3">
        <v>541</v>
      </c>
      <c r="H407" s="3">
        <v>273</v>
      </c>
      <c r="I407" s="3">
        <v>2767</v>
      </c>
      <c r="J407" s="3">
        <v>22331</v>
      </c>
      <c r="K407" s="3">
        <v>192747</v>
      </c>
      <c r="L407" s="3" t="s">
        <v>20</v>
      </c>
      <c r="M407" s="4">
        <v>6.9427799135654514E-2</v>
      </c>
    </row>
    <row r="408" spans="1:13" x14ac:dyDescent="0.3">
      <c r="A408" s="3" t="s">
        <v>335</v>
      </c>
      <c r="B408" s="3" t="s">
        <v>22</v>
      </c>
      <c r="C408" s="2">
        <v>45925</v>
      </c>
      <c r="D408" s="3" t="s">
        <v>34</v>
      </c>
      <c r="E408" s="3" t="s">
        <v>32</v>
      </c>
      <c r="F408" s="3">
        <v>12568</v>
      </c>
      <c r="G408" s="3">
        <v>541</v>
      </c>
      <c r="H408" s="3">
        <v>273</v>
      </c>
      <c r="I408" s="3">
        <v>2767</v>
      </c>
      <c r="J408" s="3">
        <v>22331</v>
      </c>
      <c r="K408" s="3">
        <v>192747</v>
      </c>
      <c r="L408" s="3" t="s">
        <v>20</v>
      </c>
      <c r="M408" s="4">
        <v>6.9427799135654514E-2</v>
      </c>
    </row>
    <row r="409" spans="1:13" x14ac:dyDescent="0.3">
      <c r="A409" s="3" t="s">
        <v>80</v>
      </c>
      <c r="B409" s="3" t="s">
        <v>18</v>
      </c>
      <c r="C409" s="2">
        <v>45917</v>
      </c>
      <c r="D409" s="3" t="s">
        <v>23</v>
      </c>
      <c r="E409" s="3" t="s">
        <v>361</v>
      </c>
      <c r="F409" s="3">
        <v>15456</v>
      </c>
      <c r="G409" s="3">
        <v>590</v>
      </c>
      <c r="H409" s="3">
        <v>555</v>
      </c>
      <c r="I409" s="3">
        <v>2882</v>
      </c>
      <c r="J409" s="3">
        <v>49816</v>
      </c>
      <c r="K409" s="3">
        <v>240422</v>
      </c>
      <c r="L409" s="3" t="s">
        <v>20</v>
      </c>
      <c r="M409" s="4">
        <v>6.9049421433978589E-2</v>
      </c>
    </row>
    <row r="410" spans="1:13" x14ac:dyDescent="0.3">
      <c r="A410" s="3" t="s">
        <v>80</v>
      </c>
      <c r="B410" s="3" t="s">
        <v>18</v>
      </c>
      <c r="C410" s="2">
        <v>45917</v>
      </c>
      <c r="D410" s="3" t="s">
        <v>23</v>
      </c>
      <c r="E410" s="3" t="s">
        <v>362</v>
      </c>
      <c r="F410" s="3">
        <v>15456</v>
      </c>
      <c r="G410" s="3">
        <v>590</v>
      </c>
      <c r="H410" s="3">
        <v>555</v>
      </c>
      <c r="I410" s="3">
        <v>2882</v>
      </c>
      <c r="J410" s="3">
        <v>49816</v>
      </c>
      <c r="K410" s="3">
        <v>240422</v>
      </c>
      <c r="L410" s="3" t="s">
        <v>20</v>
      </c>
      <c r="M410" s="4">
        <v>6.9049421433978589E-2</v>
      </c>
    </row>
    <row r="411" spans="1:13" x14ac:dyDescent="0.3">
      <c r="A411" s="3" t="s">
        <v>72</v>
      </c>
      <c r="B411" s="3" t="s">
        <v>18</v>
      </c>
      <c r="C411" s="2">
        <v>45663</v>
      </c>
      <c r="D411" s="3" t="s">
        <v>14</v>
      </c>
      <c r="E411" s="3" t="s">
        <v>357</v>
      </c>
      <c r="F411" s="3">
        <v>11860</v>
      </c>
      <c r="G411" s="3">
        <v>1448</v>
      </c>
      <c r="H411" s="3">
        <v>893</v>
      </c>
      <c r="I411" s="3">
        <v>490</v>
      </c>
      <c r="J411" s="3">
        <v>23518</v>
      </c>
      <c r="K411" s="3">
        <v>206205</v>
      </c>
      <c r="L411" s="3" t="s">
        <v>16</v>
      </c>
      <c r="M411" s="4">
        <v>6.8868359157149436E-2</v>
      </c>
    </row>
    <row r="412" spans="1:13" x14ac:dyDescent="0.3">
      <c r="A412" s="3" t="s">
        <v>72</v>
      </c>
      <c r="B412" s="3" t="s">
        <v>18</v>
      </c>
      <c r="C412" s="2">
        <v>45663</v>
      </c>
      <c r="D412" s="3" t="s">
        <v>14</v>
      </c>
      <c r="E412" s="3" t="s">
        <v>358</v>
      </c>
      <c r="F412" s="3">
        <v>11860</v>
      </c>
      <c r="G412" s="3">
        <v>1448</v>
      </c>
      <c r="H412" s="3">
        <v>893</v>
      </c>
      <c r="I412" s="3">
        <v>490</v>
      </c>
      <c r="J412" s="3">
        <v>23518</v>
      </c>
      <c r="K412" s="3">
        <v>206205</v>
      </c>
      <c r="L412" s="3" t="s">
        <v>16</v>
      </c>
      <c r="M412" s="4">
        <v>6.8868359157149436E-2</v>
      </c>
    </row>
    <row r="413" spans="1:13" x14ac:dyDescent="0.3">
      <c r="A413" s="3" t="s">
        <v>198</v>
      </c>
      <c r="B413" s="3" t="s">
        <v>22</v>
      </c>
      <c r="C413" s="2">
        <v>45748</v>
      </c>
      <c r="D413" s="3" t="s">
        <v>14</v>
      </c>
      <c r="E413" s="3" t="s">
        <v>361</v>
      </c>
      <c r="F413" s="3">
        <v>6432</v>
      </c>
      <c r="G413" s="3">
        <v>1272</v>
      </c>
      <c r="H413" s="3">
        <v>498</v>
      </c>
      <c r="I413" s="3">
        <v>677</v>
      </c>
      <c r="J413" s="3">
        <v>47305</v>
      </c>
      <c r="K413" s="3">
        <v>119134</v>
      </c>
      <c r="L413" s="3" t="s">
        <v>16</v>
      </c>
      <c r="M413" s="4">
        <v>6.8846844729464299E-2</v>
      </c>
    </row>
    <row r="414" spans="1:13" x14ac:dyDescent="0.3">
      <c r="A414" s="3" t="s">
        <v>198</v>
      </c>
      <c r="B414" s="3" t="s">
        <v>22</v>
      </c>
      <c r="C414" s="2">
        <v>45748</v>
      </c>
      <c r="D414" s="3" t="s">
        <v>14</v>
      </c>
      <c r="E414" s="3" t="s">
        <v>362</v>
      </c>
      <c r="F414" s="3">
        <v>6432</v>
      </c>
      <c r="G414" s="3">
        <v>1272</v>
      </c>
      <c r="H414" s="3">
        <v>498</v>
      </c>
      <c r="I414" s="3">
        <v>677</v>
      </c>
      <c r="J414" s="3">
        <v>47305</v>
      </c>
      <c r="K414" s="3">
        <v>119134</v>
      </c>
      <c r="L414" s="3" t="s">
        <v>16</v>
      </c>
      <c r="M414" s="4">
        <v>6.8846844729464299E-2</v>
      </c>
    </row>
    <row r="415" spans="1:13" x14ac:dyDescent="0.3">
      <c r="A415" s="3" t="s">
        <v>315</v>
      </c>
      <c r="B415" s="3" t="s">
        <v>22</v>
      </c>
      <c r="C415" s="2">
        <v>45537</v>
      </c>
      <c r="D415" s="3" t="s">
        <v>27</v>
      </c>
      <c r="E415" s="3" t="s">
        <v>359</v>
      </c>
      <c r="F415" s="3">
        <v>11765</v>
      </c>
      <c r="G415" s="3">
        <v>693</v>
      </c>
      <c r="H415" s="3">
        <v>729</v>
      </c>
      <c r="I415" s="3">
        <v>744</v>
      </c>
      <c r="J415" s="3">
        <v>97772</v>
      </c>
      <c r="K415" s="3">
        <v>194243</v>
      </c>
      <c r="L415" s="3" t="s">
        <v>16</v>
      </c>
      <c r="M415" s="4">
        <v>6.7889190344053579E-2</v>
      </c>
    </row>
    <row r="416" spans="1:13" x14ac:dyDescent="0.3">
      <c r="A416" s="3" t="s">
        <v>315</v>
      </c>
      <c r="B416" s="3" t="s">
        <v>22</v>
      </c>
      <c r="C416" s="2">
        <v>45537</v>
      </c>
      <c r="D416" s="3" t="s">
        <v>27</v>
      </c>
      <c r="E416" s="3" t="s">
        <v>360</v>
      </c>
      <c r="F416" s="3">
        <v>11765</v>
      </c>
      <c r="G416" s="3">
        <v>693</v>
      </c>
      <c r="H416" s="3">
        <v>729</v>
      </c>
      <c r="I416" s="3">
        <v>744</v>
      </c>
      <c r="J416" s="3">
        <v>97772</v>
      </c>
      <c r="K416" s="3">
        <v>194243</v>
      </c>
      <c r="L416" s="3" t="s">
        <v>16</v>
      </c>
      <c r="M416" s="4">
        <v>6.7889190344053579E-2</v>
      </c>
    </row>
    <row r="417" spans="1:13" x14ac:dyDescent="0.3">
      <c r="A417" s="3" t="s">
        <v>277</v>
      </c>
      <c r="B417" s="3" t="s">
        <v>40</v>
      </c>
      <c r="C417" s="2">
        <v>45675</v>
      </c>
      <c r="D417" s="3" t="s">
        <v>23</v>
      </c>
      <c r="E417" s="3" t="s">
        <v>367</v>
      </c>
      <c r="F417" s="3">
        <v>12589</v>
      </c>
      <c r="G417" s="3">
        <v>346</v>
      </c>
      <c r="H417" s="3">
        <v>459</v>
      </c>
      <c r="I417" s="3">
        <v>1407</v>
      </c>
      <c r="J417" s="3">
        <v>29254</v>
      </c>
      <c r="K417" s="3">
        <v>198059</v>
      </c>
      <c r="L417" s="3" t="s">
        <v>25</v>
      </c>
      <c r="M417" s="4">
        <v>6.7626313371268162E-2</v>
      </c>
    </row>
    <row r="418" spans="1:13" x14ac:dyDescent="0.3">
      <c r="A418" s="3" t="s">
        <v>277</v>
      </c>
      <c r="B418" s="3" t="s">
        <v>40</v>
      </c>
      <c r="C418" s="2">
        <v>45675</v>
      </c>
      <c r="D418" s="3" t="s">
        <v>23</v>
      </c>
      <c r="E418" s="3" t="s">
        <v>32</v>
      </c>
      <c r="F418" s="3">
        <v>12589</v>
      </c>
      <c r="G418" s="3">
        <v>346</v>
      </c>
      <c r="H418" s="3">
        <v>459</v>
      </c>
      <c r="I418" s="3">
        <v>1407</v>
      </c>
      <c r="J418" s="3">
        <v>29254</v>
      </c>
      <c r="K418" s="3">
        <v>198059</v>
      </c>
      <c r="L418" s="3" t="s">
        <v>25</v>
      </c>
      <c r="M418" s="4">
        <v>6.7626313371268162E-2</v>
      </c>
    </row>
    <row r="419" spans="1:13" x14ac:dyDescent="0.3">
      <c r="A419" s="3" t="s">
        <v>147</v>
      </c>
      <c r="B419" s="3" t="s">
        <v>18</v>
      </c>
      <c r="C419" s="2">
        <v>45619</v>
      </c>
      <c r="D419" s="3" t="s">
        <v>23</v>
      </c>
      <c r="E419" s="3" t="s">
        <v>32</v>
      </c>
      <c r="F419" s="3">
        <v>9941</v>
      </c>
      <c r="G419" s="3">
        <v>1329</v>
      </c>
      <c r="H419" s="3">
        <v>238</v>
      </c>
      <c r="I419" s="3">
        <v>869</v>
      </c>
      <c r="J419" s="3">
        <v>40281</v>
      </c>
      <c r="K419" s="3">
        <v>172311</v>
      </c>
      <c r="L419" s="3" t="s">
        <v>25</v>
      </c>
      <c r="M419" s="4">
        <v>6.6786217943137702E-2</v>
      </c>
    </row>
    <row r="420" spans="1:13" x14ac:dyDescent="0.3">
      <c r="A420" s="3" t="s">
        <v>135</v>
      </c>
      <c r="B420" s="3" t="s">
        <v>40</v>
      </c>
      <c r="C420" s="2">
        <v>45475</v>
      </c>
      <c r="D420" s="3" t="s">
        <v>34</v>
      </c>
      <c r="E420" s="3" t="s">
        <v>361</v>
      </c>
      <c r="F420" s="3">
        <v>12320</v>
      </c>
      <c r="G420" s="3">
        <v>1157</v>
      </c>
      <c r="H420" s="3">
        <v>365</v>
      </c>
      <c r="I420" s="3">
        <v>584</v>
      </c>
      <c r="J420" s="3">
        <v>66634</v>
      </c>
      <c r="K420" s="3">
        <v>210102</v>
      </c>
      <c r="L420" s="3" t="s">
        <v>29</v>
      </c>
      <c r="M420" s="4">
        <v>6.5882285746922925E-2</v>
      </c>
    </row>
    <row r="421" spans="1:13" x14ac:dyDescent="0.3">
      <c r="A421" s="3" t="s">
        <v>135</v>
      </c>
      <c r="B421" s="3" t="s">
        <v>40</v>
      </c>
      <c r="C421" s="2">
        <v>45475</v>
      </c>
      <c r="D421" s="3" t="s">
        <v>34</v>
      </c>
      <c r="E421" s="3" t="s">
        <v>362</v>
      </c>
      <c r="F421" s="3">
        <v>12320</v>
      </c>
      <c r="G421" s="3">
        <v>1157</v>
      </c>
      <c r="H421" s="3">
        <v>365</v>
      </c>
      <c r="I421" s="3">
        <v>584</v>
      </c>
      <c r="J421" s="3">
        <v>66634</v>
      </c>
      <c r="K421" s="3">
        <v>210102</v>
      </c>
      <c r="L421" s="3" t="s">
        <v>29</v>
      </c>
      <c r="M421" s="4">
        <v>6.5882285746922925E-2</v>
      </c>
    </row>
    <row r="422" spans="1:13" x14ac:dyDescent="0.3">
      <c r="A422" s="3" t="s">
        <v>258</v>
      </c>
      <c r="B422" s="3" t="s">
        <v>13</v>
      </c>
      <c r="C422" s="2">
        <v>45573</v>
      </c>
      <c r="D422" s="3" t="s">
        <v>23</v>
      </c>
      <c r="E422" s="3" t="s">
        <v>64</v>
      </c>
      <c r="F422" s="3">
        <v>8738</v>
      </c>
      <c r="G422" s="3">
        <v>295</v>
      </c>
      <c r="H422" s="3">
        <v>529</v>
      </c>
      <c r="I422" s="3">
        <v>442</v>
      </c>
      <c r="J422" s="3">
        <v>25286</v>
      </c>
      <c r="K422" s="3">
        <v>147522</v>
      </c>
      <c r="L422" s="3" t="s">
        <v>29</v>
      </c>
      <c r="M422" s="4">
        <v>6.4817450956467515E-2</v>
      </c>
    </row>
    <row r="423" spans="1:13" x14ac:dyDescent="0.3">
      <c r="A423" s="3" t="s">
        <v>89</v>
      </c>
      <c r="B423" s="3" t="s">
        <v>18</v>
      </c>
      <c r="C423" s="2">
        <v>45729</v>
      </c>
      <c r="D423" s="3" t="s">
        <v>34</v>
      </c>
      <c r="E423" s="3" t="s">
        <v>357</v>
      </c>
      <c r="F423" s="3">
        <v>6544</v>
      </c>
      <c r="G423" s="3">
        <v>749</v>
      </c>
      <c r="H423" s="3">
        <v>888</v>
      </c>
      <c r="I423" s="3">
        <v>594</v>
      </c>
      <c r="J423" s="3">
        <v>18171</v>
      </c>
      <c r="K423" s="3">
        <v>126475</v>
      </c>
      <c r="L423" s="3" t="s">
        <v>25</v>
      </c>
      <c r="M423" s="4">
        <v>6.4684720300454635E-2</v>
      </c>
    </row>
    <row r="424" spans="1:13" x14ac:dyDescent="0.3">
      <c r="A424" s="3" t="s">
        <v>89</v>
      </c>
      <c r="B424" s="3" t="s">
        <v>18</v>
      </c>
      <c r="C424" s="2">
        <v>45729</v>
      </c>
      <c r="D424" s="3" t="s">
        <v>34</v>
      </c>
      <c r="E424" s="3" t="s">
        <v>358</v>
      </c>
      <c r="F424" s="3">
        <v>6544</v>
      </c>
      <c r="G424" s="3">
        <v>749</v>
      </c>
      <c r="H424" s="3">
        <v>888</v>
      </c>
      <c r="I424" s="3">
        <v>594</v>
      </c>
      <c r="J424" s="3">
        <v>18171</v>
      </c>
      <c r="K424" s="3">
        <v>126475</v>
      </c>
      <c r="L424" s="3" t="s">
        <v>25</v>
      </c>
      <c r="M424" s="4">
        <v>6.4684720300454635E-2</v>
      </c>
    </row>
    <row r="425" spans="1:13" x14ac:dyDescent="0.3">
      <c r="A425" s="3" t="s">
        <v>254</v>
      </c>
      <c r="B425" s="3" t="s">
        <v>22</v>
      </c>
      <c r="C425" s="2">
        <v>45454</v>
      </c>
      <c r="D425" s="3" t="s">
        <v>27</v>
      </c>
      <c r="E425" s="3" t="s">
        <v>64</v>
      </c>
      <c r="F425" s="3">
        <v>14910</v>
      </c>
      <c r="G425" s="3">
        <v>778</v>
      </c>
      <c r="H425" s="3">
        <v>289</v>
      </c>
      <c r="I425" s="3">
        <v>2541</v>
      </c>
      <c r="J425" s="3">
        <v>14309</v>
      </c>
      <c r="K425" s="3">
        <v>247815</v>
      </c>
      <c r="L425" s="3" t="s">
        <v>25</v>
      </c>
      <c r="M425" s="4">
        <v>6.4471480741682297E-2</v>
      </c>
    </row>
    <row r="426" spans="1:13" x14ac:dyDescent="0.3">
      <c r="A426" s="3" t="s">
        <v>190</v>
      </c>
      <c r="B426" s="3" t="s">
        <v>13</v>
      </c>
      <c r="C426" s="2">
        <v>45574</v>
      </c>
      <c r="D426" s="3" t="s">
        <v>27</v>
      </c>
      <c r="E426" s="3" t="s">
        <v>365</v>
      </c>
      <c r="F426" s="3">
        <v>7240</v>
      </c>
      <c r="G426" s="3">
        <v>1384</v>
      </c>
      <c r="H426" s="3">
        <v>954</v>
      </c>
      <c r="I426" s="3">
        <v>2335</v>
      </c>
      <c r="J426" s="3">
        <v>6757</v>
      </c>
      <c r="K426" s="3">
        <v>150448</v>
      </c>
      <c r="L426" s="3" t="s">
        <v>25</v>
      </c>
      <c r="M426" s="4">
        <v>6.3663192598106988E-2</v>
      </c>
    </row>
    <row r="427" spans="1:13" x14ac:dyDescent="0.3">
      <c r="A427" s="3" t="s">
        <v>190</v>
      </c>
      <c r="B427" s="3" t="s">
        <v>13</v>
      </c>
      <c r="C427" s="2">
        <v>45574</v>
      </c>
      <c r="D427" s="3" t="s">
        <v>27</v>
      </c>
      <c r="E427" s="3" t="s">
        <v>359</v>
      </c>
      <c r="F427" s="3">
        <v>7240</v>
      </c>
      <c r="G427" s="3">
        <v>1384</v>
      </c>
      <c r="H427" s="3">
        <v>954</v>
      </c>
      <c r="I427" s="3">
        <v>2335</v>
      </c>
      <c r="J427" s="3">
        <v>6757</v>
      </c>
      <c r="K427" s="3">
        <v>150448</v>
      </c>
      <c r="L427" s="3" t="s">
        <v>25</v>
      </c>
      <c r="M427" s="4">
        <v>6.3663192598106988E-2</v>
      </c>
    </row>
    <row r="428" spans="1:13" x14ac:dyDescent="0.3">
      <c r="A428" s="3" t="s">
        <v>246</v>
      </c>
      <c r="B428" s="3" t="s">
        <v>22</v>
      </c>
      <c r="C428" s="2">
        <v>45707</v>
      </c>
      <c r="D428" s="3" t="s">
        <v>27</v>
      </c>
      <c r="E428" s="3" t="s">
        <v>365</v>
      </c>
      <c r="F428" s="3">
        <v>8168</v>
      </c>
      <c r="G428" s="3">
        <v>512</v>
      </c>
      <c r="H428" s="3">
        <v>442</v>
      </c>
      <c r="I428" s="3">
        <v>2343</v>
      </c>
      <c r="J428" s="3">
        <v>2753</v>
      </c>
      <c r="K428" s="3">
        <v>143896</v>
      </c>
      <c r="L428" s="3" t="s">
        <v>45</v>
      </c>
      <c r="M428" s="4">
        <v>6.3393006059932172E-2</v>
      </c>
    </row>
    <row r="429" spans="1:13" x14ac:dyDescent="0.3">
      <c r="A429" s="3" t="s">
        <v>246</v>
      </c>
      <c r="B429" s="3" t="s">
        <v>22</v>
      </c>
      <c r="C429" s="2">
        <v>45707</v>
      </c>
      <c r="D429" s="3" t="s">
        <v>27</v>
      </c>
      <c r="E429" s="3" t="s">
        <v>359</v>
      </c>
      <c r="F429" s="3">
        <v>8168</v>
      </c>
      <c r="G429" s="3">
        <v>512</v>
      </c>
      <c r="H429" s="3">
        <v>442</v>
      </c>
      <c r="I429" s="3">
        <v>2343</v>
      </c>
      <c r="J429" s="3">
        <v>2753</v>
      </c>
      <c r="K429" s="3">
        <v>143896</v>
      </c>
      <c r="L429" s="3" t="s">
        <v>45</v>
      </c>
      <c r="M429" s="4">
        <v>6.3393006059932172E-2</v>
      </c>
    </row>
    <row r="430" spans="1:13" x14ac:dyDescent="0.3">
      <c r="A430" s="3" t="s">
        <v>185</v>
      </c>
      <c r="B430" s="3" t="s">
        <v>22</v>
      </c>
      <c r="C430" s="2">
        <v>45459</v>
      </c>
      <c r="D430" s="3" t="s">
        <v>23</v>
      </c>
      <c r="E430" s="3" t="s">
        <v>353</v>
      </c>
      <c r="F430" s="3">
        <v>12160</v>
      </c>
      <c r="G430" s="3">
        <v>1405</v>
      </c>
      <c r="H430" s="3">
        <v>769</v>
      </c>
      <c r="I430" s="3">
        <v>1980</v>
      </c>
      <c r="J430" s="3">
        <v>33174</v>
      </c>
      <c r="K430" s="3">
        <v>226481</v>
      </c>
      <c r="L430" s="3" t="s">
        <v>16</v>
      </c>
      <c r="M430" s="4">
        <v>6.329007731332871E-2</v>
      </c>
    </row>
    <row r="431" spans="1:13" x14ac:dyDescent="0.3">
      <c r="A431" s="3" t="s">
        <v>185</v>
      </c>
      <c r="B431" s="3" t="s">
        <v>22</v>
      </c>
      <c r="C431" s="2">
        <v>45459</v>
      </c>
      <c r="D431" s="3" t="s">
        <v>23</v>
      </c>
      <c r="E431" s="3" t="s">
        <v>354</v>
      </c>
      <c r="F431" s="3">
        <v>12160</v>
      </c>
      <c r="G431" s="3">
        <v>1405</v>
      </c>
      <c r="H431" s="3">
        <v>769</v>
      </c>
      <c r="I431" s="3">
        <v>1980</v>
      </c>
      <c r="J431" s="3">
        <v>33174</v>
      </c>
      <c r="K431" s="3">
        <v>226481</v>
      </c>
      <c r="L431" s="3" t="s">
        <v>16</v>
      </c>
      <c r="M431" s="4">
        <v>6.329007731332871E-2</v>
      </c>
    </row>
    <row r="432" spans="1:13" x14ac:dyDescent="0.3">
      <c r="A432" s="3" t="s">
        <v>331</v>
      </c>
      <c r="B432" s="3" t="s">
        <v>40</v>
      </c>
      <c r="C432" s="2">
        <v>45783</v>
      </c>
      <c r="D432" s="3" t="s">
        <v>34</v>
      </c>
      <c r="E432" s="3" t="s">
        <v>353</v>
      </c>
      <c r="F432" s="3">
        <v>7287</v>
      </c>
      <c r="G432" s="3">
        <v>1240</v>
      </c>
      <c r="H432" s="3">
        <v>686</v>
      </c>
      <c r="I432" s="3">
        <v>1255</v>
      </c>
      <c r="J432" s="3">
        <v>15403</v>
      </c>
      <c r="K432" s="3">
        <v>147971</v>
      </c>
      <c r="L432" s="3" t="s">
        <v>16</v>
      </c>
      <c r="M432" s="4">
        <v>6.2262200025680704E-2</v>
      </c>
    </row>
    <row r="433" spans="1:13" x14ac:dyDescent="0.3">
      <c r="A433" s="3" t="s">
        <v>331</v>
      </c>
      <c r="B433" s="3" t="s">
        <v>40</v>
      </c>
      <c r="C433" s="2">
        <v>45783</v>
      </c>
      <c r="D433" s="3" t="s">
        <v>34</v>
      </c>
      <c r="E433" s="3" t="s">
        <v>354</v>
      </c>
      <c r="F433" s="3">
        <v>7287</v>
      </c>
      <c r="G433" s="3">
        <v>1240</v>
      </c>
      <c r="H433" s="3">
        <v>686</v>
      </c>
      <c r="I433" s="3">
        <v>1255</v>
      </c>
      <c r="J433" s="3">
        <v>15403</v>
      </c>
      <c r="K433" s="3">
        <v>147971</v>
      </c>
      <c r="L433" s="3" t="s">
        <v>16</v>
      </c>
      <c r="M433" s="4">
        <v>6.2262200025680704E-2</v>
      </c>
    </row>
    <row r="434" spans="1:13" x14ac:dyDescent="0.3">
      <c r="A434" s="3" t="s">
        <v>121</v>
      </c>
      <c r="B434" s="3" t="s">
        <v>13</v>
      </c>
      <c r="C434" s="2">
        <v>45766</v>
      </c>
      <c r="D434" s="3" t="s">
        <v>14</v>
      </c>
      <c r="E434" s="3" t="s">
        <v>361</v>
      </c>
      <c r="F434" s="3">
        <v>8881</v>
      </c>
      <c r="G434" s="3">
        <v>210</v>
      </c>
      <c r="H434" s="3">
        <v>673</v>
      </c>
      <c r="I434" s="3">
        <v>1565</v>
      </c>
      <c r="J434" s="3">
        <v>24847</v>
      </c>
      <c r="K434" s="3">
        <v>156891</v>
      </c>
      <c r="L434" s="3" t="s">
        <v>25</v>
      </c>
      <c r="M434" s="4">
        <v>6.223429004850501E-2</v>
      </c>
    </row>
    <row r="435" spans="1:13" x14ac:dyDescent="0.3">
      <c r="A435" s="3" t="s">
        <v>121</v>
      </c>
      <c r="B435" s="3" t="s">
        <v>13</v>
      </c>
      <c r="C435" s="2">
        <v>45766</v>
      </c>
      <c r="D435" s="3" t="s">
        <v>14</v>
      </c>
      <c r="E435" s="3" t="s">
        <v>362</v>
      </c>
      <c r="F435" s="3">
        <v>8881</v>
      </c>
      <c r="G435" s="3">
        <v>210</v>
      </c>
      <c r="H435" s="3">
        <v>673</v>
      </c>
      <c r="I435" s="3">
        <v>1565</v>
      </c>
      <c r="J435" s="3">
        <v>24847</v>
      </c>
      <c r="K435" s="3">
        <v>156891</v>
      </c>
      <c r="L435" s="3" t="s">
        <v>25</v>
      </c>
      <c r="M435" s="4">
        <v>6.223429004850501E-2</v>
      </c>
    </row>
    <row r="436" spans="1:13" x14ac:dyDescent="0.3">
      <c r="A436" s="3" t="s">
        <v>192</v>
      </c>
      <c r="B436" s="3" t="s">
        <v>40</v>
      </c>
      <c r="C436" s="2">
        <v>45587</v>
      </c>
      <c r="D436" s="3" t="s">
        <v>23</v>
      </c>
      <c r="E436" s="3" t="s">
        <v>361</v>
      </c>
      <c r="F436" s="3">
        <v>12478</v>
      </c>
      <c r="G436" s="3">
        <v>484</v>
      </c>
      <c r="H436" s="3">
        <v>332</v>
      </c>
      <c r="I436" s="3">
        <v>2734</v>
      </c>
      <c r="J436" s="3">
        <v>43338</v>
      </c>
      <c r="K436" s="3">
        <v>213895</v>
      </c>
      <c r="L436" s="3" t="s">
        <v>29</v>
      </c>
      <c r="M436" s="4">
        <v>6.2151990462610156E-2</v>
      </c>
    </row>
    <row r="437" spans="1:13" x14ac:dyDescent="0.3">
      <c r="A437" s="3" t="s">
        <v>192</v>
      </c>
      <c r="B437" s="3" t="s">
        <v>40</v>
      </c>
      <c r="C437" s="2">
        <v>45587</v>
      </c>
      <c r="D437" s="3" t="s">
        <v>23</v>
      </c>
      <c r="E437" s="3" t="s">
        <v>362</v>
      </c>
      <c r="F437" s="3">
        <v>12478</v>
      </c>
      <c r="G437" s="3">
        <v>484</v>
      </c>
      <c r="H437" s="3">
        <v>332</v>
      </c>
      <c r="I437" s="3">
        <v>2734</v>
      </c>
      <c r="J437" s="3">
        <v>43338</v>
      </c>
      <c r="K437" s="3">
        <v>213895</v>
      </c>
      <c r="L437" s="3" t="s">
        <v>29</v>
      </c>
      <c r="M437" s="4">
        <v>6.2151990462610156E-2</v>
      </c>
    </row>
    <row r="438" spans="1:13" x14ac:dyDescent="0.3">
      <c r="A438" s="3" t="s">
        <v>306</v>
      </c>
      <c r="B438" s="3" t="s">
        <v>13</v>
      </c>
      <c r="C438" s="2">
        <v>45672</v>
      </c>
      <c r="D438" s="3" t="s">
        <v>23</v>
      </c>
      <c r="E438" s="3" t="s">
        <v>355</v>
      </c>
      <c r="F438" s="3">
        <v>11333</v>
      </c>
      <c r="G438" s="3">
        <v>920</v>
      </c>
      <c r="H438" s="3">
        <v>294</v>
      </c>
      <c r="I438" s="3">
        <v>606</v>
      </c>
      <c r="J438" s="3">
        <v>59490</v>
      </c>
      <c r="K438" s="3">
        <v>202082</v>
      </c>
      <c r="L438" s="3" t="s">
        <v>25</v>
      </c>
      <c r="M438" s="4">
        <v>6.2088657079799291E-2</v>
      </c>
    </row>
    <row r="439" spans="1:13" x14ac:dyDescent="0.3">
      <c r="A439" s="3" t="s">
        <v>306</v>
      </c>
      <c r="B439" s="3" t="s">
        <v>13</v>
      </c>
      <c r="C439" s="2">
        <v>45672</v>
      </c>
      <c r="D439" s="3" t="s">
        <v>23</v>
      </c>
      <c r="E439" s="3" t="s">
        <v>356</v>
      </c>
      <c r="F439" s="3">
        <v>11333</v>
      </c>
      <c r="G439" s="3">
        <v>920</v>
      </c>
      <c r="H439" s="3">
        <v>294</v>
      </c>
      <c r="I439" s="3">
        <v>606</v>
      </c>
      <c r="J439" s="3">
        <v>59490</v>
      </c>
      <c r="K439" s="3">
        <v>202082</v>
      </c>
      <c r="L439" s="3" t="s">
        <v>25</v>
      </c>
      <c r="M439" s="4">
        <v>6.2088657079799291E-2</v>
      </c>
    </row>
    <row r="440" spans="1:13" x14ac:dyDescent="0.3">
      <c r="A440" s="3" t="s">
        <v>205</v>
      </c>
      <c r="B440" s="3" t="s">
        <v>13</v>
      </c>
      <c r="C440" s="2">
        <v>45629</v>
      </c>
      <c r="D440" s="3" t="s">
        <v>14</v>
      </c>
      <c r="E440" s="3" t="s">
        <v>361</v>
      </c>
      <c r="F440" s="3">
        <v>2055</v>
      </c>
      <c r="G440" s="3">
        <v>675</v>
      </c>
      <c r="H440" s="3">
        <v>257</v>
      </c>
      <c r="I440" s="3">
        <v>820</v>
      </c>
      <c r="J440" s="3">
        <v>33534</v>
      </c>
      <c r="K440" s="3">
        <v>48125</v>
      </c>
      <c r="L440" s="3" t="s">
        <v>16</v>
      </c>
      <c r="M440" s="4">
        <v>6.2067532467532466E-2</v>
      </c>
    </row>
    <row r="441" spans="1:13" x14ac:dyDescent="0.3">
      <c r="A441" s="3" t="s">
        <v>205</v>
      </c>
      <c r="B441" s="3" t="s">
        <v>13</v>
      </c>
      <c r="C441" s="2">
        <v>45629</v>
      </c>
      <c r="D441" s="3" t="s">
        <v>14</v>
      </c>
      <c r="E441" s="3" t="s">
        <v>362</v>
      </c>
      <c r="F441" s="3">
        <v>2055</v>
      </c>
      <c r="G441" s="3">
        <v>675</v>
      </c>
      <c r="H441" s="3">
        <v>257</v>
      </c>
      <c r="I441" s="3">
        <v>820</v>
      </c>
      <c r="J441" s="3">
        <v>33534</v>
      </c>
      <c r="K441" s="3">
        <v>48125</v>
      </c>
      <c r="L441" s="3" t="s">
        <v>16</v>
      </c>
      <c r="M441" s="4">
        <v>6.2067532467532466E-2</v>
      </c>
    </row>
    <row r="442" spans="1:13" x14ac:dyDescent="0.3">
      <c r="A442" s="3" t="s">
        <v>117</v>
      </c>
      <c r="B442" s="3" t="s">
        <v>13</v>
      </c>
      <c r="C442" s="2">
        <v>45584</v>
      </c>
      <c r="D442" s="3" t="s">
        <v>34</v>
      </c>
      <c r="E442" s="3" t="s">
        <v>359</v>
      </c>
      <c r="F442" s="3">
        <v>6673</v>
      </c>
      <c r="G442" s="3">
        <v>826</v>
      </c>
      <c r="H442" s="3">
        <v>321</v>
      </c>
      <c r="I442" s="3">
        <v>577</v>
      </c>
      <c r="J442" s="3">
        <v>19262</v>
      </c>
      <c r="K442" s="3">
        <v>132324</v>
      </c>
      <c r="L442" s="3" t="s">
        <v>45</v>
      </c>
      <c r="M442" s="4">
        <v>5.9097367068710133E-2</v>
      </c>
    </row>
    <row r="443" spans="1:13" x14ac:dyDescent="0.3">
      <c r="A443" s="3" t="s">
        <v>117</v>
      </c>
      <c r="B443" s="3" t="s">
        <v>13</v>
      </c>
      <c r="C443" s="2">
        <v>45584</v>
      </c>
      <c r="D443" s="3" t="s">
        <v>34</v>
      </c>
      <c r="E443" s="3" t="s">
        <v>360</v>
      </c>
      <c r="F443" s="3">
        <v>6673</v>
      </c>
      <c r="G443" s="3">
        <v>826</v>
      </c>
      <c r="H443" s="3">
        <v>321</v>
      </c>
      <c r="I443" s="3">
        <v>577</v>
      </c>
      <c r="J443" s="3">
        <v>19262</v>
      </c>
      <c r="K443" s="3">
        <v>132324</v>
      </c>
      <c r="L443" s="3" t="s">
        <v>45</v>
      </c>
      <c r="M443" s="4">
        <v>5.9097367068710133E-2</v>
      </c>
    </row>
    <row r="444" spans="1:13" x14ac:dyDescent="0.3">
      <c r="A444" s="3" t="s">
        <v>83</v>
      </c>
      <c r="B444" s="3" t="s">
        <v>13</v>
      </c>
      <c r="C444" s="2">
        <v>45727</v>
      </c>
      <c r="D444" s="3" t="s">
        <v>34</v>
      </c>
      <c r="E444" s="3" t="s">
        <v>353</v>
      </c>
      <c r="F444" s="3">
        <v>7997</v>
      </c>
      <c r="G444" s="3">
        <v>1238</v>
      </c>
      <c r="H444" s="3">
        <v>438</v>
      </c>
      <c r="I444" s="3">
        <v>1874</v>
      </c>
      <c r="J444" s="3">
        <v>36272</v>
      </c>
      <c r="K444" s="3">
        <v>165818</v>
      </c>
      <c r="L444" s="3" t="s">
        <v>45</v>
      </c>
      <c r="M444" s="4">
        <v>5.8335042034037318E-2</v>
      </c>
    </row>
    <row r="445" spans="1:13" x14ac:dyDescent="0.3">
      <c r="A445" s="3" t="s">
        <v>83</v>
      </c>
      <c r="B445" s="3" t="s">
        <v>13</v>
      </c>
      <c r="C445" s="2">
        <v>45727</v>
      </c>
      <c r="D445" s="3" t="s">
        <v>34</v>
      </c>
      <c r="E445" s="3" t="s">
        <v>354</v>
      </c>
      <c r="F445" s="3">
        <v>7997</v>
      </c>
      <c r="G445" s="3">
        <v>1238</v>
      </c>
      <c r="H445" s="3">
        <v>438</v>
      </c>
      <c r="I445" s="3">
        <v>1874</v>
      </c>
      <c r="J445" s="3">
        <v>36272</v>
      </c>
      <c r="K445" s="3">
        <v>165818</v>
      </c>
      <c r="L445" s="3" t="s">
        <v>45</v>
      </c>
      <c r="M445" s="4">
        <v>5.8335042034037318E-2</v>
      </c>
    </row>
    <row r="446" spans="1:13" x14ac:dyDescent="0.3">
      <c r="A446" s="3" t="s">
        <v>47</v>
      </c>
      <c r="B446" s="3" t="s">
        <v>18</v>
      </c>
      <c r="C446" s="2">
        <v>45907</v>
      </c>
      <c r="D446" s="3" t="s">
        <v>23</v>
      </c>
      <c r="E446" s="3" t="s">
        <v>357</v>
      </c>
      <c r="F446" s="3">
        <v>3015</v>
      </c>
      <c r="G446" s="3">
        <v>997</v>
      </c>
      <c r="H446" s="3">
        <v>783</v>
      </c>
      <c r="I446" s="3">
        <v>617</v>
      </c>
      <c r="J446" s="3">
        <v>77167</v>
      </c>
      <c r="K446" s="3">
        <v>82229</v>
      </c>
      <c r="L446" s="3" t="s">
        <v>20</v>
      </c>
      <c r="M446" s="4">
        <v>5.8312760704860814E-2</v>
      </c>
    </row>
    <row r="447" spans="1:13" x14ac:dyDescent="0.3">
      <c r="A447" s="3" t="s">
        <v>47</v>
      </c>
      <c r="B447" s="3" t="s">
        <v>18</v>
      </c>
      <c r="C447" s="2">
        <v>45907</v>
      </c>
      <c r="D447" s="3" t="s">
        <v>23</v>
      </c>
      <c r="E447" s="3" t="s">
        <v>358</v>
      </c>
      <c r="F447" s="3">
        <v>3015</v>
      </c>
      <c r="G447" s="3">
        <v>997</v>
      </c>
      <c r="H447" s="3">
        <v>783</v>
      </c>
      <c r="I447" s="3">
        <v>617</v>
      </c>
      <c r="J447" s="3">
        <v>77167</v>
      </c>
      <c r="K447" s="3">
        <v>82229</v>
      </c>
      <c r="L447" s="3" t="s">
        <v>20</v>
      </c>
      <c r="M447" s="4">
        <v>5.8312760704860814E-2</v>
      </c>
    </row>
    <row r="448" spans="1:13" x14ac:dyDescent="0.3">
      <c r="A448" s="3" t="s">
        <v>324</v>
      </c>
      <c r="B448" s="3" t="s">
        <v>22</v>
      </c>
      <c r="C448" s="2">
        <v>45764</v>
      </c>
      <c r="D448" s="3" t="s">
        <v>23</v>
      </c>
      <c r="E448" s="3" t="s">
        <v>363</v>
      </c>
      <c r="F448" s="3">
        <v>2009</v>
      </c>
      <c r="G448" s="3">
        <v>1037</v>
      </c>
      <c r="H448" s="3">
        <v>344</v>
      </c>
      <c r="I448" s="3">
        <v>2277</v>
      </c>
      <c r="J448" s="3">
        <v>85743</v>
      </c>
      <c r="K448" s="3">
        <v>58743</v>
      </c>
      <c r="L448" s="3" t="s">
        <v>29</v>
      </c>
      <c r="M448" s="4">
        <v>5.7709003625963942E-2</v>
      </c>
    </row>
    <row r="449" spans="1:13" x14ac:dyDescent="0.3">
      <c r="A449" s="3" t="s">
        <v>324</v>
      </c>
      <c r="B449" s="3" t="s">
        <v>22</v>
      </c>
      <c r="C449" s="2">
        <v>45764</v>
      </c>
      <c r="D449" s="3" t="s">
        <v>23</v>
      </c>
      <c r="E449" s="3" t="s">
        <v>364</v>
      </c>
      <c r="F449" s="3">
        <v>2009</v>
      </c>
      <c r="G449" s="3">
        <v>1037</v>
      </c>
      <c r="H449" s="3">
        <v>344</v>
      </c>
      <c r="I449" s="3">
        <v>2277</v>
      </c>
      <c r="J449" s="3">
        <v>85743</v>
      </c>
      <c r="K449" s="3">
        <v>58743</v>
      </c>
      <c r="L449" s="3" t="s">
        <v>29</v>
      </c>
      <c r="M449" s="4">
        <v>5.7709003625963942E-2</v>
      </c>
    </row>
    <row r="450" spans="1:13" x14ac:dyDescent="0.3">
      <c r="A450" s="3" t="s">
        <v>67</v>
      </c>
      <c r="B450" s="3" t="s">
        <v>22</v>
      </c>
      <c r="C450" s="2">
        <v>45504</v>
      </c>
      <c r="D450" s="3" t="s">
        <v>14</v>
      </c>
      <c r="E450" s="3" t="s">
        <v>359</v>
      </c>
      <c r="F450" s="3">
        <v>2404</v>
      </c>
      <c r="G450" s="3">
        <v>774</v>
      </c>
      <c r="H450" s="3">
        <v>661</v>
      </c>
      <c r="I450" s="3">
        <v>662</v>
      </c>
      <c r="J450" s="3">
        <v>12676</v>
      </c>
      <c r="K450" s="3">
        <v>66916</v>
      </c>
      <c r="L450" s="3" t="s">
        <v>16</v>
      </c>
      <c r="M450" s="4">
        <v>5.7370434574690654E-2</v>
      </c>
    </row>
    <row r="451" spans="1:13" x14ac:dyDescent="0.3">
      <c r="A451" s="3" t="s">
        <v>67</v>
      </c>
      <c r="B451" s="3" t="s">
        <v>22</v>
      </c>
      <c r="C451" s="2">
        <v>45504</v>
      </c>
      <c r="D451" s="3" t="s">
        <v>14</v>
      </c>
      <c r="E451" s="3" t="s">
        <v>366</v>
      </c>
      <c r="F451" s="3">
        <v>2404</v>
      </c>
      <c r="G451" s="3">
        <v>774</v>
      </c>
      <c r="H451" s="3">
        <v>661</v>
      </c>
      <c r="I451" s="3">
        <v>662</v>
      </c>
      <c r="J451" s="3">
        <v>12676</v>
      </c>
      <c r="K451" s="3">
        <v>66916</v>
      </c>
      <c r="L451" s="3" t="s">
        <v>16</v>
      </c>
      <c r="M451" s="4">
        <v>5.7370434574690654E-2</v>
      </c>
    </row>
    <row r="452" spans="1:13" x14ac:dyDescent="0.3">
      <c r="A452" s="3" t="s">
        <v>169</v>
      </c>
      <c r="B452" s="3" t="s">
        <v>22</v>
      </c>
      <c r="C452" s="2">
        <v>45694</v>
      </c>
      <c r="D452" s="3" t="s">
        <v>14</v>
      </c>
      <c r="E452" s="3" t="s">
        <v>353</v>
      </c>
      <c r="F452" s="3">
        <v>2666</v>
      </c>
      <c r="G452" s="3">
        <v>1136</v>
      </c>
      <c r="H452" s="3">
        <v>989</v>
      </c>
      <c r="I452" s="3">
        <v>1710</v>
      </c>
      <c r="J452" s="3">
        <v>36467</v>
      </c>
      <c r="K452" s="3">
        <v>83753</v>
      </c>
      <c r="L452" s="3" t="s">
        <v>25</v>
      </c>
      <c r="M452" s="4">
        <v>5.7203921053574198E-2</v>
      </c>
    </row>
    <row r="453" spans="1:13" x14ac:dyDescent="0.3">
      <c r="A453" s="3" t="s">
        <v>169</v>
      </c>
      <c r="B453" s="3" t="s">
        <v>22</v>
      </c>
      <c r="C453" s="2">
        <v>45694</v>
      </c>
      <c r="D453" s="3" t="s">
        <v>14</v>
      </c>
      <c r="E453" s="3" t="s">
        <v>354</v>
      </c>
      <c r="F453" s="3">
        <v>2666</v>
      </c>
      <c r="G453" s="3">
        <v>1136</v>
      </c>
      <c r="H453" s="3">
        <v>989</v>
      </c>
      <c r="I453" s="3">
        <v>1710</v>
      </c>
      <c r="J453" s="3">
        <v>36467</v>
      </c>
      <c r="K453" s="3">
        <v>83753</v>
      </c>
      <c r="L453" s="3" t="s">
        <v>25</v>
      </c>
      <c r="M453" s="4">
        <v>5.7203921053574198E-2</v>
      </c>
    </row>
    <row r="454" spans="1:13" x14ac:dyDescent="0.3">
      <c r="A454" s="3" t="s">
        <v>62</v>
      </c>
      <c r="B454" s="3" t="s">
        <v>40</v>
      </c>
      <c r="C454" s="2">
        <v>45720</v>
      </c>
      <c r="D454" s="3" t="s">
        <v>23</v>
      </c>
      <c r="E454" s="3" t="s">
        <v>32</v>
      </c>
      <c r="F454" s="3">
        <v>12344</v>
      </c>
      <c r="G454" s="3">
        <v>815</v>
      </c>
      <c r="H454" s="3">
        <v>298</v>
      </c>
      <c r="I454" s="3">
        <v>2439</v>
      </c>
      <c r="J454" s="3">
        <v>6259</v>
      </c>
      <c r="K454" s="3">
        <v>237133</v>
      </c>
      <c r="L454" s="3" t="s">
        <v>29</v>
      </c>
      <c r="M454" s="4">
        <v>5.6748744375519224E-2</v>
      </c>
    </row>
    <row r="455" spans="1:13" x14ac:dyDescent="0.3">
      <c r="A455" s="3" t="s">
        <v>132</v>
      </c>
      <c r="B455" s="3" t="s">
        <v>40</v>
      </c>
      <c r="C455" s="2">
        <v>45545</v>
      </c>
      <c r="D455" s="3" t="s">
        <v>34</v>
      </c>
      <c r="E455" s="3" t="s">
        <v>363</v>
      </c>
      <c r="F455" s="3">
        <v>6637</v>
      </c>
      <c r="G455" s="3">
        <v>595</v>
      </c>
      <c r="H455" s="3">
        <v>161</v>
      </c>
      <c r="I455" s="3">
        <v>2653</v>
      </c>
      <c r="J455" s="3">
        <v>19334</v>
      </c>
      <c r="K455" s="3">
        <v>131155</v>
      </c>
      <c r="L455" s="3" t="s">
        <v>25</v>
      </c>
      <c r="M455" s="4">
        <v>5.6368419046166747E-2</v>
      </c>
    </row>
    <row r="456" spans="1:13" x14ac:dyDescent="0.3">
      <c r="A456" s="3" t="s">
        <v>132</v>
      </c>
      <c r="B456" s="3" t="s">
        <v>40</v>
      </c>
      <c r="C456" s="2">
        <v>45545</v>
      </c>
      <c r="D456" s="3" t="s">
        <v>34</v>
      </c>
      <c r="E456" s="3" t="s">
        <v>364</v>
      </c>
      <c r="F456" s="3">
        <v>6637</v>
      </c>
      <c r="G456" s="3">
        <v>595</v>
      </c>
      <c r="H456" s="3">
        <v>161</v>
      </c>
      <c r="I456" s="3">
        <v>2653</v>
      </c>
      <c r="J456" s="3">
        <v>19334</v>
      </c>
      <c r="K456" s="3">
        <v>131155</v>
      </c>
      <c r="L456" s="3" t="s">
        <v>25</v>
      </c>
      <c r="M456" s="4">
        <v>5.6368419046166747E-2</v>
      </c>
    </row>
    <row r="457" spans="1:13" x14ac:dyDescent="0.3">
      <c r="A457" s="3" t="s">
        <v>123</v>
      </c>
      <c r="B457" s="3" t="s">
        <v>40</v>
      </c>
      <c r="C457" s="2">
        <v>45449</v>
      </c>
      <c r="D457" s="3" t="s">
        <v>23</v>
      </c>
      <c r="E457" s="3" t="s">
        <v>365</v>
      </c>
      <c r="F457" s="3">
        <v>11521</v>
      </c>
      <c r="G457" s="3">
        <v>1071</v>
      </c>
      <c r="H457" s="3">
        <v>762</v>
      </c>
      <c r="I457" s="3">
        <v>2539</v>
      </c>
      <c r="J457" s="3">
        <v>12701</v>
      </c>
      <c r="K457" s="3">
        <v>238350</v>
      </c>
      <c r="L457" s="3" t="s">
        <v>25</v>
      </c>
      <c r="M457" s="4">
        <v>5.6026851269142017E-2</v>
      </c>
    </row>
    <row r="458" spans="1:13" x14ac:dyDescent="0.3">
      <c r="A458" s="3" t="s">
        <v>123</v>
      </c>
      <c r="B458" s="3" t="s">
        <v>40</v>
      </c>
      <c r="C458" s="2">
        <v>45449</v>
      </c>
      <c r="D458" s="3" t="s">
        <v>23</v>
      </c>
      <c r="E458" s="3" t="s">
        <v>359</v>
      </c>
      <c r="F458" s="3">
        <v>11521</v>
      </c>
      <c r="G458" s="3">
        <v>1071</v>
      </c>
      <c r="H458" s="3">
        <v>762</v>
      </c>
      <c r="I458" s="3">
        <v>2539</v>
      </c>
      <c r="J458" s="3">
        <v>12701</v>
      </c>
      <c r="K458" s="3">
        <v>238350</v>
      </c>
      <c r="L458" s="3" t="s">
        <v>25</v>
      </c>
      <c r="M458" s="4">
        <v>5.6026851269142017E-2</v>
      </c>
    </row>
    <row r="459" spans="1:13" x14ac:dyDescent="0.3">
      <c r="A459" s="3" t="s">
        <v>84</v>
      </c>
      <c r="B459" s="3" t="s">
        <v>40</v>
      </c>
      <c r="C459" s="2">
        <v>45918</v>
      </c>
      <c r="D459" s="3" t="s">
        <v>34</v>
      </c>
      <c r="E459" s="3" t="s">
        <v>359</v>
      </c>
      <c r="F459" s="3">
        <v>4048</v>
      </c>
      <c r="G459" s="3">
        <v>677</v>
      </c>
      <c r="H459" s="3">
        <v>911</v>
      </c>
      <c r="I459" s="3">
        <v>2429</v>
      </c>
      <c r="J459" s="3">
        <v>27361</v>
      </c>
      <c r="K459" s="3">
        <v>101272</v>
      </c>
      <c r="L459" s="3" t="s">
        <v>20</v>
      </c>
      <c r="M459" s="4">
        <v>5.5652105221581483E-2</v>
      </c>
    </row>
    <row r="460" spans="1:13" x14ac:dyDescent="0.3">
      <c r="A460" s="3" t="s">
        <v>84</v>
      </c>
      <c r="B460" s="3" t="s">
        <v>40</v>
      </c>
      <c r="C460" s="2">
        <v>45918</v>
      </c>
      <c r="D460" s="3" t="s">
        <v>34</v>
      </c>
      <c r="E460" s="3" t="s">
        <v>366</v>
      </c>
      <c r="F460" s="3">
        <v>4048</v>
      </c>
      <c r="G460" s="3">
        <v>677</v>
      </c>
      <c r="H460" s="3">
        <v>911</v>
      </c>
      <c r="I460" s="3">
        <v>2429</v>
      </c>
      <c r="J460" s="3">
        <v>27361</v>
      </c>
      <c r="K460" s="3">
        <v>101272</v>
      </c>
      <c r="L460" s="3" t="s">
        <v>20</v>
      </c>
      <c r="M460" s="4">
        <v>5.5652105221581483E-2</v>
      </c>
    </row>
    <row r="461" spans="1:13" x14ac:dyDescent="0.3">
      <c r="A461" s="3" t="s">
        <v>53</v>
      </c>
      <c r="B461" s="3" t="s">
        <v>13</v>
      </c>
      <c r="C461" s="2">
        <v>45544</v>
      </c>
      <c r="D461" s="3" t="s">
        <v>27</v>
      </c>
      <c r="E461" s="3" t="s">
        <v>357</v>
      </c>
      <c r="F461" s="3">
        <v>6158</v>
      </c>
      <c r="G461" s="3">
        <v>277</v>
      </c>
      <c r="H461" s="3">
        <v>512</v>
      </c>
      <c r="I461" s="3">
        <v>2189</v>
      </c>
      <c r="J461" s="3">
        <v>76881</v>
      </c>
      <c r="K461" s="3">
        <v>124878</v>
      </c>
      <c r="L461" s="3" t="s">
        <v>29</v>
      </c>
      <c r="M461" s="4">
        <v>5.563029516808405E-2</v>
      </c>
    </row>
    <row r="462" spans="1:13" x14ac:dyDescent="0.3">
      <c r="A462" s="3" t="s">
        <v>53</v>
      </c>
      <c r="B462" s="3" t="s">
        <v>13</v>
      </c>
      <c r="C462" s="2">
        <v>45544</v>
      </c>
      <c r="D462" s="3" t="s">
        <v>27</v>
      </c>
      <c r="E462" s="3" t="s">
        <v>358</v>
      </c>
      <c r="F462" s="3">
        <v>6158</v>
      </c>
      <c r="G462" s="3">
        <v>277</v>
      </c>
      <c r="H462" s="3">
        <v>512</v>
      </c>
      <c r="I462" s="3">
        <v>2189</v>
      </c>
      <c r="J462" s="3">
        <v>76881</v>
      </c>
      <c r="K462" s="3">
        <v>124878</v>
      </c>
      <c r="L462" s="3" t="s">
        <v>29</v>
      </c>
      <c r="M462" s="4">
        <v>5.563029516808405E-2</v>
      </c>
    </row>
    <row r="463" spans="1:13" x14ac:dyDescent="0.3">
      <c r="A463" s="3" t="s">
        <v>138</v>
      </c>
      <c r="B463" s="3" t="s">
        <v>40</v>
      </c>
      <c r="C463" s="2">
        <v>45926</v>
      </c>
      <c r="D463" s="3" t="s">
        <v>34</v>
      </c>
      <c r="E463" s="3" t="s">
        <v>32</v>
      </c>
      <c r="F463" s="3">
        <v>9043</v>
      </c>
      <c r="G463" s="3">
        <v>1192</v>
      </c>
      <c r="H463" s="3">
        <v>810</v>
      </c>
      <c r="I463" s="3">
        <v>1550</v>
      </c>
      <c r="J463" s="3">
        <v>5221</v>
      </c>
      <c r="K463" s="3">
        <v>199476</v>
      </c>
      <c r="L463" s="3" t="s">
        <v>20</v>
      </c>
      <c r="M463" s="4">
        <v>5.5370069582305642E-2</v>
      </c>
    </row>
    <row r="464" spans="1:13" x14ac:dyDescent="0.3">
      <c r="A464" s="3" t="s">
        <v>104</v>
      </c>
      <c r="B464" s="3" t="s">
        <v>18</v>
      </c>
      <c r="C464" s="2">
        <v>45724</v>
      </c>
      <c r="D464" s="3" t="s">
        <v>23</v>
      </c>
      <c r="E464" s="3" t="s">
        <v>363</v>
      </c>
      <c r="F464" s="3">
        <v>10580</v>
      </c>
      <c r="G464" s="3">
        <v>427</v>
      </c>
      <c r="H464" s="3">
        <v>790</v>
      </c>
      <c r="I464" s="3">
        <v>2814</v>
      </c>
      <c r="J464" s="3">
        <v>24916</v>
      </c>
      <c r="K464" s="3">
        <v>213312</v>
      </c>
      <c r="L464" s="3" t="s">
        <v>45</v>
      </c>
      <c r="M464" s="4">
        <v>5.530396789678968E-2</v>
      </c>
    </row>
    <row r="465" spans="1:13" x14ac:dyDescent="0.3">
      <c r="A465" s="3" t="s">
        <v>104</v>
      </c>
      <c r="B465" s="3" t="s">
        <v>18</v>
      </c>
      <c r="C465" s="2">
        <v>45724</v>
      </c>
      <c r="D465" s="3" t="s">
        <v>23</v>
      </c>
      <c r="E465" s="3" t="s">
        <v>364</v>
      </c>
      <c r="F465" s="3">
        <v>10580</v>
      </c>
      <c r="G465" s="3">
        <v>427</v>
      </c>
      <c r="H465" s="3">
        <v>790</v>
      </c>
      <c r="I465" s="3">
        <v>2814</v>
      </c>
      <c r="J465" s="3">
        <v>24916</v>
      </c>
      <c r="K465" s="3">
        <v>213312</v>
      </c>
      <c r="L465" s="3" t="s">
        <v>45</v>
      </c>
      <c r="M465" s="4">
        <v>5.530396789678968E-2</v>
      </c>
    </row>
    <row r="466" spans="1:13" x14ac:dyDescent="0.3">
      <c r="A466" s="3" t="s">
        <v>156</v>
      </c>
      <c r="B466" s="3" t="s">
        <v>22</v>
      </c>
      <c r="C466" s="2">
        <v>45586</v>
      </c>
      <c r="D466" s="3" t="s">
        <v>27</v>
      </c>
      <c r="E466" s="3" t="s">
        <v>359</v>
      </c>
      <c r="F466" s="3">
        <v>8254</v>
      </c>
      <c r="G466" s="3">
        <v>1405</v>
      </c>
      <c r="H466" s="3">
        <v>165</v>
      </c>
      <c r="I466" s="3">
        <v>2504</v>
      </c>
      <c r="J466" s="3">
        <v>8081</v>
      </c>
      <c r="K466" s="3">
        <v>177710</v>
      </c>
      <c r="L466" s="3" t="s">
        <v>16</v>
      </c>
      <c r="M466" s="4">
        <v>5.5281075910190762E-2</v>
      </c>
    </row>
    <row r="467" spans="1:13" x14ac:dyDescent="0.3">
      <c r="A467" s="3" t="s">
        <v>156</v>
      </c>
      <c r="B467" s="3" t="s">
        <v>22</v>
      </c>
      <c r="C467" s="2">
        <v>45586</v>
      </c>
      <c r="D467" s="3" t="s">
        <v>27</v>
      </c>
      <c r="E467" s="3" t="s">
        <v>360</v>
      </c>
      <c r="F467" s="3">
        <v>8254</v>
      </c>
      <c r="G467" s="3">
        <v>1405</v>
      </c>
      <c r="H467" s="3">
        <v>165</v>
      </c>
      <c r="I467" s="3">
        <v>2504</v>
      </c>
      <c r="J467" s="3">
        <v>8081</v>
      </c>
      <c r="K467" s="3">
        <v>177710</v>
      </c>
      <c r="L467" s="3" t="s">
        <v>16</v>
      </c>
      <c r="M467" s="4">
        <v>5.5281075910190762E-2</v>
      </c>
    </row>
    <row r="468" spans="1:13" x14ac:dyDescent="0.3">
      <c r="A468" s="3" t="s">
        <v>329</v>
      </c>
      <c r="B468" s="3" t="s">
        <v>22</v>
      </c>
      <c r="C468" s="2">
        <v>45791</v>
      </c>
      <c r="D468" s="3" t="s">
        <v>14</v>
      </c>
      <c r="E468" s="3" t="s">
        <v>359</v>
      </c>
      <c r="F468" s="3">
        <v>9041</v>
      </c>
      <c r="G468" s="3">
        <v>1133</v>
      </c>
      <c r="H468" s="3">
        <v>612</v>
      </c>
      <c r="I468" s="3">
        <v>1687</v>
      </c>
      <c r="J468" s="3">
        <v>28102</v>
      </c>
      <c r="K468" s="3">
        <v>195683</v>
      </c>
      <c r="L468" s="3" t="s">
        <v>29</v>
      </c>
      <c r="M468" s="4">
        <v>5.5119760020032396E-2</v>
      </c>
    </row>
    <row r="469" spans="1:13" x14ac:dyDescent="0.3">
      <c r="A469" s="3" t="s">
        <v>329</v>
      </c>
      <c r="B469" s="3" t="s">
        <v>22</v>
      </c>
      <c r="C469" s="2">
        <v>45791</v>
      </c>
      <c r="D469" s="3" t="s">
        <v>14</v>
      </c>
      <c r="E469" s="3" t="s">
        <v>366</v>
      </c>
      <c r="F469" s="3">
        <v>9041</v>
      </c>
      <c r="G469" s="3">
        <v>1133</v>
      </c>
      <c r="H469" s="3">
        <v>612</v>
      </c>
      <c r="I469" s="3">
        <v>1687</v>
      </c>
      <c r="J469" s="3">
        <v>28102</v>
      </c>
      <c r="K469" s="3">
        <v>195683</v>
      </c>
      <c r="L469" s="3" t="s">
        <v>29</v>
      </c>
      <c r="M469" s="4">
        <v>5.5119760020032396E-2</v>
      </c>
    </row>
    <row r="470" spans="1:13" x14ac:dyDescent="0.3">
      <c r="A470" s="3" t="s">
        <v>149</v>
      </c>
      <c r="B470" s="3" t="s">
        <v>18</v>
      </c>
      <c r="C470" s="2">
        <v>45929</v>
      </c>
      <c r="D470" s="3" t="s">
        <v>27</v>
      </c>
      <c r="E470" s="3" t="s">
        <v>367</v>
      </c>
      <c r="F470" s="3">
        <v>7569</v>
      </c>
      <c r="G470" s="3">
        <v>803</v>
      </c>
      <c r="H470" s="3">
        <v>804</v>
      </c>
      <c r="I470" s="3">
        <v>1753</v>
      </c>
      <c r="J470" s="3">
        <v>43582</v>
      </c>
      <c r="K470" s="3">
        <v>166945</v>
      </c>
      <c r="L470" s="3" t="s">
        <v>20</v>
      </c>
      <c r="M470" s="4">
        <v>5.4964209769684629E-2</v>
      </c>
    </row>
    <row r="471" spans="1:13" x14ac:dyDescent="0.3">
      <c r="A471" s="3" t="s">
        <v>149</v>
      </c>
      <c r="B471" s="3" t="s">
        <v>18</v>
      </c>
      <c r="C471" s="2">
        <v>45929</v>
      </c>
      <c r="D471" s="3" t="s">
        <v>27</v>
      </c>
      <c r="E471" s="3" t="s">
        <v>32</v>
      </c>
      <c r="F471" s="3">
        <v>7569</v>
      </c>
      <c r="G471" s="3">
        <v>803</v>
      </c>
      <c r="H471" s="3">
        <v>804</v>
      </c>
      <c r="I471" s="3">
        <v>1753</v>
      </c>
      <c r="J471" s="3">
        <v>43582</v>
      </c>
      <c r="K471" s="3">
        <v>166945</v>
      </c>
      <c r="L471" s="3" t="s">
        <v>20</v>
      </c>
      <c r="M471" s="4">
        <v>5.4964209769684629E-2</v>
      </c>
    </row>
    <row r="472" spans="1:13" x14ac:dyDescent="0.3">
      <c r="A472" s="3" t="s">
        <v>233</v>
      </c>
      <c r="B472" s="3" t="s">
        <v>40</v>
      </c>
      <c r="C472" s="2">
        <v>45587</v>
      </c>
      <c r="D472" s="3" t="s">
        <v>23</v>
      </c>
      <c r="E472" s="3" t="s">
        <v>357</v>
      </c>
      <c r="F472" s="3">
        <v>7750</v>
      </c>
      <c r="G472" s="3">
        <v>1146</v>
      </c>
      <c r="H472" s="3">
        <v>415</v>
      </c>
      <c r="I472" s="3">
        <v>1411</v>
      </c>
      <c r="J472" s="3">
        <v>85339</v>
      </c>
      <c r="K472" s="3">
        <v>172439</v>
      </c>
      <c r="L472" s="3" t="s">
        <v>25</v>
      </c>
      <c r="M472" s="4">
        <v>5.3995905798572247E-2</v>
      </c>
    </row>
    <row r="473" spans="1:13" x14ac:dyDescent="0.3">
      <c r="A473" s="3" t="s">
        <v>233</v>
      </c>
      <c r="B473" s="3" t="s">
        <v>40</v>
      </c>
      <c r="C473" s="2">
        <v>45587</v>
      </c>
      <c r="D473" s="3" t="s">
        <v>23</v>
      </c>
      <c r="E473" s="3" t="s">
        <v>358</v>
      </c>
      <c r="F473" s="3">
        <v>7750</v>
      </c>
      <c r="G473" s="3">
        <v>1146</v>
      </c>
      <c r="H473" s="3">
        <v>415</v>
      </c>
      <c r="I473" s="3">
        <v>1411</v>
      </c>
      <c r="J473" s="3">
        <v>85339</v>
      </c>
      <c r="K473" s="3">
        <v>172439</v>
      </c>
      <c r="L473" s="3" t="s">
        <v>25</v>
      </c>
      <c r="M473" s="4">
        <v>5.3995905798572247E-2</v>
      </c>
    </row>
    <row r="474" spans="1:13" x14ac:dyDescent="0.3">
      <c r="A474" s="3" t="s">
        <v>130</v>
      </c>
      <c r="B474" s="3" t="s">
        <v>40</v>
      </c>
      <c r="C474" s="2">
        <v>45603</v>
      </c>
      <c r="D474" s="3" t="s">
        <v>34</v>
      </c>
      <c r="E474" s="3" t="s">
        <v>365</v>
      </c>
      <c r="F474" s="3">
        <v>11550</v>
      </c>
      <c r="G474" s="3">
        <v>501</v>
      </c>
      <c r="H474" s="3">
        <v>646</v>
      </c>
      <c r="I474" s="3">
        <v>773</v>
      </c>
      <c r="J474" s="3">
        <v>17841</v>
      </c>
      <c r="K474" s="3">
        <v>237576</v>
      </c>
      <c r="L474" s="3" t="s">
        <v>29</v>
      </c>
      <c r="M474" s="4">
        <v>5.3443950567397383E-2</v>
      </c>
    </row>
    <row r="475" spans="1:13" x14ac:dyDescent="0.3">
      <c r="A475" s="3" t="s">
        <v>130</v>
      </c>
      <c r="B475" s="3" t="s">
        <v>40</v>
      </c>
      <c r="C475" s="2">
        <v>45603</v>
      </c>
      <c r="D475" s="3" t="s">
        <v>34</v>
      </c>
      <c r="E475" s="3" t="s">
        <v>359</v>
      </c>
      <c r="F475" s="3">
        <v>11550</v>
      </c>
      <c r="G475" s="3">
        <v>501</v>
      </c>
      <c r="H475" s="3">
        <v>646</v>
      </c>
      <c r="I475" s="3">
        <v>773</v>
      </c>
      <c r="J475" s="3">
        <v>17841</v>
      </c>
      <c r="K475" s="3">
        <v>237576</v>
      </c>
      <c r="L475" s="3" t="s">
        <v>29</v>
      </c>
      <c r="M475" s="4">
        <v>5.3443950567397383E-2</v>
      </c>
    </row>
    <row r="476" spans="1:13" x14ac:dyDescent="0.3">
      <c r="A476" s="3" t="s">
        <v>65</v>
      </c>
      <c r="B476" s="3" t="s">
        <v>18</v>
      </c>
      <c r="C476" s="2">
        <v>45713</v>
      </c>
      <c r="D476" s="3" t="s">
        <v>34</v>
      </c>
      <c r="E476" s="3" t="s">
        <v>367</v>
      </c>
      <c r="F476" s="3">
        <v>10702</v>
      </c>
      <c r="G476" s="3">
        <v>621</v>
      </c>
      <c r="H476" s="3">
        <v>445</v>
      </c>
      <c r="I476" s="3">
        <v>2918</v>
      </c>
      <c r="J476" s="3">
        <v>54808</v>
      </c>
      <c r="K476" s="3">
        <v>220225</v>
      </c>
      <c r="L476" s="3" t="s">
        <v>16</v>
      </c>
      <c r="M476" s="4">
        <v>5.3436258372119426E-2</v>
      </c>
    </row>
    <row r="477" spans="1:13" x14ac:dyDescent="0.3">
      <c r="A477" s="3" t="s">
        <v>65</v>
      </c>
      <c r="B477" s="3" t="s">
        <v>18</v>
      </c>
      <c r="C477" s="2">
        <v>45713</v>
      </c>
      <c r="D477" s="3" t="s">
        <v>34</v>
      </c>
      <c r="E477" s="3" t="s">
        <v>32</v>
      </c>
      <c r="F477" s="3">
        <v>10702</v>
      </c>
      <c r="G477" s="3">
        <v>621</v>
      </c>
      <c r="H477" s="3">
        <v>445</v>
      </c>
      <c r="I477" s="3">
        <v>2918</v>
      </c>
      <c r="J477" s="3">
        <v>54808</v>
      </c>
      <c r="K477" s="3">
        <v>220225</v>
      </c>
      <c r="L477" s="3" t="s">
        <v>16</v>
      </c>
      <c r="M477" s="4">
        <v>5.3436258372119426E-2</v>
      </c>
    </row>
    <row r="478" spans="1:13" x14ac:dyDescent="0.3">
      <c r="A478" s="3" t="s">
        <v>43</v>
      </c>
      <c r="B478" s="3" t="s">
        <v>13</v>
      </c>
      <c r="C478" s="2">
        <v>45494</v>
      </c>
      <c r="D478" s="3" t="s">
        <v>23</v>
      </c>
      <c r="E478" s="3" t="s">
        <v>355</v>
      </c>
      <c r="F478" s="3">
        <v>2009</v>
      </c>
      <c r="G478" s="3">
        <v>1072</v>
      </c>
      <c r="H478" s="3">
        <v>550</v>
      </c>
      <c r="I478" s="3">
        <v>1437</v>
      </c>
      <c r="J478" s="3">
        <v>22982</v>
      </c>
      <c r="K478" s="3">
        <v>69426</v>
      </c>
      <c r="L478" s="3" t="s">
        <v>29</v>
      </c>
      <c r="M478" s="4">
        <v>5.2300290957278256E-2</v>
      </c>
    </row>
    <row r="479" spans="1:13" x14ac:dyDescent="0.3">
      <c r="A479" s="3" t="s">
        <v>43</v>
      </c>
      <c r="B479" s="3" t="s">
        <v>13</v>
      </c>
      <c r="C479" s="2">
        <v>45494</v>
      </c>
      <c r="D479" s="3" t="s">
        <v>23</v>
      </c>
      <c r="E479" s="3" t="s">
        <v>356</v>
      </c>
      <c r="F479" s="3">
        <v>2009</v>
      </c>
      <c r="G479" s="3">
        <v>1072</v>
      </c>
      <c r="H479" s="3">
        <v>550</v>
      </c>
      <c r="I479" s="3">
        <v>1437</v>
      </c>
      <c r="J479" s="3">
        <v>22982</v>
      </c>
      <c r="K479" s="3">
        <v>69426</v>
      </c>
      <c r="L479" s="3" t="s">
        <v>29</v>
      </c>
      <c r="M479" s="4">
        <v>5.2300290957278256E-2</v>
      </c>
    </row>
    <row r="480" spans="1:13" x14ac:dyDescent="0.3">
      <c r="A480" s="3" t="s">
        <v>305</v>
      </c>
      <c r="B480" s="3" t="s">
        <v>13</v>
      </c>
      <c r="C480" s="2">
        <v>45601</v>
      </c>
      <c r="D480" s="3" t="s">
        <v>23</v>
      </c>
      <c r="E480" s="3" t="s">
        <v>64</v>
      </c>
      <c r="F480" s="3">
        <v>8469</v>
      </c>
      <c r="G480" s="3">
        <v>935</v>
      </c>
      <c r="H480" s="3">
        <v>211</v>
      </c>
      <c r="I480" s="3">
        <v>2635</v>
      </c>
      <c r="J480" s="3">
        <v>21890</v>
      </c>
      <c r="K480" s="3">
        <v>184539</v>
      </c>
      <c r="L480" s="3" t="s">
        <v>45</v>
      </c>
      <c r="M480" s="4">
        <v>5.2102807536618279E-2</v>
      </c>
    </row>
    <row r="481" spans="1:13" x14ac:dyDescent="0.3">
      <c r="A481" s="3" t="s">
        <v>38</v>
      </c>
      <c r="B481" s="3" t="s">
        <v>13</v>
      </c>
      <c r="C481" s="2">
        <v>45534</v>
      </c>
      <c r="D481" s="3" t="s">
        <v>34</v>
      </c>
      <c r="E481" s="3" t="s">
        <v>355</v>
      </c>
      <c r="F481" s="3">
        <v>6804</v>
      </c>
      <c r="G481" s="3">
        <v>787</v>
      </c>
      <c r="H481" s="3">
        <v>970</v>
      </c>
      <c r="I481" s="3">
        <v>1095</v>
      </c>
      <c r="J481" s="3">
        <v>56343</v>
      </c>
      <c r="K481" s="3">
        <v>164677</v>
      </c>
      <c r="L481" s="3" t="s">
        <v>16</v>
      </c>
      <c r="M481" s="4">
        <v>5.1986616224487935E-2</v>
      </c>
    </row>
    <row r="482" spans="1:13" x14ac:dyDescent="0.3">
      <c r="A482" s="3" t="s">
        <v>38</v>
      </c>
      <c r="B482" s="3" t="s">
        <v>13</v>
      </c>
      <c r="C482" s="2">
        <v>45534</v>
      </c>
      <c r="D482" s="3" t="s">
        <v>34</v>
      </c>
      <c r="E482" s="3" t="s">
        <v>356</v>
      </c>
      <c r="F482" s="3">
        <v>6804</v>
      </c>
      <c r="G482" s="3">
        <v>787</v>
      </c>
      <c r="H482" s="3">
        <v>970</v>
      </c>
      <c r="I482" s="3">
        <v>1095</v>
      </c>
      <c r="J482" s="3">
        <v>56343</v>
      </c>
      <c r="K482" s="3">
        <v>164677</v>
      </c>
      <c r="L482" s="3" t="s">
        <v>16</v>
      </c>
      <c r="M482" s="4">
        <v>5.1986616224487935E-2</v>
      </c>
    </row>
    <row r="483" spans="1:13" x14ac:dyDescent="0.3">
      <c r="A483" s="3" t="s">
        <v>66</v>
      </c>
      <c r="B483" s="3" t="s">
        <v>22</v>
      </c>
      <c r="C483" s="2">
        <v>45642</v>
      </c>
      <c r="D483" s="3" t="s">
        <v>14</v>
      </c>
      <c r="E483" s="3" t="s">
        <v>359</v>
      </c>
      <c r="F483" s="3">
        <v>2384</v>
      </c>
      <c r="G483" s="3">
        <v>1246</v>
      </c>
      <c r="H483" s="3">
        <v>160</v>
      </c>
      <c r="I483" s="3">
        <v>2004</v>
      </c>
      <c r="J483" s="3">
        <v>2701</v>
      </c>
      <c r="K483" s="3">
        <v>73142</v>
      </c>
      <c r="L483" s="3" t="s">
        <v>16</v>
      </c>
      <c r="M483" s="4">
        <v>5.1817013480626728E-2</v>
      </c>
    </row>
    <row r="484" spans="1:13" x14ac:dyDescent="0.3">
      <c r="A484" s="3" t="s">
        <v>66</v>
      </c>
      <c r="B484" s="3" t="s">
        <v>22</v>
      </c>
      <c r="C484" s="2">
        <v>45642</v>
      </c>
      <c r="D484" s="3" t="s">
        <v>14</v>
      </c>
      <c r="E484" s="3" t="s">
        <v>360</v>
      </c>
      <c r="F484" s="3">
        <v>2384</v>
      </c>
      <c r="G484" s="3">
        <v>1246</v>
      </c>
      <c r="H484" s="3">
        <v>160</v>
      </c>
      <c r="I484" s="3">
        <v>2004</v>
      </c>
      <c r="J484" s="3">
        <v>2701</v>
      </c>
      <c r="K484" s="3">
        <v>73142</v>
      </c>
      <c r="L484" s="3" t="s">
        <v>16</v>
      </c>
      <c r="M484" s="4">
        <v>5.1817013480626728E-2</v>
      </c>
    </row>
    <row r="485" spans="1:13" x14ac:dyDescent="0.3">
      <c r="A485" s="3" t="s">
        <v>56</v>
      </c>
      <c r="B485" s="3" t="s">
        <v>22</v>
      </c>
      <c r="C485" s="2">
        <v>45715</v>
      </c>
      <c r="D485" s="3" t="s">
        <v>14</v>
      </c>
      <c r="E485" s="3" t="s">
        <v>361</v>
      </c>
      <c r="F485" s="3">
        <v>8970</v>
      </c>
      <c r="G485" s="3">
        <v>331</v>
      </c>
      <c r="H485" s="3">
        <v>968</v>
      </c>
      <c r="I485" s="3">
        <v>2296</v>
      </c>
      <c r="J485" s="3">
        <v>24613</v>
      </c>
      <c r="K485" s="3">
        <v>198562</v>
      </c>
      <c r="L485" s="3" t="s">
        <v>29</v>
      </c>
      <c r="M485" s="4">
        <v>5.1716844109144754E-2</v>
      </c>
    </row>
    <row r="486" spans="1:13" x14ac:dyDescent="0.3">
      <c r="A486" s="3" t="s">
        <v>56</v>
      </c>
      <c r="B486" s="3" t="s">
        <v>22</v>
      </c>
      <c r="C486" s="2">
        <v>45715</v>
      </c>
      <c r="D486" s="3" t="s">
        <v>14</v>
      </c>
      <c r="E486" s="3" t="s">
        <v>362</v>
      </c>
      <c r="F486" s="3">
        <v>8970</v>
      </c>
      <c r="G486" s="3">
        <v>331</v>
      </c>
      <c r="H486" s="3">
        <v>968</v>
      </c>
      <c r="I486" s="3">
        <v>2296</v>
      </c>
      <c r="J486" s="3">
        <v>24613</v>
      </c>
      <c r="K486" s="3">
        <v>198562</v>
      </c>
      <c r="L486" s="3" t="s">
        <v>29</v>
      </c>
      <c r="M486" s="4">
        <v>5.1716844109144754E-2</v>
      </c>
    </row>
    <row r="487" spans="1:13" x14ac:dyDescent="0.3">
      <c r="A487" s="3" t="s">
        <v>236</v>
      </c>
      <c r="B487" s="3" t="s">
        <v>13</v>
      </c>
      <c r="C487" s="2">
        <v>45754</v>
      </c>
      <c r="D487" s="3" t="s">
        <v>34</v>
      </c>
      <c r="E487" s="3" t="s">
        <v>367</v>
      </c>
      <c r="F487" s="3">
        <v>3062</v>
      </c>
      <c r="G487" s="3">
        <v>1124</v>
      </c>
      <c r="H487" s="3">
        <v>538</v>
      </c>
      <c r="I487" s="3">
        <v>2935</v>
      </c>
      <c r="J487" s="3">
        <v>69749</v>
      </c>
      <c r="K487" s="3">
        <v>91924</v>
      </c>
      <c r="L487" s="3" t="s">
        <v>29</v>
      </c>
      <c r="M487" s="4">
        <v>5.1390278926069365E-2</v>
      </c>
    </row>
    <row r="488" spans="1:13" x14ac:dyDescent="0.3">
      <c r="A488" s="3" t="s">
        <v>236</v>
      </c>
      <c r="B488" s="3" t="s">
        <v>13</v>
      </c>
      <c r="C488" s="2">
        <v>45754</v>
      </c>
      <c r="D488" s="3" t="s">
        <v>34</v>
      </c>
      <c r="E488" s="3" t="s">
        <v>32</v>
      </c>
      <c r="F488" s="3">
        <v>3062</v>
      </c>
      <c r="G488" s="3">
        <v>1124</v>
      </c>
      <c r="H488" s="3">
        <v>538</v>
      </c>
      <c r="I488" s="3">
        <v>2935</v>
      </c>
      <c r="J488" s="3">
        <v>69749</v>
      </c>
      <c r="K488" s="3">
        <v>91924</v>
      </c>
      <c r="L488" s="3" t="s">
        <v>29</v>
      </c>
      <c r="M488" s="4">
        <v>5.1390278926069365E-2</v>
      </c>
    </row>
    <row r="489" spans="1:13" x14ac:dyDescent="0.3">
      <c r="A489" s="3" t="s">
        <v>297</v>
      </c>
      <c r="B489" s="3" t="s">
        <v>22</v>
      </c>
      <c r="C489" s="2">
        <v>45592</v>
      </c>
      <c r="D489" s="3" t="s">
        <v>34</v>
      </c>
      <c r="E489" s="3" t="s">
        <v>353</v>
      </c>
      <c r="F489" s="3">
        <v>7560</v>
      </c>
      <c r="G489" s="3">
        <v>1139</v>
      </c>
      <c r="H489" s="3">
        <v>248</v>
      </c>
      <c r="I489" s="3">
        <v>1624</v>
      </c>
      <c r="J489" s="3">
        <v>72237</v>
      </c>
      <c r="K489" s="3">
        <v>177084</v>
      </c>
      <c r="L489" s="3" t="s">
        <v>25</v>
      </c>
      <c r="M489" s="4">
        <v>5.0524045085947912E-2</v>
      </c>
    </row>
    <row r="490" spans="1:13" x14ac:dyDescent="0.3">
      <c r="A490" s="3" t="s">
        <v>297</v>
      </c>
      <c r="B490" s="3" t="s">
        <v>22</v>
      </c>
      <c r="C490" s="2">
        <v>45592</v>
      </c>
      <c r="D490" s="3" t="s">
        <v>34</v>
      </c>
      <c r="E490" s="3" t="s">
        <v>354</v>
      </c>
      <c r="F490" s="3">
        <v>7560</v>
      </c>
      <c r="G490" s="3">
        <v>1139</v>
      </c>
      <c r="H490" s="3">
        <v>248</v>
      </c>
      <c r="I490" s="3">
        <v>1624</v>
      </c>
      <c r="J490" s="3">
        <v>72237</v>
      </c>
      <c r="K490" s="3">
        <v>177084</v>
      </c>
      <c r="L490" s="3" t="s">
        <v>25</v>
      </c>
      <c r="M490" s="4">
        <v>5.0524045085947912E-2</v>
      </c>
    </row>
    <row r="491" spans="1:13" x14ac:dyDescent="0.3">
      <c r="A491" s="3" t="s">
        <v>255</v>
      </c>
      <c r="B491" s="3" t="s">
        <v>18</v>
      </c>
      <c r="C491" s="2">
        <v>45685</v>
      </c>
      <c r="D491" s="3" t="s">
        <v>34</v>
      </c>
      <c r="E491" s="3" t="s">
        <v>361</v>
      </c>
      <c r="F491" s="3">
        <v>9943</v>
      </c>
      <c r="G491" s="3">
        <v>1274</v>
      </c>
      <c r="H491" s="3">
        <v>336</v>
      </c>
      <c r="I491" s="3">
        <v>389</v>
      </c>
      <c r="J491" s="3">
        <v>6145</v>
      </c>
      <c r="K491" s="3">
        <v>231305</v>
      </c>
      <c r="L491" s="3" t="s">
        <v>16</v>
      </c>
      <c r="M491" s="4">
        <v>4.9947039623008581E-2</v>
      </c>
    </row>
    <row r="492" spans="1:13" x14ac:dyDescent="0.3">
      <c r="A492" s="3" t="s">
        <v>255</v>
      </c>
      <c r="B492" s="3" t="s">
        <v>18</v>
      </c>
      <c r="C492" s="2">
        <v>45685</v>
      </c>
      <c r="D492" s="3" t="s">
        <v>34</v>
      </c>
      <c r="E492" s="3" t="s">
        <v>362</v>
      </c>
      <c r="F492" s="3">
        <v>9943</v>
      </c>
      <c r="G492" s="3">
        <v>1274</v>
      </c>
      <c r="H492" s="3">
        <v>336</v>
      </c>
      <c r="I492" s="3">
        <v>389</v>
      </c>
      <c r="J492" s="3">
        <v>6145</v>
      </c>
      <c r="K492" s="3">
        <v>231305</v>
      </c>
      <c r="L492" s="3" t="s">
        <v>16</v>
      </c>
      <c r="M492" s="4">
        <v>4.9947039623008581E-2</v>
      </c>
    </row>
    <row r="493" spans="1:13" x14ac:dyDescent="0.3">
      <c r="A493" s="3" t="s">
        <v>207</v>
      </c>
      <c r="B493" s="3" t="s">
        <v>18</v>
      </c>
      <c r="C493" s="2">
        <v>45657</v>
      </c>
      <c r="D493" s="3" t="s">
        <v>14</v>
      </c>
      <c r="E493" s="3" t="s">
        <v>353</v>
      </c>
      <c r="F493" s="3">
        <v>10717</v>
      </c>
      <c r="G493" s="3">
        <v>760</v>
      </c>
      <c r="H493" s="3">
        <v>460</v>
      </c>
      <c r="I493" s="3">
        <v>1316</v>
      </c>
      <c r="J493" s="3">
        <v>18164</v>
      </c>
      <c r="K493" s="3">
        <v>240641</v>
      </c>
      <c r="L493" s="3" t="s">
        <v>45</v>
      </c>
      <c r="M493" s="4">
        <v>4.9605013277039242E-2</v>
      </c>
    </row>
    <row r="494" spans="1:13" x14ac:dyDescent="0.3">
      <c r="A494" s="3" t="s">
        <v>207</v>
      </c>
      <c r="B494" s="3" t="s">
        <v>18</v>
      </c>
      <c r="C494" s="2">
        <v>45657</v>
      </c>
      <c r="D494" s="3" t="s">
        <v>14</v>
      </c>
      <c r="E494" s="3" t="s">
        <v>354</v>
      </c>
      <c r="F494" s="3">
        <v>10717</v>
      </c>
      <c r="G494" s="3">
        <v>760</v>
      </c>
      <c r="H494" s="3">
        <v>460</v>
      </c>
      <c r="I494" s="3">
        <v>1316</v>
      </c>
      <c r="J494" s="3">
        <v>18164</v>
      </c>
      <c r="K494" s="3">
        <v>240641</v>
      </c>
      <c r="L494" s="3" t="s">
        <v>45</v>
      </c>
      <c r="M494" s="4">
        <v>4.9605013277039242E-2</v>
      </c>
    </row>
    <row r="495" spans="1:13" x14ac:dyDescent="0.3">
      <c r="A495" s="3" t="s">
        <v>100</v>
      </c>
      <c r="B495" s="3" t="s">
        <v>13</v>
      </c>
      <c r="C495" s="2">
        <v>45744</v>
      </c>
      <c r="D495" s="3" t="s">
        <v>23</v>
      </c>
      <c r="E495" s="3" t="s">
        <v>353</v>
      </c>
      <c r="F495" s="3">
        <v>6363</v>
      </c>
      <c r="G495" s="3">
        <v>1341</v>
      </c>
      <c r="H495" s="3">
        <v>222</v>
      </c>
      <c r="I495" s="3">
        <v>2712</v>
      </c>
      <c r="J495" s="3">
        <v>19987</v>
      </c>
      <c r="K495" s="3">
        <v>160585</v>
      </c>
      <c r="L495" s="3" t="s">
        <v>25</v>
      </c>
      <c r="M495" s="4">
        <v>4.9357038328611019E-2</v>
      </c>
    </row>
    <row r="496" spans="1:13" x14ac:dyDescent="0.3">
      <c r="A496" s="3" t="s">
        <v>100</v>
      </c>
      <c r="B496" s="3" t="s">
        <v>13</v>
      </c>
      <c r="C496" s="2">
        <v>45744</v>
      </c>
      <c r="D496" s="3" t="s">
        <v>23</v>
      </c>
      <c r="E496" s="3" t="s">
        <v>354</v>
      </c>
      <c r="F496" s="3">
        <v>6363</v>
      </c>
      <c r="G496" s="3">
        <v>1341</v>
      </c>
      <c r="H496" s="3">
        <v>222</v>
      </c>
      <c r="I496" s="3">
        <v>2712</v>
      </c>
      <c r="J496" s="3">
        <v>19987</v>
      </c>
      <c r="K496" s="3">
        <v>160585</v>
      </c>
      <c r="L496" s="3" t="s">
        <v>25</v>
      </c>
      <c r="M496" s="4">
        <v>4.9357038328611019E-2</v>
      </c>
    </row>
    <row r="497" spans="1:13" x14ac:dyDescent="0.3">
      <c r="A497" s="3" t="s">
        <v>166</v>
      </c>
      <c r="B497" s="3" t="s">
        <v>18</v>
      </c>
      <c r="C497" s="2">
        <v>45564</v>
      </c>
      <c r="D497" s="3" t="s">
        <v>34</v>
      </c>
      <c r="E497" s="3" t="s">
        <v>355</v>
      </c>
      <c r="F497" s="3">
        <v>10472</v>
      </c>
      <c r="G497" s="3">
        <v>401</v>
      </c>
      <c r="H497" s="3">
        <v>668</v>
      </c>
      <c r="I497" s="3">
        <v>383</v>
      </c>
      <c r="J497" s="3">
        <v>37571</v>
      </c>
      <c r="K497" s="3">
        <v>249203</v>
      </c>
      <c r="L497" s="3" t="s">
        <v>25</v>
      </c>
      <c r="M497" s="4">
        <v>4.6311641513143903E-2</v>
      </c>
    </row>
    <row r="498" spans="1:13" x14ac:dyDescent="0.3">
      <c r="A498" s="3" t="s">
        <v>166</v>
      </c>
      <c r="B498" s="3" t="s">
        <v>18</v>
      </c>
      <c r="C498" s="2">
        <v>45564</v>
      </c>
      <c r="D498" s="3" t="s">
        <v>34</v>
      </c>
      <c r="E498" s="3" t="s">
        <v>356</v>
      </c>
      <c r="F498" s="3">
        <v>10472</v>
      </c>
      <c r="G498" s="3">
        <v>401</v>
      </c>
      <c r="H498" s="3">
        <v>668</v>
      </c>
      <c r="I498" s="3">
        <v>383</v>
      </c>
      <c r="J498" s="3">
        <v>37571</v>
      </c>
      <c r="K498" s="3">
        <v>249203</v>
      </c>
      <c r="L498" s="3" t="s">
        <v>25</v>
      </c>
      <c r="M498" s="4">
        <v>4.6311641513143903E-2</v>
      </c>
    </row>
    <row r="499" spans="1:13" x14ac:dyDescent="0.3">
      <c r="A499" s="3" t="s">
        <v>48</v>
      </c>
      <c r="B499" s="3" t="s">
        <v>22</v>
      </c>
      <c r="C499" s="2">
        <v>45530</v>
      </c>
      <c r="D499" s="3" t="s">
        <v>34</v>
      </c>
      <c r="E499" s="3" t="s">
        <v>363</v>
      </c>
      <c r="F499" s="3">
        <v>4193</v>
      </c>
      <c r="G499" s="3">
        <v>924</v>
      </c>
      <c r="H499" s="3">
        <v>707</v>
      </c>
      <c r="I499" s="3">
        <v>2696</v>
      </c>
      <c r="J499" s="3">
        <v>55075</v>
      </c>
      <c r="K499" s="3">
        <v>126652</v>
      </c>
      <c r="L499" s="3" t="s">
        <v>29</v>
      </c>
      <c r="M499" s="4">
        <v>4.5984271863057827E-2</v>
      </c>
    </row>
    <row r="500" spans="1:13" x14ac:dyDescent="0.3">
      <c r="A500" s="3" t="s">
        <v>48</v>
      </c>
      <c r="B500" s="3" t="s">
        <v>22</v>
      </c>
      <c r="C500" s="2">
        <v>45530</v>
      </c>
      <c r="D500" s="3" t="s">
        <v>34</v>
      </c>
      <c r="E500" s="3" t="s">
        <v>364</v>
      </c>
      <c r="F500" s="3">
        <v>4193</v>
      </c>
      <c r="G500" s="3">
        <v>924</v>
      </c>
      <c r="H500" s="3">
        <v>707</v>
      </c>
      <c r="I500" s="3">
        <v>2696</v>
      </c>
      <c r="J500" s="3">
        <v>55075</v>
      </c>
      <c r="K500" s="3">
        <v>126652</v>
      </c>
      <c r="L500" s="3" t="s">
        <v>29</v>
      </c>
      <c r="M500" s="4">
        <v>4.5984271863057827E-2</v>
      </c>
    </row>
    <row r="501" spans="1:13" x14ac:dyDescent="0.3">
      <c r="A501" s="3" t="s">
        <v>93</v>
      </c>
      <c r="B501" s="3" t="s">
        <v>22</v>
      </c>
      <c r="C501" s="2">
        <v>45762</v>
      </c>
      <c r="D501" s="3" t="s">
        <v>34</v>
      </c>
      <c r="E501" s="3" t="s">
        <v>357</v>
      </c>
      <c r="F501" s="3">
        <v>5419</v>
      </c>
      <c r="G501" s="3">
        <v>1150</v>
      </c>
      <c r="H501" s="3">
        <v>656</v>
      </c>
      <c r="I501" s="3">
        <v>1990</v>
      </c>
      <c r="J501" s="3">
        <v>410</v>
      </c>
      <c r="K501" s="3">
        <v>158154</v>
      </c>
      <c r="L501" s="3" t="s">
        <v>25</v>
      </c>
      <c r="M501" s="4">
        <v>4.5683321319726342E-2</v>
      </c>
    </row>
    <row r="502" spans="1:13" x14ac:dyDescent="0.3">
      <c r="A502" s="3" t="s">
        <v>93</v>
      </c>
      <c r="B502" s="3" t="s">
        <v>22</v>
      </c>
      <c r="C502" s="2">
        <v>45762</v>
      </c>
      <c r="D502" s="3" t="s">
        <v>34</v>
      </c>
      <c r="E502" s="3" t="s">
        <v>358</v>
      </c>
      <c r="F502" s="3">
        <v>5419</v>
      </c>
      <c r="G502" s="3">
        <v>1150</v>
      </c>
      <c r="H502" s="3">
        <v>656</v>
      </c>
      <c r="I502" s="3">
        <v>1990</v>
      </c>
      <c r="J502" s="3">
        <v>410</v>
      </c>
      <c r="K502" s="3">
        <v>158154</v>
      </c>
      <c r="L502" s="3" t="s">
        <v>25</v>
      </c>
      <c r="M502" s="4">
        <v>4.5683321319726342E-2</v>
      </c>
    </row>
    <row r="503" spans="1:13" x14ac:dyDescent="0.3">
      <c r="A503" s="3" t="s">
        <v>181</v>
      </c>
      <c r="B503" s="3" t="s">
        <v>18</v>
      </c>
      <c r="C503" s="2">
        <v>45516</v>
      </c>
      <c r="D503" s="3" t="s">
        <v>34</v>
      </c>
      <c r="E503" s="3" t="s">
        <v>355</v>
      </c>
      <c r="F503" s="3">
        <v>8376</v>
      </c>
      <c r="G503" s="3">
        <v>1154</v>
      </c>
      <c r="H503" s="3">
        <v>422</v>
      </c>
      <c r="I503" s="3">
        <v>1907</v>
      </c>
      <c r="J503" s="3">
        <v>36874</v>
      </c>
      <c r="K503" s="3">
        <v>218486</v>
      </c>
      <c r="L503" s="3" t="s">
        <v>25</v>
      </c>
      <c r="M503" s="4">
        <v>4.5549829279679245E-2</v>
      </c>
    </row>
    <row r="504" spans="1:13" x14ac:dyDescent="0.3">
      <c r="A504" s="3" t="s">
        <v>181</v>
      </c>
      <c r="B504" s="3" t="s">
        <v>18</v>
      </c>
      <c r="C504" s="2">
        <v>45516</v>
      </c>
      <c r="D504" s="3" t="s">
        <v>34</v>
      </c>
      <c r="E504" s="3" t="s">
        <v>356</v>
      </c>
      <c r="F504" s="3">
        <v>8376</v>
      </c>
      <c r="G504" s="3">
        <v>1154</v>
      </c>
      <c r="H504" s="3">
        <v>422</v>
      </c>
      <c r="I504" s="3">
        <v>1907</v>
      </c>
      <c r="J504" s="3">
        <v>36874</v>
      </c>
      <c r="K504" s="3">
        <v>218486</v>
      </c>
      <c r="L504" s="3" t="s">
        <v>25</v>
      </c>
      <c r="M504" s="4">
        <v>4.5549829279679245E-2</v>
      </c>
    </row>
    <row r="505" spans="1:13" x14ac:dyDescent="0.3">
      <c r="A505" s="3" t="s">
        <v>319</v>
      </c>
      <c r="B505" s="3" t="s">
        <v>40</v>
      </c>
      <c r="C505" s="2">
        <v>45786</v>
      </c>
      <c r="D505" s="3" t="s">
        <v>34</v>
      </c>
      <c r="E505" s="3" t="s">
        <v>363</v>
      </c>
      <c r="F505" s="3">
        <v>8988</v>
      </c>
      <c r="G505" s="3">
        <v>228</v>
      </c>
      <c r="H505" s="3">
        <v>766</v>
      </c>
      <c r="I505" s="3">
        <v>652</v>
      </c>
      <c r="J505" s="3">
        <v>63789</v>
      </c>
      <c r="K505" s="3">
        <v>219785</v>
      </c>
      <c r="L505" s="3" t="s">
        <v>25</v>
      </c>
      <c r="M505" s="4">
        <v>4.541711217781013E-2</v>
      </c>
    </row>
    <row r="506" spans="1:13" x14ac:dyDescent="0.3">
      <c r="A506" s="3" t="s">
        <v>319</v>
      </c>
      <c r="B506" s="3" t="s">
        <v>40</v>
      </c>
      <c r="C506" s="2">
        <v>45786</v>
      </c>
      <c r="D506" s="3" t="s">
        <v>34</v>
      </c>
      <c r="E506" s="3" t="s">
        <v>364</v>
      </c>
      <c r="F506" s="3">
        <v>8988</v>
      </c>
      <c r="G506" s="3">
        <v>228</v>
      </c>
      <c r="H506" s="3">
        <v>766</v>
      </c>
      <c r="I506" s="3">
        <v>652</v>
      </c>
      <c r="J506" s="3">
        <v>63789</v>
      </c>
      <c r="K506" s="3">
        <v>219785</v>
      </c>
      <c r="L506" s="3" t="s">
        <v>25</v>
      </c>
      <c r="M506" s="4">
        <v>4.541711217781013E-2</v>
      </c>
    </row>
    <row r="507" spans="1:13" x14ac:dyDescent="0.3">
      <c r="A507" s="3" t="s">
        <v>334</v>
      </c>
      <c r="B507" s="3" t="s">
        <v>13</v>
      </c>
      <c r="C507" s="2">
        <v>45924</v>
      </c>
      <c r="D507" s="3" t="s">
        <v>23</v>
      </c>
      <c r="E507" s="3" t="s">
        <v>365</v>
      </c>
      <c r="F507" s="3">
        <v>3342</v>
      </c>
      <c r="G507" s="3">
        <v>787</v>
      </c>
      <c r="H507" s="3">
        <v>375</v>
      </c>
      <c r="I507" s="3">
        <v>907</v>
      </c>
      <c r="J507" s="3">
        <v>85823</v>
      </c>
      <c r="K507" s="3">
        <v>99189</v>
      </c>
      <c r="L507" s="3" t="s">
        <v>20</v>
      </c>
      <c r="M507" s="4">
        <v>4.5408260996683103E-2</v>
      </c>
    </row>
    <row r="508" spans="1:13" x14ac:dyDescent="0.3">
      <c r="A508" s="3" t="s">
        <v>334</v>
      </c>
      <c r="B508" s="3" t="s">
        <v>13</v>
      </c>
      <c r="C508" s="2">
        <v>45924</v>
      </c>
      <c r="D508" s="3" t="s">
        <v>23</v>
      </c>
      <c r="E508" s="3" t="s">
        <v>359</v>
      </c>
      <c r="F508" s="3">
        <v>3342</v>
      </c>
      <c r="G508" s="3">
        <v>787</v>
      </c>
      <c r="H508" s="3">
        <v>375</v>
      </c>
      <c r="I508" s="3">
        <v>907</v>
      </c>
      <c r="J508" s="3">
        <v>85823</v>
      </c>
      <c r="K508" s="3">
        <v>99189</v>
      </c>
      <c r="L508" s="3" t="s">
        <v>20</v>
      </c>
      <c r="M508" s="4">
        <v>4.5408260996683103E-2</v>
      </c>
    </row>
    <row r="509" spans="1:13" x14ac:dyDescent="0.3">
      <c r="A509" s="3" t="s">
        <v>126</v>
      </c>
      <c r="B509" s="3" t="s">
        <v>40</v>
      </c>
      <c r="C509" s="2">
        <v>45446</v>
      </c>
      <c r="D509" s="3" t="s">
        <v>14</v>
      </c>
      <c r="E509" s="3" t="s">
        <v>359</v>
      </c>
      <c r="F509" s="3">
        <v>8941</v>
      </c>
      <c r="G509" s="3">
        <v>911</v>
      </c>
      <c r="H509" s="3">
        <v>166</v>
      </c>
      <c r="I509" s="3">
        <v>1217</v>
      </c>
      <c r="J509" s="3">
        <v>68817</v>
      </c>
      <c r="K509" s="3">
        <v>221180</v>
      </c>
      <c r="L509" s="3" t="s">
        <v>45</v>
      </c>
      <c r="M509" s="4">
        <v>4.5293426168731353E-2</v>
      </c>
    </row>
    <row r="510" spans="1:13" x14ac:dyDescent="0.3">
      <c r="A510" s="3" t="s">
        <v>126</v>
      </c>
      <c r="B510" s="3" t="s">
        <v>40</v>
      </c>
      <c r="C510" s="2">
        <v>45446</v>
      </c>
      <c r="D510" s="3" t="s">
        <v>14</v>
      </c>
      <c r="E510" s="3" t="s">
        <v>366</v>
      </c>
      <c r="F510" s="3">
        <v>8941</v>
      </c>
      <c r="G510" s="3">
        <v>911</v>
      </c>
      <c r="H510" s="3">
        <v>166</v>
      </c>
      <c r="I510" s="3">
        <v>1217</v>
      </c>
      <c r="J510" s="3">
        <v>68817</v>
      </c>
      <c r="K510" s="3">
        <v>221180</v>
      </c>
      <c r="L510" s="3" t="s">
        <v>45</v>
      </c>
      <c r="M510" s="4">
        <v>4.5293426168731353E-2</v>
      </c>
    </row>
    <row r="511" spans="1:13" x14ac:dyDescent="0.3">
      <c r="A511" s="3" t="s">
        <v>170</v>
      </c>
      <c r="B511" s="3" t="s">
        <v>22</v>
      </c>
      <c r="C511" s="2">
        <v>45931</v>
      </c>
      <c r="D511" s="3" t="s">
        <v>34</v>
      </c>
      <c r="E511" s="3" t="s">
        <v>32</v>
      </c>
      <c r="F511" s="3">
        <v>6188</v>
      </c>
      <c r="G511" s="3">
        <v>774</v>
      </c>
      <c r="H511" s="3">
        <v>647</v>
      </c>
      <c r="I511" s="3">
        <v>1830</v>
      </c>
      <c r="J511" s="3">
        <v>55436</v>
      </c>
      <c r="K511" s="3">
        <v>175542</v>
      </c>
      <c r="L511" s="3" t="s">
        <v>20</v>
      </c>
      <c r="M511" s="4">
        <v>4.3345752013763089E-2</v>
      </c>
    </row>
    <row r="512" spans="1:13" x14ac:dyDescent="0.3">
      <c r="A512" s="3" t="s">
        <v>73</v>
      </c>
      <c r="B512" s="3" t="s">
        <v>22</v>
      </c>
      <c r="C512" s="2">
        <v>45705</v>
      </c>
      <c r="D512" s="3" t="s">
        <v>23</v>
      </c>
      <c r="E512" s="3" t="s">
        <v>355</v>
      </c>
      <c r="F512" s="3">
        <v>7989</v>
      </c>
      <c r="G512" s="3">
        <v>1206</v>
      </c>
      <c r="H512" s="3">
        <v>376</v>
      </c>
      <c r="I512" s="3">
        <v>2769</v>
      </c>
      <c r="J512" s="3">
        <v>27550</v>
      </c>
      <c r="K512" s="3">
        <v>221749</v>
      </c>
      <c r="L512" s="3" t="s">
        <v>25</v>
      </c>
      <c r="M512" s="4">
        <v>4.3161412227338117E-2</v>
      </c>
    </row>
    <row r="513" spans="1:13" x14ac:dyDescent="0.3">
      <c r="A513" s="3" t="s">
        <v>73</v>
      </c>
      <c r="B513" s="3" t="s">
        <v>22</v>
      </c>
      <c r="C513" s="2">
        <v>45705</v>
      </c>
      <c r="D513" s="3" t="s">
        <v>23</v>
      </c>
      <c r="E513" s="3" t="s">
        <v>356</v>
      </c>
      <c r="F513" s="3">
        <v>7989</v>
      </c>
      <c r="G513" s="3">
        <v>1206</v>
      </c>
      <c r="H513" s="3">
        <v>376</v>
      </c>
      <c r="I513" s="3">
        <v>2769</v>
      </c>
      <c r="J513" s="3">
        <v>27550</v>
      </c>
      <c r="K513" s="3">
        <v>221749</v>
      </c>
      <c r="L513" s="3" t="s">
        <v>25</v>
      </c>
      <c r="M513" s="4">
        <v>4.3161412227338117E-2</v>
      </c>
    </row>
    <row r="514" spans="1:13" x14ac:dyDescent="0.3">
      <c r="A514" s="3" t="s">
        <v>105</v>
      </c>
      <c r="B514" s="3" t="s">
        <v>40</v>
      </c>
      <c r="C514" s="2">
        <v>45749</v>
      </c>
      <c r="D514" s="3" t="s">
        <v>23</v>
      </c>
      <c r="E514" s="3" t="s">
        <v>365</v>
      </c>
      <c r="F514" s="3">
        <v>6858</v>
      </c>
      <c r="G514" s="3">
        <v>415</v>
      </c>
      <c r="H514" s="3">
        <v>366</v>
      </c>
      <c r="I514" s="3">
        <v>2761</v>
      </c>
      <c r="J514" s="3">
        <v>2988</v>
      </c>
      <c r="K514" s="3">
        <v>177348</v>
      </c>
      <c r="L514" s="3" t="s">
        <v>16</v>
      </c>
      <c r="M514" s="4">
        <v>4.3073505198818141E-2</v>
      </c>
    </row>
    <row r="515" spans="1:13" x14ac:dyDescent="0.3">
      <c r="A515" s="3" t="s">
        <v>105</v>
      </c>
      <c r="B515" s="3" t="s">
        <v>40</v>
      </c>
      <c r="C515" s="2">
        <v>45749</v>
      </c>
      <c r="D515" s="3" t="s">
        <v>23</v>
      </c>
      <c r="E515" s="3" t="s">
        <v>359</v>
      </c>
      <c r="F515" s="3">
        <v>6858</v>
      </c>
      <c r="G515" s="3">
        <v>415</v>
      </c>
      <c r="H515" s="3">
        <v>366</v>
      </c>
      <c r="I515" s="3">
        <v>2761</v>
      </c>
      <c r="J515" s="3">
        <v>2988</v>
      </c>
      <c r="K515" s="3">
        <v>177348</v>
      </c>
      <c r="L515" s="3" t="s">
        <v>16</v>
      </c>
      <c r="M515" s="4">
        <v>4.3073505198818141E-2</v>
      </c>
    </row>
    <row r="516" spans="1:13" x14ac:dyDescent="0.3">
      <c r="A516" s="3" t="s">
        <v>178</v>
      </c>
      <c r="B516" s="3" t="s">
        <v>22</v>
      </c>
      <c r="C516" s="2">
        <v>45741</v>
      </c>
      <c r="D516" s="3" t="s">
        <v>34</v>
      </c>
      <c r="E516" s="3" t="s">
        <v>357</v>
      </c>
      <c r="F516" s="3">
        <v>5900</v>
      </c>
      <c r="G516" s="3">
        <v>546</v>
      </c>
      <c r="H516" s="3">
        <v>592</v>
      </c>
      <c r="I516" s="3">
        <v>1594</v>
      </c>
      <c r="J516" s="3">
        <v>38627</v>
      </c>
      <c r="K516" s="3">
        <v>164398</v>
      </c>
      <c r="L516" s="3" t="s">
        <v>45</v>
      </c>
      <c r="M516" s="4">
        <v>4.2810739790021778E-2</v>
      </c>
    </row>
    <row r="517" spans="1:13" x14ac:dyDescent="0.3">
      <c r="A517" s="3" t="s">
        <v>178</v>
      </c>
      <c r="B517" s="3" t="s">
        <v>22</v>
      </c>
      <c r="C517" s="2">
        <v>45741</v>
      </c>
      <c r="D517" s="3" t="s">
        <v>34</v>
      </c>
      <c r="E517" s="3" t="s">
        <v>358</v>
      </c>
      <c r="F517" s="3">
        <v>5900</v>
      </c>
      <c r="G517" s="3">
        <v>546</v>
      </c>
      <c r="H517" s="3">
        <v>592</v>
      </c>
      <c r="I517" s="3">
        <v>1594</v>
      </c>
      <c r="J517" s="3">
        <v>38627</v>
      </c>
      <c r="K517" s="3">
        <v>164398</v>
      </c>
      <c r="L517" s="3" t="s">
        <v>45</v>
      </c>
      <c r="M517" s="4">
        <v>4.2810739790021778E-2</v>
      </c>
    </row>
    <row r="518" spans="1:13" x14ac:dyDescent="0.3">
      <c r="A518" s="3" t="s">
        <v>243</v>
      </c>
      <c r="B518" s="3" t="s">
        <v>18</v>
      </c>
      <c r="C518" s="2">
        <v>45655</v>
      </c>
      <c r="D518" s="3" t="s">
        <v>34</v>
      </c>
      <c r="E518" s="3" t="s">
        <v>64</v>
      </c>
      <c r="F518" s="3">
        <v>8288</v>
      </c>
      <c r="G518" s="3">
        <v>1401</v>
      </c>
      <c r="H518" s="3">
        <v>819</v>
      </c>
      <c r="I518" s="3">
        <v>1235</v>
      </c>
      <c r="J518" s="3">
        <v>33446</v>
      </c>
      <c r="K518" s="3">
        <v>248786</v>
      </c>
      <c r="L518" s="3" t="s">
        <v>16</v>
      </c>
      <c r="M518" s="4">
        <v>4.2237103373984064E-2</v>
      </c>
    </row>
    <row r="519" spans="1:13" x14ac:dyDescent="0.3">
      <c r="A519" s="3" t="s">
        <v>310</v>
      </c>
      <c r="B519" s="3" t="s">
        <v>18</v>
      </c>
      <c r="C519" s="2">
        <v>45658</v>
      </c>
      <c r="D519" s="3" t="s">
        <v>27</v>
      </c>
      <c r="E519" s="3" t="s">
        <v>361</v>
      </c>
      <c r="F519" s="3">
        <v>8283</v>
      </c>
      <c r="G519" s="3">
        <v>720</v>
      </c>
      <c r="H519" s="3">
        <v>888</v>
      </c>
      <c r="I519" s="3">
        <v>611</v>
      </c>
      <c r="J519" s="3">
        <v>52791</v>
      </c>
      <c r="K519" s="3">
        <v>235229</v>
      </c>
      <c r="L519" s="3" t="s">
        <v>16</v>
      </c>
      <c r="M519" s="4">
        <v>4.2048386891072105E-2</v>
      </c>
    </row>
    <row r="520" spans="1:13" x14ac:dyDescent="0.3">
      <c r="A520" s="3" t="s">
        <v>310</v>
      </c>
      <c r="B520" s="3" t="s">
        <v>18</v>
      </c>
      <c r="C520" s="2">
        <v>45658</v>
      </c>
      <c r="D520" s="3" t="s">
        <v>27</v>
      </c>
      <c r="E520" s="3" t="s">
        <v>362</v>
      </c>
      <c r="F520" s="3">
        <v>8283</v>
      </c>
      <c r="G520" s="3">
        <v>720</v>
      </c>
      <c r="H520" s="3">
        <v>888</v>
      </c>
      <c r="I520" s="3">
        <v>611</v>
      </c>
      <c r="J520" s="3">
        <v>52791</v>
      </c>
      <c r="K520" s="3">
        <v>235229</v>
      </c>
      <c r="L520" s="3" t="s">
        <v>16</v>
      </c>
      <c r="M520" s="4">
        <v>4.2048386891072105E-2</v>
      </c>
    </row>
    <row r="521" spans="1:13" x14ac:dyDescent="0.3">
      <c r="A521" s="3" t="s">
        <v>242</v>
      </c>
      <c r="B521" s="3" t="s">
        <v>22</v>
      </c>
      <c r="C521" s="2">
        <v>45467</v>
      </c>
      <c r="D521" s="3" t="s">
        <v>14</v>
      </c>
      <c r="E521" s="3" t="s">
        <v>359</v>
      </c>
      <c r="F521" s="3">
        <v>6632</v>
      </c>
      <c r="G521" s="3">
        <v>254</v>
      </c>
      <c r="H521" s="3">
        <v>525</v>
      </c>
      <c r="I521" s="3">
        <v>1013</v>
      </c>
      <c r="J521" s="3">
        <v>13838</v>
      </c>
      <c r="K521" s="3">
        <v>180180</v>
      </c>
      <c r="L521" s="3" t="s">
        <v>16</v>
      </c>
      <c r="M521" s="4">
        <v>4.1131091131091133E-2</v>
      </c>
    </row>
    <row r="522" spans="1:13" x14ac:dyDescent="0.3">
      <c r="A522" s="3" t="s">
        <v>242</v>
      </c>
      <c r="B522" s="3" t="s">
        <v>22</v>
      </c>
      <c r="C522" s="2">
        <v>45467</v>
      </c>
      <c r="D522" s="3" t="s">
        <v>14</v>
      </c>
      <c r="E522" s="3" t="s">
        <v>366</v>
      </c>
      <c r="F522" s="3">
        <v>6632</v>
      </c>
      <c r="G522" s="3">
        <v>254</v>
      </c>
      <c r="H522" s="3">
        <v>525</v>
      </c>
      <c r="I522" s="3">
        <v>1013</v>
      </c>
      <c r="J522" s="3">
        <v>13838</v>
      </c>
      <c r="K522" s="3">
        <v>180180</v>
      </c>
      <c r="L522" s="3" t="s">
        <v>16</v>
      </c>
      <c r="M522" s="4">
        <v>4.1131091131091133E-2</v>
      </c>
    </row>
    <row r="523" spans="1:13" x14ac:dyDescent="0.3">
      <c r="A523" s="3" t="s">
        <v>292</v>
      </c>
      <c r="B523" s="3" t="s">
        <v>13</v>
      </c>
      <c r="C523" s="2">
        <v>45917</v>
      </c>
      <c r="D523" s="3" t="s">
        <v>34</v>
      </c>
      <c r="E523" s="3" t="s">
        <v>361</v>
      </c>
      <c r="F523" s="3">
        <v>2117</v>
      </c>
      <c r="G523" s="3">
        <v>1133</v>
      </c>
      <c r="H523" s="3">
        <v>203</v>
      </c>
      <c r="I523" s="3">
        <v>1173</v>
      </c>
      <c r="J523" s="3">
        <v>40125</v>
      </c>
      <c r="K523" s="3">
        <v>85379</v>
      </c>
      <c r="L523" s="3" t="s">
        <v>20</v>
      </c>
      <c r="M523" s="4">
        <v>4.0443200318579509E-2</v>
      </c>
    </row>
    <row r="524" spans="1:13" x14ac:dyDescent="0.3">
      <c r="A524" s="3" t="s">
        <v>292</v>
      </c>
      <c r="B524" s="3" t="s">
        <v>13</v>
      </c>
      <c r="C524" s="2">
        <v>45917</v>
      </c>
      <c r="D524" s="3" t="s">
        <v>34</v>
      </c>
      <c r="E524" s="3" t="s">
        <v>362</v>
      </c>
      <c r="F524" s="3">
        <v>2117</v>
      </c>
      <c r="G524" s="3">
        <v>1133</v>
      </c>
      <c r="H524" s="3">
        <v>203</v>
      </c>
      <c r="I524" s="3">
        <v>1173</v>
      </c>
      <c r="J524" s="3">
        <v>40125</v>
      </c>
      <c r="K524" s="3">
        <v>85379</v>
      </c>
      <c r="L524" s="3" t="s">
        <v>20</v>
      </c>
      <c r="M524" s="4">
        <v>4.0443200318579509E-2</v>
      </c>
    </row>
    <row r="525" spans="1:13" x14ac:dyDescent="0.3">
      <c r="A525" s="3" t="s">
        <v>218</v>
      </c>
      <c r="B525" s="3" t="s">
        <v>13</v>
      </c>
      <c r="C525" s="2">
        <v>45504</v>
      </c>
      <c r="D525" s="3" t="s">
        <v>27</v>
      </c>
      <c r="E525" s="3" t="s">
        <v>357</v>
      </c>
      <c r="F525" s="3">
        <v>7122</v>
      </c>
      <c r="G525" s="3">
        <v>628</v>
      </c>
      <c r="H525" s="3">
        <v>757</v>
      </c>
      <c r="I525" s="3">
        <v>2313</v>
      </c>
      <c r="J525" s="3">
        <v>50924</v>
      </c>
      <c r="K525" s="3">
        <v>210954</v>
      </c>
      <c r="L525" s="3" t="s">
        <v>45</v>
      </c>
      <c r="M525" s="4">
        <v>4.0326327066564277E-2</v>
      </c>
    </row>
    <row r="526" spans="1:13" x14ac:dyDescent="0.3">
      <c r="A526" s="3" t="s">
        <v>218</v>
      </c>
      <c r="B526" s="3" t="s">
        <v>13</v>
      </c>
      <c r="C526" s="2">
        <v>45504</v>
      </c>
      <c r="D526" s="3" t="s">
        <v>27</v>
      </c>
      <c r="E526" s="3" t="s">
        <v>358</v>
      </c>
      <c r="F526" s="3">
        <v>7122</v>
      </c>
      <c r="G526" s="3">
        <v>628</v>
      </c>
      <c r="H526" s="3">
        <v>757</v>
      </c>
      <c r="I526" s="3">
        <v>2313</v>
      </c>
      <c r="J526" s="3">
        <v>50924</v>
      </c>
      <c r="K526" s="3">
        <v>210954</v>
      </c>
      <c r="L526" s="3" t="s">
        <v>45</v>
      </c>
      <c r="M526" s="4">
        <v>4.0326327066564277E-2</v>
      </c>
    </row>
    <row r="527" spans="1:13" x14ac:dyDescent="0.3">
      <c r="A527" s="3" t="s">
        <v>114</v>
      </c>
      <c r="B527" s="3" t="s">
        <v>13</v>
      </c>
      <c r="C527" s="2">
        <v>45922</v>
      </c>
      <c r="D527" s="3" t="s">
        <v>27</v>
      </c>
      <c r="E527" s="3" t="s">
        <v>368</v>
      </c>
      <c r="F527" s="3">
        <v>8996</v>
      </c>
      <c r="G527" s="3">
        <v>329</v>
      </c>
      <c r="H527" s="3">
        <v>378</v>
      </c>
      <c r="I527" s="3">
        <v>2384</v>
      </c>
      <c r="J527" s="3">
        <v>39404</v>
      </c>
      <c r="K527" s="3">
        <v>242724</v>
      </c>
      <c r="L527" s="3" t="s">
        <v>20</v>
      </c>
      <c r="M527" s="4">
        <v>3.9975445361810122E-2</v>
      </c>
    </row>
    <row r="528" spans="1:13" x14ac:dyDescent="0.3">
      <c r="A528" s="3" t="s">
        <v>114</v>
      </c>
      <c r="B528" s="3" t="s">
        <v>13</v>
      </c>
      <c r="C528" s="2">
        <v>45922</v>
      </c>
      <c r="D528" s="3" t="s">
        <v>27</v>
      </c>
      <c r="E528" s="3" t="s">
        <v>369</v>
      </c>
      <c r="F528" s="3">
        <v>8996</v>
      </c>
      <c r="G528" s="3">
        <v>329</v>
      </c>
      <c r="H528" s="3">
        <v>378</v>
      </c>
      <c r="I528" s="3">
        <v>2384</v>
      </c>
      <c r="J528" s="3">
        <v>39404</v>
      </c>
      <c r="K528" s="3">
        <v>242724</v>
      </c>
      <c r="L528" s="3" t="s">
        <v>20</v>
      </c>
      <c r="M528" s="4">
        <v>3.9975445361810122E-2</v>
      </c>
    </row>
    <row r="529" spans="1:13" x14ac:dyDescent="0.3">
      <c r="A529" s="3" t="s">
        <v>46</v>
      </c>
      <c r="B529" s="3" t="s">
        <v>13</v>
      </c>
      <c r="C529" s="2">
        <v>45906</v>
      </c>
      <c r="D529" s="3" t="s">
        <v>23</v>
      </c>
      <c r="E529" s="3" t="s">
        <v>363</v>
      </c>
      <c r="F529" s="3">
        <v>7124</v>
      </c>
      <c r="G529" s="3">
        <v>469</v>
      </c>
      <c r="H529" s="3">
        <v>851</v>
      </c>
      <c r="I529" s="3">
        <v>2571</v>
      </c>
      <c r="J529" s="3">
        <v>33802</v>
      </c>
      <c r="K529" s="3">
        <v>216313</v>
      </c>
      <c r="L529" s="3" t="s">
        <v>20</v>
      </c>
      <c r="M529" s="4">
        <v>3.9036026498638549E-2</v>
      </c>
    </row>
    <row r="530" spans="1:13" x14ac:dyDescent="0.3">
      <c r="A530" s="3" t="s">
        <v>46</v>
      </c>
      <c r="B530" s="3" t="s">
        <v>13</v>
      </c>
      <c r="C530" s="2">
        <v>45906</v>
      </c>
      <c r="D530" s="3" t="s">
        <v>23</v>
      </c>
      <c r="E530" s="3" t="s">
        <v>364</v>
      </c>
      <c r="F530" s="3">
        <v>7124</v>
      </c>
      <c r="G530" s="3">
        <v>469</v>
      </c>
      <c r="H530" s="3">
        <v>851</v>
      </c>
      <c r="I530" s="3">
        <v>2571</v>
      </c>
      <c r="J530" s="3">
        <v>33802</v>
      </c>
      <c r="K530" s="3">
        <v>216313</v>
      </c>
      <c r="L530" s="3" t="s">
        <v>20</v>
      </c>
      <c r="M530" s="4">
        <v>3.9036026498638549E-2</v>
      </c>
    </row>
    <row r="531" spans="1:13" x14ac:dyDescent="0.3">
      <c r="A531" s="3" t="s">
        <v>311</v>
      </c>
      <c r="B531" s="3" t="s">
        <v>22</v>
      </c>
      <c r="C531" s="2">
        <v>45509</v>
      </c>
      <c r="D531" s="3" t="s">
        <v>23</v>
      </c>
      <c r="E531" s="3" t="s">
        <v>363</v>
      </c>
      <c r="F531" s="3">
        <v>4048</v>
      </c>
      <c r="G531" s="3">
        <v>751</v>
      </c>
      <c r="H531" s="3">
        <v>930</v>
      </c>
      <c r="I531" s="3">
        <v>1382</v>
      </c>
      <c r="J531" s="3">
        <v>16844</v>
      </c>
      <c r="K531" s="3">
        <v>148177</v>
      </c>
      <c r="L531" s="3" t="s">
        <v>29</v>
      </c>
      <c r="M531" s="4">
        <v>3.8663220337839206E-2</v>
      </c>
    </row>
    <row r="532" spans="1:13" x14ac:dyDescent="0.3">
      <c r="A532" s="3" t="s">
        <v>311</v>
      </c>
      <c r="B532" s="3" t="s">
        <v>22</v>
      </c>
      <c r="C532" s="2">
        <v>45509</v>
      </c>
      <c r="D532" s="3" t="s">
        <v>23</v>
      </c>
      <c r="E532" s="3" t="s">
        <v>364</v>
      </c>
      <c r="F532" s="3">
        <v>4048</v>
      </c>
      <c r="G532" s="3">
        <v>751</v>
      </c>
      <c r="H532" s="3">
        <v>930</v>
      </c>
      <c r="I532" s="3">
        <v>1382</v>
      </c>
      <c r="J532" s="3">
        <v>16844</v>
      </c>
      <c r="K532" s="3">
        <v>148177</v>
      </c>
      <c r="L532" s="3" t="s">
        <v>29</v>
      </c>
      <c r="M532" s="4">
        <v>3.8663220337839206E-2</v>
      </c>
    </row>
    <row r="533" spans="1:13" x14ac:dyDescent="0.3">
      <c r="A533" s="3" t="s">
        <v>177</v>
      </c>
      <c r="B533" s="3" t="s">
        <v>18</v>
      </c>
      <c r="C533" s="2">
        <v>45933</v>
      </c>
      <c r="D533" s="3" t="s">
        <v>14</v>
      </c>
      <c r="E533" s="3" t="s">
        <v>365</v>
      </c>
      <c r="F533" s="3">
        <v>6777</v>
      </c>
      <c r="G533" s="3">
        <v>617</v>
      </c>
      <c r="H533" s="3">
        <v>551</v>
      </c>
      <c r="I533" s="3">
        <v>2109</v>
      </c>
      <c r="J533" s="3">
        <v>18559</v>
      </c>
      <c r="K533" s="3">
        <v>208452</v>
      </c>
      <c r="L533" s="3" t="s">
        <v>20</v>
      </c>
      <c r="M533" s="4">
        <v>3.8114290100358834E-2</v>
      </c>
    </row>
    <row r="534" spans="1:13" x14ac:dyDescent="0.3">
      <c r="A534" s="3" t="s">
        <v>177</v>
      </c>
      <c r="B534" s="3" t="s">
        <v>18</v>
      </c>
      <c r="C534" s="2">
        <v>45933</v>
      </c>
      <c r="D534" s="3" t="s">
        <v>14</v>
      </c>
      <c r="E534" s="3" t="s">
        <v>359</v>
      </c>
      <c r="F534" s="3">
        <v>6777</v>
      </c>
      <c r="G534" s="3">
        <v>617</v>
      </c>
      <c r="H534" s="3">
        <v>551</v>
      </c>
      <c r="I534" s="3">
        <v>2109</v>
      </c>
      <c r="J534" s="3">
        <v>18559</v>
      </c>
      <c r="K534" s="3">
        <v>208452</v>
      </c>
      <c r="L534" s="3" t="s">
        <v>20</v>
      </c>
      <c r="M534" s="4">
        <v>3.8114290100358834E-2</v>
      </c>
    </row>
    <row r="535" spans="1:13" x14ac:dyDescent="0.3">
      <c r="A535" s="3" t="s">
        <v>78</v>
      </c>
      <c r="B535" s="3" t="s">
        <v>40</v>
      </c>
      <c r="C535" s="2">
        <v>45916</v>
      </c>
      <c r="D535" s="3" t="s">
        <v>23</v>
      </c>
      <c r="E535" s="3" t="s">
        <v>64</v>
      </c>
      <c r="F535" s="3">
        <v>6809</v>
      </c>
      <c r="G535" s="3">
        <v>397</v>
      </c>
      <c r="H535" s="3">
        <v>813</v>
      </c>
      <c r="I535" s="3">
        <v>1125</v>
      </c>
      <c r="J535" s="3">
        <v>12206</v>
      </c>
      <c r="K535" s="3">
        <v>218136</v>
      </c>
      <c r="L535" s="3" t="s">
        <v>20</v>
      </c>
      <c r="M535" s="4">
        <v>3.6761469908680823E-2</v>
      </c>
    </row>
    <row r="536" spans="1:13" x14ac:dyDescent="0.3">
      <c r="A536" s="3" t="s">
        <v>317</v>
      </c>
      <c r="B536" s="3" t="s">
        <v>18</v>
      </c>
      <c r="C536" s="2">
        <v>45738</v>
      </c>
      <c r="D536" s="3" t="s">
        <v>27</v>
      </c>
      <c r="E536" s="3" t="s">
        <v>359</v>
      </c>
      <c r="F536" s="3">
        <v>3917</v>
      </c>
      <c r="G536" s="3">
        <v>865</v>
      </c>
      <c r="H536" s="3">
        <v>759</v>
      </c>
      <c r="I536" s="3">
        <v>2282</v>
      </c>
      <c r="J536" s="3">
        <v>56125</v>
      </c>
      <c r="K536" s="3">
        <v>154014</v>
      </c>
      <c r="L536" s="3" t="s">
        <v>16</v>
      </c>
      <c r="M536" s="4">
        <v>3.5977248821535704E-2</v>
      </c>
    </row>
    <row r="537" spans="1:13" x14ac:dyDescent="0.3">
      <c r="A537" s="3" t="s">
        <v>317</v>
      </c>
      <c r="B537" s="3" t="s">
        <v>18</v>
      </c>
      <c r="C537" s="2">
        <v>45738</v>
      </c>
      <c r="D537" s="3" t="s">
        <v>27</v>
      </c>
      <c r="E537" s="3" t="s">
        <v>366</v>
      </c>
      <c r="F537" s="3">
        <v>3917</v>
      </c>
      <c r="G537" s="3">
        <v>865</v>
      </c>
      <c r="H537" s="3">
        <v>759</v>
      </c>
      <c r="I537" s="3">
        <v>2282</v>
      </c>
      <c r="J537" s="3">
        <v>56125</v>
      </c>
      <c r="K537" s="3">
        <v>154014</v>
      </c>
      <c r="L537" s="3" t="s">
        <v>16</v>
      </c>
      <c r="M537" s="4">
        <v>3.5977248821535704E-2</v>
      </c>
    </row>
    <row r="538" spans="1:13" x14ac:dyDescent="0.3">
      <c r="A538" s="3" t="s">
        <v>316</v>
      </c>
      <c r="B538" s="3" t="s">
        <v>40</v>
      </c>
      <c r="C538" s="2">
        <v>45918</v>
      </c>
      <c r="D538" s="3" t="s">
        <v>27</v>
      </c>
      <c r="E538" s="3" t="s">
        <v>361</v>
      </c>
      <c r="F538" s="3">
        <v>3828</v>
      </c>
      <c r="G538" s="3">
        <v>203</v>
      </c>
      <c r="H538" s="3">
        <v>506</v>
      </c>
      <c r="I538" s="3">
        <v>2440</v>
      </c>
      <c r="J538" s="3">
        <v>63650</v>
      </c>
      <c r="K538" s="3">
        <v>126365</v>
      </c>
      <c r="L538" s="3" t="s">
        <v>20</v>
      </c>
      <c r="M538" s="4">
        <v>3.5903929094290347E-2</v>
      </c>
    </row>
    <row r="539" spans="1:13" x14ac:dyDescent="0.3">
      <c r="A539" s="3" t="s">
        <v>316</v>
      </c>
      <c r="B539" s="3" t="s">
        <v>40</v>
      </c>
      <c r="C539" s="2">
        <v>45918</v>
      </c>
      <c r="D539" s="3" t="s">
        <v>27</v>
      </c>
      <c r="E539" s="3" t="s">
        <v>362</v>
      </c>
      <c r="F539" s="3">
        <v>3828</v>
      </c>
      <c r="G539" s="3">
        <v>203</v>
      </c>
      <c r="H539" s="3">
        <v>506</v>
      </c>
      <c r="I539" s="3">
        <v>2440</v>
      </c>
      <c r="J539" s="3">
        <v>63650</v>
      </c>
      <c r="K539" s="3">
        <v>126365</v>
      </c>
      <c r="L539" s="3" t="s">
        <v>20</v>
      </c>
      <c r="M539" s="4">
        <v>3.5903929094290347E-2</v>
      </c>
    </row>
    <row r="540" spans="1:13" x14ac:dyDescent="0.3">
      <c r="A540" s="3" t="s">
        <v>214</v>
      </c>
      <c r="B540" s="3" t="s">
        <v>13</v>
      </c>
      <c r="C540" s="2">
        <v>45940</v>
      </c>
      <c r="D540" s="3" t="s">
        <v>34</v>
      </c>
      <c r="E540" s="3" t="s">
        <v>357</v>
      </c>
      <c r="F540" s="3">
        <v>6621</v>
      </c>
      <c r="G540" s="3">
        <v>922</v>
      </c>
      <c r="H540" s="3">
        <v>930</v>
      </c>
      <c r="I540" s="3">
        <v>694</v>
      </c>
      <c r="J540" s="3">
        <v>839</v>
      </c>
      <c r="K540" s="3">
        <v>243532</v>
      </c>
      <c r="L540" s="3" t="s">
        <v>20</v>
      </c>
      <c r="M540" s="4">
        <v>3.479214230573395E-2</v>
      </c>
    </row>
    <row r="541" spans="1:13" x14ac:dyDescent="0.3">
      <c r="A541" s="3" t="s">
        <v>214</v>
      </c>
      <c r="B541" s="3" t="s">
        <v>13</v>
      </c>
      <c r="C541" s="2">
        <v>45940</v>
      </c>
      <c r="D541" s="3" t="s">
        <v>34</v>
      </c>
      <c r="E541" s="3" t="s">
        <v>358</v>
      </c>
      <c r="F541" s="3">
        <v>6621</v>
      </c>
      <c r="G541" s="3">
        <v>922</v>
      </c>
      <c r="H541" s="3">
        <v>930</v>
      </c>
      <c r="I541" s="3">
        <v>694</v>
      </c>
      <c r="J541" s="3">
        <v>839</v>
      </c>
      <c r="K541" s="3">
        <v>243532</v>
      </c>
      <c r="L541" s="3" t="s">
        <v>20</v>
      </c>
      <c r="M541" s="4">
        <v>3.479214230573395E-2</v>
      </c>
    </row>
    <row r="542" spans="1:13" x14ac:dyDescent="0.3">
      <c r="A542" s="3" t="s">
        <v>217</v>
      </c>
      <c r="B542" s="3" t="s">
        <v>22</v>
      </c>
      <c r="C542" s="2">
        <v>45942</v>
      </c>
      <c r="D542" s="3" t="s">
        <v>34</v>
      </c>
      <c r="E542" s="3" t="s">
        <v>363</v>
      </c>
      <c r="F542" s="3">
        <v>7126</v>
      </c>
      <c r="G542" s="3">
        <v>484</v>
      </c>
      <c r="H542" s="3">
        <v>565</v>
      </c>
      <c r="I542" s="3">
        <v>573</v>
      </c>
      <c r="J542" s="3">
        <v>7389</v>
      </c>
      <c r="K542" s="3">
        <v>237096</v>
      </c>
      <c r="L542" s="3" t="s">
        <v>20</v>
      </c>
      <c r="M542" s="4">
        <v>3.4479704423524646E-2</v>
      </c>
    </row>
    <row r="543" spans="1:13" x14ac:dyDescent="0.3">
      <c r="A543" s="3" t="s">
        <v>217</v>
      </c>
      <c r="B543" s="3" t="s">
        <v>22</v>
      </c>
      <c r="C543" s="2">
        <v>45942</v>
      </c>
      <c r="D543" s="3" t="s">
        <v>34</v>
      </c>
      <c r="E543" s="3" t="s">
        <v>364</v>
      </c>
      <c r="F543" s="3">
        <v>7126</v>
      </c>
      <c r="G543" s="3">
        <v>484</v>
      </c>
      <c r="H543" s="3">
        <v>565</v>
      </c>
      <c r="I543" s="3">
        <v>573</v>
      </c>
      <c r="J543" s="3">
        <v>7389</v>
      </c>
      <c r="K543" s="3">
        <v>237096</v>
      </c>
      <c r="L543" s="3" t="s">
        <v>20</v>
      </c>
      <c r="M543" s="4">
        <v>3.4479704423524646E-2</v>
      </c>
    </row>
    <row r="544" spans="1:13" x14ac:dyDescent="0.3">
      <c r="A544" s="3" t="s">
        <v>146</v>
      </c>
      <c r="B544" s="3" t="s">
        <v>13</v>
      </c>
      <c r="C544" s="2">
        <v>45502</v>
      </c>
      <c r="D544" s="3" t="s">
        <v>27</v>
      </c>
      <c r="E544" s="3" t="s">
        <v>363</v>
      </c>
      <c r="F544" s="3">
        <v>6164</v>
      </c>
      <c r="G544" s="3">
        <v>326</v>
      </c>
      <c r="H544" s="3">
        <v>615</v>
      </c>
      <c r="I544" s="3">
        <v>2806</v>
      </c>
      <c r="J544" s="3">
        <v>38579</v>
      </c>
      <c r="K544" s="3">
        <v>206129</v>
      </c>
      <c r="L544" s="3" t="s">
        <v>45</v>
      </c>
      <c r="M544" s="4">
        <v>3.4468706489625425E-2</v>
      </c>
    </row>
    <row r="545" spans="1:13" x14ac:dyDescent="0.3">
      <c r="A545" s="3" t="s">
        <v>146</v>
      </c>
      <c r="B545" s="3" t="s">
        <v>13</v>
      </c>
      <c r="C545" s="2">
        <v>45502</v>
      </c>
      <c r="D545" s="3" t="s">
        <v>27</v>
      </c>
      <c r="E545" s="3" t="s">
        <v>364</v>
      </c>
      <c r="F545" s="3">
        <v>6164</v>
      </c>
      <c r="G545" s="3">
        <v>326</v>
      </c>
      <c r="H545" s="3">
        <v>615</v>
      </c>
      <c r="I545" s="3">
        <v>2806</v>
      </c>
      <c r="J545" s="3">
        <v>38579</v>
      </c>
      <c r="K545" s="3">
        <v>206129</v>
      </c>
      <c r="L545" s="3" t="s">
        <v>45</v>
      </c>
      <c r="M545" s="4">
        <v>3.4468706489625425E-2</v>
      </c>
    </row>
    <row r="546" spans="1:13" x14ac:dyDescent="0.3">
      <c r="A546" s="3" t="s">
        <v>328</v>
      </c>
      <c r="B546" s="3" t="s">
        <v>13</v>
      </c>
      <c r="C546" s="2">
        <v>45613</v>
      </c>
      <c r="D546" s="3" t="s">
        <v>34</v>
      </c>
      <c r="E546" s="3" t="s">
        <v>361</v>
      </c>
      <c r="F546" s="3">
        <v>4219</v>
      </c>
      <c r="G546" s="3">
        <v>240</v>
      </c>
      <c r="H546" s="3">
        <v>670</v>
      </c>
      <c r="I546" s="3">
        <v>815</v>
      </c>
      <c r="J546" s="3">
        <v>11978</v>
      </c>
      <c r="K546" s="3">
        <v>159735</v>
      </c>
      <c r="L546" s="3" t="s">
        <v>29</v>
      </c>
      <c r="M546" s="4">
        <v>3.2109431245500357E-2</v>
      </c>
    </row>
    <row r="547" spans="1:13" x14ac:dyDescent="0.3">
      <c r="A547" s="3" t="s">
        <v>328</v>
      </c>
      <c r="B547" s="3" t="s">
        <v>13</v>
      </c>
      <c r="C547" s="2">
        <v>45613</v>
      </c>
      <c r="D547" s="3" t="s">
        <v>34</v>
      </c>
      <c r="E547" s="3" t="s">
        <v>362</v>
      </c>
      <c r="F547" s="3">
        <v>4219</v>
      </c>
      <c r="G547" s="3">
        <v>240</v>
      </c>
      <c r="H547" s="3">
        <v>670</v>
      </c>
      <c r="I547" s="3">
        <v>815</v>
      </c>
      <c r="J547" s="3">
        <v>11978</v>
      </c>
      <c r="K547" s="3">
        <v>159735</v>
      </c>
      <c r="L547" s="3" t="s">
        <v>29</v>
      </c>
      <c r="M547" s="4">
        <v>3.2109431245500357E-2</v>
      </c>
    </row>
    <row r="548" spans="1:13" x14ac:dyDescent="0.3">
      <c r="A548" s="3" t="s">
        <v>309</v>
      </c>
      <c r="B548" s="3" t="s">
        <v>18</v>
      </c>
      <c r="C548" s="2">
        <v>45577</v>
      </c>
      <c r="D548" s="3" t="s">
        <v>14</v>
      </c>
      <c r="E548" s="3" t="s">
        <v>368</v>
      </c>
      <c r="F548" s="3">
        <v>6208</v>
      </c>
      <c r="G548" s="3">
        <v>725</v>
      </c>
      <c r="H548" s="3">
        <v>309</v>
      </c>
      <c r="I548" s="3">
        <v>848</v>
      </c>
      <c r="J548" s="3">
        <v>39319</v>
      </c>
      <c r="K548" s="3">
        <v>225763</v>
      </c>
      <c r="L548" s="3" t="s">
        <v>16</v>
      </c>
      <c r="M548" s="4">
        <v>3.207788698768177E-2</v>
      </c>
    </row>
    <row r="549" spans="1:13" x14ac:dyDescent="0.3">
      <c r="A549" s="3" t="s">
        <v>309</v>
      </c>
      <c r="B549" s="3" t="s">
        <v>18</v>
      </c>
      <c r="C549" s="2">
        <v>45577</v>
      </c>
      <c r="D549" s="3" t="s">
        <v>14</v>
      </c>
      <c r="E549" s="3" t="s">
        <v>369</v>
      </c>
      <c r="F549" s="3">
        <v>6208</v>
      </c>
      <c r="G549" s="3">
        <v>725</v>
      </c>
      <c r="H549" s="3">
        <v>309</v>
      </c>
      <c r="I549" s="3">
        <v>848</v>
      </c>
      <c r="J549" s="3">
        <v>39319</v>
      </c>
      <c r="K549" s="3">
        <v>225763</v>
      </c>
      <c r="L549" s="3" t="s">
        <v>16</v>
      </c>
      <c r="M549" s="4">
        <v>3.207788698768177E-2</v>
      </c>
    </row>
    <row r="550" spans="1:13" x14ac:dyDescent="0.3">
      <c r="A550" s="3" t="s">
        <v>283</v>
      </c>
      <c r="B550" s="3" t="s">
        <v>22</v>
      </c>
      <c r="C550" s="2">
        <v>45531</v>
      </c>
      <c r="D550" s="3" t="s">
        <v>14</v>
      </c>
      <c r="E550" s="3" t="s">
        <v>64</v>
      </c>
      <c r="F550" s="3">
        <v>6324</v>
      </c>
      <c r="G550" s="3">
        <v>908</v>
      </c>
      <c r="H550" s="3">
        <v>375</v>
      </c>
      <c r="I550" s="3">
        <v>758</v>
      </c>
      <c r="J550" s="3">
        <v>34850</v>
      </c>
      <c r="K550" s="3">
        <v>241039</v>
      </c>
      <c r="L550" s="3" t="s">
        <v>16</v>
      </c>
      <c r="M550" s="4">
        <v>3.1559208260903839E-2</v>
      </c>
    </row>
    <row r="551" spans="1:13" x14ac:dyDescent="0.3">
      <c r="A551" s="3" t="s">
        <v>209</v>
      </c>
      <c r="B551" s="3" t="s">
        <v>13</v>
      </c>
      <c r="C551" s="2">
        <v>45631</v>
      </c>
      <c r="D551" s="3" t="s">
        <v>23</v>
      </c>
      <c r="E551" s="3" t="s">
        <v>359</v>
      </c>
      <c r="F551" s="3">
        <v>4125</v>
      </c>
      <c r="G551" s="3">
        <v>1364</v>
      </c>
      <c r="H551" s="3">
        <v>319</v>
      </c>
      <c r="I551" s="3">
        <v>2848</v>
      </c>
      <c r="J551" s="3">
        <v>15379</v>
      </c>
      <c r="K551" s="3">
        <v>188159</v>
      </c>
      <c r="L551" s="3" t="s">
        <v>45</v>
      </c>
      <c r="M551" s="4">
        <v>3.0867510988047343E-2</v>
      </c>
    </row>
    <row r="552" spans="1:13" x14ac:dyDescent="0.3">
      <c r="A552" s="3" t="s">
        <v>209</v>
      </c>
      <c r="B552" s="3" t="s">
        <v>13</v>
      </c>
      <c r="C552" s="2">
        <v>45631</v>
      </c>
      <c r="D552" s="3" t="s">
        <v>23</v>
      </c>
      <c r="E552" s="3" t="s">
        <v>366</v>
      </c>
      <c r="F552" s="3">
        <v>4125</v>
      </c>
      <c r="G552" s="3">
        <v>1364</v>
      </c>
      <c r="H552" s="3">
        <v>319</v>
      </c>
      <c r="I552" s="3">
        <v>2848</v>
      </c>
      <c r="J552" s="3">
        <v>15379</v>
      </c>
      <c r="K552" s="3">
        <v>188159</v>
      </c>
      <c r="L552" s="3" t="s">
        <v>45</v>
      </c>
      <c r="M552" s="4">
        <v>3.0867510988047343E-2</v>
      </c>
    </row>
    <row r="553" spans="1:13" x14ac:dyDescent="0.3">
      <c r="A553" s="3" t="s">
        <v>229</v>
      </c>
      <c r="B553" s="3" t="s">
        <v>22</v>
      </c>
      <c r="C553" s="2">
        <v>45546</v>
      </c>
      <c r="D553" s="3" t="s">
        <v>14</v>
      </c>
      <c r="E553" s="3" t="s">
        <v>363</v>
      </c>
      <c r="F553" s="3">
        <v>3906</v>
      </c>
      <c r="G553" s="3">
        <v>1187</v>
      </c>
      <c r="H553" s="3">
        <v>589</v>
      </c>
      <c r="I553" s="3">
        <v>401</v>
      </c>
      <c r="J553" s="3">
        <v>52687</v>
      </c>
      <c r="K553" s="3">
        <v>196498</v>
      </c>
      <c r="L553" s="3" t="s">
        <v>16</v>
      </c>
      <c r="M553" s="4">
        <v>2.8916324848090057E-2</v>
      </c>
    </row>
    <row r="554" spans="1:13" x14ac:dyDescent="0.3">
      <c r="A554" s="3" t="s">
        <v>229</v>
      </c>
      <c r="B554" s="3" t="s">
        <v>22</v>
      </c>
      <c r="C554" s="2">
        <v>45546</v>
      </c>
      <c r="D554" s="3" t="s">
        <v>14</v>
      </c>
      <c r="E554" s="3" t="s">
        <v>364</v>
      </c>
      <c r="F554" s="3">
        <v>3906</v>
      </c>
      <c r="G554" s="3">
        <v>1187</v>
      </c>
      <c r="H554" s="3">
        <v>589</v>
      </c>
      <c r="I554" s="3">
        <v>401</v>
      </c>
      <c r="J554" s="3">
        <v>52687</v>
      </c>
      <c r="K554" s="3">
        <v>196498</v>
      </c>
      <c r="L554" s="3" t="s">
        <v>16</v>
      </c>
      <c r="M554" s="4">
        <v>2.8916324848090057E-2</v>
      </c>
    </row>
    <row r="555" spans="1:13" x14ac:dyDescent="0.3">
      <c r="A555" s="3" t="s">
        <v>281</v>
      </c>
      <c r="B555" s="3" t="s">
        <v>13</v>
      </c>
      <c r="C555" s="2">
        <v>45669</v>
      </c>
      <c r="D555" s="3" t="s">
        <v>14</v>
      </c>
      <c r="E555" s="3" t="s">
        <v>359</v>
      </c>
      <c r="F555" s="3">
        <v>4590</v>
      </c>
      <c r="G555" s="3">
        <v>713</v>
      </c>
      <c r="H555" s="3">
        <v>479</v>
      </c>
      <c r="I555" s="3">
        <v>2730</v>
      </c>
      <c r="J555" s="3">
        <v>41050</v>
      </c>
      <c r="K555" s="3">
        <v>204246</v>
      </c>
      <c r="L555" s="3" t="s">
        <v>25</v>
      </c>
      <c r="M555" s="4">
        <v>2.8308999931455206E-2</v>
      </c>
    </row>
    <row r="556" spans="1:13" x14ac:dyDescent="0.3">
      <c r="A556" s="3" t="s">
        <v>281</v>
      </c>
      <c r="B556" s="3" t="s">
        <v>13</v>
      </c>
      <c r="C556" s="2">
        <v>45669</v>
      </c>
      <c r="D556" s="3" t="s">
        <v>14</v>
      </c>
      <c r="E556" s="3" t="s">
        <v>360</v>
      </c>
      <c r="F556" s="3">
        <v>4590</v>
      </c>
      <c r="G556" s="3">
        <v>713</v>
      </c>
      <c r="H556" s="3">
        <v>479</v>
      </c>
      <c r="I556" s="3">
        <v>2730</v>
      </c>
      <c r="J556" s="3">
        <v>41050</v>
      </c>
      <c r="K556" s="3">
        <v>204246</v>
      </c>
      <c r="L556" s="3" t="s">
        <v>25</v>
      </c>
      <c r="M556" s="4">
        <v>2.8308999931455206E-2</v>
      </c>
    </row>
    <row r="557" spans="1:13" x14ac:dyDescent="0.3">
      <c r="A557" s="3" t="s">
        <v>272</v>
      </c>
      <c r="B557" s="3" t="s">
        <v>18</v>
      </c>
      <c r="C557" s="2">
        <v>45523</v>
      </c>
      <c r="D557" s="3" t="s">
        <v>27</v>
      </c>
      <c r="E557" s="3" t="s">
        <v>367</v>
      </c>
      <c r="F557" s="3">
        <v>3605</v>
      </c>
      <c r="G557" s="3">
        <v>206</v>
      </c>
      <c r="H557" s="3">
        <v>921</v>
      </c>
      <c r="I557" s="3">
        <v>852</v>
      </c>
      <c r="J557" s="3">
        <v>11660</v>
      </c>
      <c r="K557" s="3">
        <v>182635</v>
      </c>
      <c r="L557" s="3" t="s">
        <v>29</v>
      </c>
      <c r="M557" s="4">
        <v>2.590960111698196E-2</v>
      </c>
    </row>
    <row r="558" spans="1:13" x14ac:dyDescent="0.3">
      <c r="A558" s="3" t="s">
        <v>272</v>
      </c>
      <c r="B558" s="3" t="s">
        <v>18</v>
      </c>
      <c r="C558" s="2">
        <v>45523</v>
      </c>
      <c r="D558" s="3" t="s">
        <v>27</v>
      </c>
      <c r="E558" s="3" t="s">
        <v>32</v>
      </c>
      <c r="F558" s="3">
        <v>3605</v>
      </c>
      <c r="G558" s="3">
        <v>206</v>
      </c>
      <c r="H558" s="3">
        <v>921</v>
      </c>
      <c r="I558" s="3">
        <v>852</v>
      </c>
      <c r="J558" s="3">
        <v>11660</v>
      </c>
      <c r="K558" s="3">
        <v>182635</v>
      </c>
      <c r="L558" s="3" t="s">
        <v>29</v>
      </c>
      <c r="M558" s="4">
        <v>2.590960111698196E-2</v>
      </c>
    </row>
    <row r="559" spans="1:13" x14ac:dyDescent="0.3">
      <c r="A559" s="3" t="s">
        <v>76</v>
      </c>
      <c r="B559" s="3" t="s">
        <v>13</v>
      </c>
      <c r="C559" s="2">
        <v>45915</v>
      </c>
      <c r="D559" s="3" t="s">
        <v>23</v>
      </c>
      <c r="E559" s="3" t="s">
        <v>355</v>
      </c>
      <c r="F559" s="3">
        <v>5636</v>
      </c>
      <c r="G559" s="3">
        <v>303</v>
      </c>
      <c r="H559" s="3">
        <v>204</v>
      </c>
      <c r="I559" s="3">
        <v>2480</v>
      </c>
      <c r="J559" s="3">
        <v>7377</v>
      </c>
      <c r="K559" s="3">
        <v>241207</v>
      </c>
      <c r="L559" s="3" t="s">
        <v>20</v>
      </c>
      <c r="M559" s="4">
        <v>2.5467751765081443E-2</v>
      </c>
    </row>
    <row r="560" spans="1:13" x14ac:dyDescent="0.3">
      <c r="A560" s="3" t="s">
        <v>76</v>
      </c>
      <c r="B560" s="3" t="s">
        <v>13</v>
      </c>
      <c r="C560" s="2">
        <v>45915</v>
      </c>
      <c r="D560" s="3" t="s">
        <v>23</v>
      </c>
      <c r="E560" s="3" t="s">
        <v>356</v>
      </c>
      <c r="F560" s="3">
        <v>5636</v>
      </c>
      <c r="G560" s="3">
        <v>303</v>
      </c>
      <c r="H560" s="3">
        <v>204</v>
      </c>
      <c r="I560" s="3">
        <v>2480</v>
      </c>
      <c r="J560" s="3">
        <v>7377</v>
      </c>
      <c r="K560" s="3">
        <v>241207</v>
      </c>
      <c r="L560" s="3" t="s">
        <v>20</v>
      </c>
      <c r="M560" s="4">
        <v>2.5467751765081443E-2</v>
      </c>
    </row>
    <row r="561" spans="1:13" x14ac:dyDescent="0.3">
      <c r="A561" s="3" t="s">
        <v>113</v>
      </c>
      <c r="B561" s="3" t="s">
        <v>18</v>
      </c>
      <c r="C561" s="2">
        <v>45460</v>
      </c>
      <c r="D561" s="3" t="s">
        <v>14</v>
      </c>
      <c r="E561" s="3" t="s">
        <v>361</v>
      </c>
      <c r="F561" s="3">
        <v>3252</v>
      </c>
      <c r="G561" s="3">
        <v>1043</v>
      </c>
      <c r="H561" s="3">
        <v>647</v>
      </c>
      <c r="I561" s="3">
        <v>1545</v>
      </c>
      <c r="J561" s="3">
        <v>18859</v>
      </c>
      <c r="K561" s="3">
        <v>222958</v>
      </c>
      <c r="L561" s="3" t="s">
        <v>16</v>
      </c>
      <c r="M561" s="4">
        <v>2.2165609666394567E-2</v>
      </c>
    </row>
    <row r="562" spans="1:13" x14ac:dyDescent="0.3">
      <c r="A562" s="3" t="s">
        <v>113</v>
      </c>
      <c r="B562" s="3" t="s">
        <v>18</v>
      </c>
      <c r="C562" s="2">
        <v>45460</v>
      </c>
      <c r="D562" s="3" t="s">
        <v>14</v>
      </c>
      <c r="E562" s="3" t="s">
        <v>362</v>
      </c>
      <c r="F562" s="3">
        <v>3252</v>
      </c>
      <c r="G562" s="3">
        <v>1043</v>
      </c>
      <c r="H562" s="3">
        <v>647</v>
      </c>
      <c r="I562" s="3">
        <v>1545</v>
      </c>
      <c r="J562" s="3">
        <v>18859</v>
      </c>
      <c r="K562" s="3">
        <v>222958</v>
      </c>
      <c r="L562" s="3" t="s">
        <v>16</v>
      </c>
      <c r="M562" s="4">
        <v>2.2165609666394567E-2</v>
      </c>
    </row>
    <row r="563" spans="1:13" x14ac:dyDescent="0.3">
      <c r="A563" s="3" t="s">
        <v>224</v>
      </c>
      <c r="B563" s="3" t="s">
        <v>13</v>
      </c>
      <c r="C563" s="2">
        <v>45449</v>
      </c>
      <c r="D563" s="3" t="s">
        <v>34</v>
      </c>
      <c r="E563" s="3" t="s">
        <v>368</v>
      </c>
      <c r="F563" s="3">
        <v>3531</v>
      </c>
      <c r="G563" s="3">
        <v>789</v>
      </c>
      <c r="H563" s="3">
        <v>467</v>
      </c>
      <c r="I563" s="3">
        <v>1867</v>
      </c>
      <c r="J563" s="3">
        <v>40816</v>
      </c>
      <c r="K563" s="3">
        <v>236037</v>
      </c>
      <c r="L563" s="3" t="s">
        <v>25</v>
      </c>
      <c r="M563" s="4">
        <v>2.0280718700881641E-2</v>
      </c>
    </row>
    <row r="564" spans="1:13" x14ac:dyDescent="0.3">
      <c r="A564" s="3" t="s">
        <v>224</v>
      </c>
      <c r="B564" s="3" t="s">
        <v>13</v>
      </c>
      <c r="C564" s="2">
        <v>45449</v>
      </c>
      <c r="D564" s="3" t="s">
        <v>34</v>
      </c>
      <c r="E564" s="3" t="s">
        <v>369</v>
      </c>
      <c r="F564" s="3">
        <v>3531</v>
      </c>
      <c r="G564" s="3">
        <v>789</v>
      </c>
      <c r="H564" s="3">
        <v>467</v>
      </c>
      <c r="I564" s="3">
        <v>1867</v>
      </c>
      <c r="J564" s="3">
        <v>40816</v>
      </c>
      <c r="K564" s="3">
        <v>236037</v>
      </c>
      <c r="L564" s="3" t="s">
        <v>25</v>
      </c>
      <c r="M564" s="4">
        <v>2.0280718700881641E-2</v>
      </c>
    </row>
    <row r="565" spans="1:13" x14ac:dyDescent="0.3">
      <c r="A565" s="3" t="s">
        <v>26</v>
      </c>
      <c r="B565" s="3" t="s">
        <v>13</v>
      </c>
      <c r="C565" s="2">
        <v>45516</v>
      </c>
      <c r="D565" s="3" t="s">
        <v>27</v>
      </c>
      <c r="E565" s="3" t="s">
        <v>359</v>
      </c>
      <c r="F565" s="3">
        <v>3581</v>
      </c>
      <c r="G565" s="3">
        <v>517</v>
      </c>
      <c r="H565" s="3">
        <v>880</v>
      </c>
      <c r="I565" s="3">
        <v>1925</v>
      </c>
      <c r="J565" s="3">
        <v>18636</v>
      </c>
      <c r="K565" s="3">
        <v>248611</v>
      </c>
      <c r="L565" s="3" t="s">
        <v>29</v>
      </c>
      <c r="M565" s="4">
        <v>2.0023249172401864E-2</v>
      </c>
    </row>
    <row r="566" spans="1:13" x14ac:dyDescent="0.3">
      <c r="A566" s="3" t="s">
        <v>26</v>
      </c>
      <c r="B566" s="3" t="s">
        <v>13</v>
      </c>
      <c r="C566" s="2">
        <v>45516</v>
      </c>
      <c r="D566" s="3" t="s">
        <v>27</v>
      </c>
      <c r="E566" s="3" t="s">
        <v>360</v>
      </c>
      <c r="F566" s="3">
        <v>3581</v>
      </c>
      <c r="G566" s="3">
        <v>517</v>
      </c>
      <c r="H566" s="3">
        <v>880</v>
      </c>
      <c r="I566" s="3">
        <v>1925</v>
      </c>
      <c r="J566" s="3">
        <v>18636</v>
      </c>
      <c r="K566" s="3">
        <v>248611</v>
      </c>
      <c r="L566" s="3" t="s">
        <v>29</v>
      </c>
      <c r="M566" s="4">
        <v>2.0023249172401864E-2</v>
      </c>
    </row>
    <row r="567" spans="1:13" x14ac:dyDescent="0.3">
      <c r="A567" s="3" t="s">
        <v>203</v>
      </c>
      <c r="B567" s="3" t="s">
        <v>18</v>
      </c>
      <c r="C567" s="2">
        <v>45624</v>
      </c>
      <c r="D567" s="3" t="s">
        <v>34</v>
      </c>
      <c r="E567" s="3" t="s">
        <v>359</v>
      </c>
      <c r="F567" s="3">
        <v>2302</v>
      </c>
      <c r="G567" s="3">
        <v>347</v>
      </c>
      <c r="H567" s="3">
        <v>642</v>
      </c>
      <c r="I567" s="3">
        <v>2175</v>
      </c>
      <c r="J567" s="3">
        <v>56378</v>
      </c>
      <c r="K567" s="3">
        <v>198056</v>
      </c>
      <c r="L567" s="3" t="s">
        <v>45</v>
      </c>
      <c r="M567" s="4">
        <v>1.6616512501514722E-2</v>
      </c>
    </row>
    <row r="568" spans="1:13" x14ac:dyDescent="0.3">
      <c r="A568" s="3" t="s">
        <v>203</v>
      </c>
      <c r="B568" s="3" t="s">
        <v>18</v>
      </c>
      <c r="C568" s="2">
        <v>45624</v>
      </c>
      <c r="D568" s="3" t="s">
        <v>34</v>
      </c>
      <c r="E568" s="3" t="s">
        <v>366</v>
      </c>
      <c r="F568" s="3">
        <v>2302</v>
      </c>
      <c r="G568" s="3">
        <v>347</v>
      </c>
      <c r="H568" s="3">
        <v>642</v>
      </c>
      <c r="I568" s="3">
        <v>2175</v>
      </c>
      <c r="J568" s="3">
        <v>56378</v>
      </c>
      <c r="K568" s="3">
        <v>198056</v>
      </c>
      <c r="L568" s="3" t="s">
        <v>45</v>
      </c>
      <c r="M568" s="4">
        <v>1.6616512501514722E-2</v>
      </c>
    </row>
  </sheetData>
  <pageMargins left="0.7" right="0.7" top="0.75" bottom="0.75" header="0.3" footer="0.3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D2921-ED0A-446B-9F32-440EF3927A38}">
  <dimension ref="A1:H16"/>
  <sheetViews>
    <sheetView workbookViewId="0">
      <selection activeCell="F12" sqref="F12"/>
    </sheetView>
  </sheetViews>
  <sheetFormatPr defaultRowHeight="14.4" x14ac:dyDescent="0.3"/>
  <cols>
    <col min="1" max="1" width="26" bestFit="1" customWidth="1"/>
    <col min="2" max="2" width="17" bestFit="1" customWidth="1"/>
    <col min="3" max="3" width="15.6640625" bestFit="1" customWidth="1"/>
    <col min="4" max="4" width="23.6640625" bestFit="1" customWidth="1"/>
    <col min="5" max="5" width="16.109375" bestFit="1" customWidth="1"/>
    <col min="6" max="6" width="18.88671875" bestFit="1" customWidth="1"/>
    <col min="7" max="7" width="26.44140625" bestFit="1" customWidth="1"/>
    <col min="8" max="8" width="18.44140625" bestFit="1" customWidth="1"/>
  </cols>
  <sheetData>
    <row r="1" spans="1:8" ht="17.399999999999999" x14ac:dyDescent="0.45">
      <c r="A1" s="11" t="s">
        <v>343</v>
      </c>
      <c r="B1" s="12" t="s">
        <v>344</v>
      </c>
      <c r="C1" s="12" t="s">
        <v>345</v>
      </c>
      <c r="D1" s="12" t="s">
        <v>346</v>
      </c>
      <c r="E1" s="12" t="s">
        <v>342</v>
      </c>
      <c r="F1" s="12" t="s">
        <v>10</v>
      </c>
      <c r="G1" s="12" t="s">
        <v>347</v>
      </c>
      <c r="H1" s="13" t="s">
        <v>451</v>
      </c>
    </row>
    <row r="2" spans="1:8" x14ac:dyDescent="0.3">
      <c r="A2" s="5" t="s">
        <v>25</v>
      </c>
      <c r="B2" s="2">
        <v>45717</v>
      </c>
      <c r="C2" s="2">
        <v>45747</v>
      </c>
      <c r="D2" s="3" t="s">
        <v>351</v>
      </c>
      <c r="E2" s="3">
        <v>40000</v>
      </c>
      <c r="F2" s="3">
        <v>550000</v>
      </c>
      <c r="G2" s="4">
        <v>0.32</v>
      </c>
      <c r="H2" s="79">
        <f>(Table5_214[[#This Row],[Engagement_Uplift]]/Table5_214[[#This Row],[Ad_Spend]])*10000</f>
        <v>0.08</v>
      </c>
    </row>
    <row r="3" spans="1:8" x14ac:dyDescent="0.3">
      <c r="A3" s="5" t="s">
        <v>16</v>
      </c>
      <c r="B3" s="2">
        <v>45651</v>
      </c>
      <c r="C3" s="2">
        <v>45667</v>
      </c>
      <c r="D3" s="3" t="s">
        <v>350</v>
      </c>
      <c r="E3" s="3">
        <v>55000</v>
      </c>
      <c r="F3" s="3">
        <v>700000</v>
      </c>
      <c r="G3" s="4">
        <v>0.41</v>
      </c>
      <c r="H3" s="79">
        <f>(Table5_214[[#This Row],[Engagement_Uplift]]/Table5_214[[#This Row],[Ad_Spend]])*10000</f>
        <v>7.454545454545454E-2</v>
      </c>
    </row>
    <row r="4" spans="1:8" x14ac:dyDescent="0.3">
      <c r="A4" s="5" t="s">
        <v>45</v>
      </c>
      <c r="B4" s="2">
        <v>45566</v>
      </c>
      <c r="C4" s="2">
        <v>45596</v>
      </c>
      <c r="D4" s="3" t="s">
        <v>349</v>
      </c>
      <c r="E4" s="3">
        <v>60000</v>
      </c>
      <c r="F4" s="3">
        <v>780000</v>
      </c>
      <c r="G4" s="4">
        <v>0.38</v>
      </c>
      <c r="H4" s="79">
        <f>(Table5_214[[#This Row],[Engagement_Uplift]]/Table5_214[[#This Row],[Ad_Spend]])*10000</f>
        <v>6.3333333333333339E-2</v>
      </c>
    </row>
    <row r="5" spans="1:8" x14ac:dyDescent="0.3">
      <c r="A5" s="5" t="s">
        <v>20</v>
      </c>
      <c r="B5" s="2">
        <v>45901</v>
      </c>
      <c r="C5" s="2">
        <v>45930</v>
      </c>
      <c r="D5" s="3" t="s">
        <v>352</v>
      </c>
      <c r="E5" s="3">
        <v>75000</v>
      </c>
      <c r="F5" s="3">
        <v>880000</v>
      </c>
      <c r="G5" s="4">
        <v>0.47</v>
      </c>
      <c r="H5" s="79">
        <f>(Table5_214[[#This Row],[Engagement_Uplift]]/Table5_214[[#This Row],[Ad_Spend]])*10000</f>
        <v>6.2666666666666662E-2</v>
      </c>
    </row>
    <row r="6" spans="1:8" x14ac:dyDescent="0.3">
      <c r="A6" s="7" t="s">
        <v>29</v>
      </c>
      <c r="B6" s="8">
        <v>45458</v>
      </c>
      <c r="C6" s="8">
        <v>45488</v>
      </c>
      <c r="D6" s="9" t="s">
        <v>348</v>
      </c>
      <c r="E6" s="9">
        <v>85000</v>
      </c>
      <c r="F6" s="9">
        <v>950000</v>
      </c>
      <c r="G6" s="80">
        <v>0.45</v>
      </c>
      <c r="H6" s="81">
        <f>(Table5_214[[#This Row],[Engagement_Uplift]]/Table5_214[[#This Row],[Ad_Spend]])*10000</f>
        <v>5.2941176470588241E-2</v>
      </c>
    </row>
    <row r="11" spans="1:8" x14ac:dyDescent="0.3">
      <c r="A11" s="74" t="s">
        <v>477</v>
      </c>
    </row>
    <row r="13" spans="1:8" x14ac:dyDescent="0.3">
      <c r="A13" t="s">
        <v>454</v>
      </c>
    </row>
    <row r="14" spans="1:8" x14ac:dyDescent="0.3">
      <c r="A14" t="s">
        <v>478</v>
      </c>
    </row>
    <row r="15" spans="1:8" x14ac:dyDescent="0.3">
      <c r="A15" t="s">
        <v>479</v>
      </c>
    </row>
    <row r="16" spans="1:8" x14ac:dyDescent="0.3">
      <c r="A16" t="s">
        <v>480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04D90-6295-4B01-B6E4-77652C17C7E8}">
  <dimension ref="A1:M201"/>
  <sheetViews>
    <sheetView topLeftCell="I1" zoomScale="118" workbookViewId="0">
      <selection activeCell="L20" sqref="L20"/>
    </sheetView>
  </sheetViews>
  <sheetFormatPr defaultRowHeight="14.4" x14ac:dyDescent="0.3"/>
  <cols>
    <col min="1" max="1" width="22" bestFit="1" customWidth="1"/>
    <col min="2" max="2" width="12.5546875" bestFit="1" customWidth="1"/>
    <col min="3" max="3" width="20" bestFit="1" customWidth="1"/>
    <col min="4" max="4" width="14.109375" bestFit="1" customWidth="1"/>
    <col min="5" max="5" width="20.77734375" bestFit="1" customWidth="1"/>
    <col min="6" max="6" width="23.21875" bestFit="1" customWidth="1"/>
    <col min="7" max="7" width="13.88671875" bestFit="1" customWidth="1"/>
    <col min="8" max="8" width="23.6640625" bestFit="1" customWidth="1"/>
    <col min="9" max="9" width="21.21875" bestFit="1" customWidth="1"/>
    <col min="12" max="12" width="23.6640625" bestFit="1" customWidth="1"/>
    <col min="13" max="13" width="24.44140625" bestFit="1" customWidth="1"/>
  </cols>
  <sheetData>
    <row r="1" spans="1:13" ht="17.399999999999999" x14ac:dyDescent="0.45">
      <c r="A1" s="1" t="s">
        <v>337</v>
      </c>
      <c r="B1" s="1" t="s">
        <v>1</v>
      </c>
      <c r="C1" s="1" t="s">
        <v>338</v>
      </c>
      <c r="D1" s="1" t="s">
        <v>339</v>
      </c>
      <c r="E1" s="1" t="s">
        <v>340</v>
      </c>
      <c r="F1" s="1" t="s">
        <v>341</v>
      </c>
      <c r="G1" s="1" t="s">
        <v>342</v>
      </c>
      <c r="H1" s="14" t="s">
        <v>11</v>
      </c>
      <c r="I1" s="1" t="s">
        <v>452</v>
      </c>
    </row>
    <row r="2" spans="1:13" x14ac:dyDescent="0.3">
      <c r="A2" s="2">
        <v>45446</v>
      </c>
      <c r="B2" s="3" t="s">
        <v>22</v>
      </c>
      <c r="C2" s="3">
        <v>4138</v>
      </c>
      <c r="D2" s="3">
        <v>361</v>
      </c>
      <c r="E2" s="3">
        <v>103777</v>
      </c>
      <c r="F2" s="4">
        <v>56.637790647253247</v>
      </c>
      <c r="G2" s="3">
        <v>23944</v>
      </c>
      <c r="H2" s="49" t="str">
        <f>'Task 3.1'!N25</f>
        <v>Health &amp; Fitness Awareness</v>
      </c>
      <c r="I2" s="49">
        <f>Table3_215[[#This Row],[New_Followers]]-Table3_215[[#This Row],[Unfollows]]</f>
        <v>3777</v>
      </c>
    </row>
    <row r="3" spans="1:13" x14ac:dyDescent="0.3">
      <c r="A3" s="2">
        <v>45446</v>
      </c>
      <c r="B3" s="3" t="s">
        <v>40</v>
      </c>
      <c r="C3" s="3">
        <v>8693</v>
      </c>
      <c r="D3" s="3">
        <v>1261</v>
      </c>
      <c r="E3" s="3">
        <v>111209</v>
      </c>
      <c r="F3" s="4">
        <v>69.475492091467416</v>
      </c>
      <c r="G3" s="3">
        <v>29873</v>
      </c>
      <c r="H3" s="3" t="str">
        <f>'Task 3.1'!N26</f>
        <v>Health &amp; Fitness Awareness</v>
      </c>
      <c r="I3" s="3">
        <f>Table3_215[[#This Row],[New_Followers]]-Table3_215[[#This Row],[Unfollows]]</f>
        <v>7432</v>
      </c>
    </row>
    <row r="4" spans="1:13" x14ac:dyDescent="0.3">
      <c r="A4" s="2">
        <v>45446</v>
      </c>
      <c r="B4" s="3" t="s">
        <v>13</v>
      </c>
      <c r="C4" s="3">
        <v>9264</v>
      </c>
      <c r="D4" s="3">
        <v>1141</v>
      </c>
      <c r="E4" s="3">
        <v>119332</v>
      </c>
      <c r="F4" s="4">
        <v>92.312204605638044</v>
      </c>
      <c r="G4" s="3">
        <v>50372</v>
      </c>
      <c r="H4" s="3" t="str">
        <f>'Task 3.1'!N27</f>
        <v>Sustainability Branding</v>
      </c>
      <c r="I4" s="3">
        <f>Table3_215[[#This Row],[New_Followers]]-Table3_215[[#This Row],[Unfollows]]</f>
        <v>8123</v>
      </c>
    </row>
    <row r="5" spans="1:13" x14ac:dyDescent="0.3">
      <c r="A5" s="2">
        <v>45446</v>
      </c>
      <c r="B5" s="3" t="s">
        <v>13</v>
      </c>
      <c r="C5" s="3">
        <v>8842</v>
      </c>
      <c r="D5" s="3">
        <v>971</v>
      </c>
      <c r="E5" s="3">
        <v>127203</v>
      </c>
      <c r="F5" s="4">
        <v>16.351815601833291</v>
      </c>
      <c r="G5" s="3">
        <v>33928</v>
      </c>
      <c r="H5" s="3" t="str">
        <f>'Task 3.1'!N28</f>
        <v>Sustainability Branding</v>
      </c>
      <c r="I5" s="3">
        <f>Table3_215[[#This Row],[New_Followers]]-Table3_215[[#This Row],[Unfollows]]</f>
        <v>7871</v>
      </c>
      <c r="L5" s="26" t="s">
        <v>383</v>
      </c>
      <c r="M5" t="s">
        <v>453</v>
      </c>
    </row>
    <row r="6" spans="1:13" x14ac:dyDescent="0.3">
      <c r="A6" s="2">
        <v>45453</v>
      </c>
      <c r="B6" s="3" t="s">
        <v>22</v>
      </c>
      <c r="C6" s="3">
        <v>7721</v>
      </c>
      <c r="D6" s="3">
        <v>506</v>
      </c>
      <c r="E6" s="3">
        <v>134418</v>
      </c>
      <c r="F6" s="4">
        <v>35.577824398518047</v>
      </c>
      <c r="G6" s="3">
        <v>25379</v>
      </c>
      <c r="H6" s="3" t="str">
        <f>'Task 3.1'!N29</f>
        <v>Health &amp; Fitness Awareness</v>
      </c>
      <c r="I6" s="3">
        <f>Table3_215[[#This Row],[New_Followers]]-Table3_215[[#This Row],[Unfollows]]</f>
        <v>7215</v>
      </c>
      <c r="L6" s="27" t="s">
        <v>352</v>
      </c>
      <c r="M6" s="20">
        <v>5999.347826086957</v>
      </c>
    </row>
    <row r="7" spans="1:13" x14ac:dyDescent="0.3">
      <c r="A7" s="2">
        <v>45453</v>
      </c>
      <c r="B7" s="3" t="s">
        <v>13</v>
      </c>
      <c r="C7" s="3">
        <v>8002</v>
      </c>
      <c r="D7" s="3">
        <v>524</v>
      </c>
      <c r="E7" s="3">
        <v>141896</v>
      </c>
      <c r="F7" s="4">
        <v>52.064892597395271</v>
      </c>
      <c r="G7" s="3">
        <v>46751</v>
      </c>
      <c r="H7" s="3" t="str">
        <f>'Task 3.1'!N30</f>
        <v>Health &amp; Fitness Awareness</v>
      </c>
      <c r="I7" s="3">
        <f>Table3_215[[#This Row],[New_Followers]]-Table3_215[[#This Row],[Unfollows]]</f>
        <v>7478</v>
      </c>
      <c r="L7" s="27" t="s">
        <v>349</v>
      </c>
      <c r="M7" s="20">
        <v>5976.9333333333334</v>
      </c>
    </row>
    <row r="8" spans="1:13" x14ac:dyDescent="0.3">
      <c r="A8" s="2">
        <v>45453</v>
      </c>
      <c r="B8" s="3" t="s">
        <v>40</v>
      </c>
      <c r="C8" s="3">
        <v>5225</v>
      </c>
      <c r="D8" s="3">
        <v>291</v>
      </c>
      <c r="E8" s="3">
        <v>146830</v>
      </c>
      <c r="F8" s="4">
        <v>19.551862698358651</v>
      </c>
      <c r="G8" s="3">
        <v>44546</v>
      </c>
      <c r="H8" s="3" t="str">
        <f>'Task 3.1'!N31</f>
        <v>Product Launch</v>
      </c>
      <c r="I8" s="3">
        <f>Table3_215[[#This Row],[New_Followers]]-Table3_215[[#This Row],[Unfollows]]</f>
        <v>4934</v>
      </c>
      <c r="L8" s="27" t="s">
        <v>350</v>
      </c>
      <c r="M8" s="20">
        <v>5432.152173913043</v>
      </c>
    </row>
    <row r="9" spans="1:13" x14ac:dyDescent="0.3">
      <c r="A9" s="2">
        <v>45453</v>
      </c>
      <c r="B9" s="3" t="s">
        <v>40</v>
      </c>
      <c r="C9" s="3">
        <v>3978</v>
      </c>
      <c r="D9" s="3">
        <v>543</v>
      </c>
      <c r="E9" s="3">
        <v>150265</v>
      </c>
      <c r="F9" s="4">
        <v>49.159817655475329</v>
      </c>
      <c r="G9" s="3">
        <v>34286</v>
      </c>
      <c r="H9" s="3" t="str">
        <f>'Task 3.1'!N32</f>
        <v>Health &amp; Fitness Awareness</v>
      </c>
      <c r="I9" s="3">
        <f>Table3_215[[#This Row],[New_Followers]]-Table3_215[[#This Row],[Unfollows]]</f>
        <v>3435</v>
      </c>
      <c r="L9" s="27" t="s">
        <v>348</v>
      </c>
      <c r="M9" s="20">
        <v>4902.4146341463411</v>
      </c>
    </row>
    <row r="10" spans="1:13" x14ac:dyDescent="0.3">
      <c r="A10" s="2">
        <v>45460</v>
      </c>
      <c r="B10" s="3" t="s">
        <v>22</v>
      </c>
      <c r="C10" s="3">
        <v>8373</v>
      </c>
      <c r="D10" s="3">
        <v>921</v>
      </c>
      <c r="E10" s="3">
        <v>157717</v>
      </c>
      <c r="F10" s="4">
        <v>12.2263294381709</v>
      </c>
      <c r="G10" s="3">
        <v>15110</v>
      </c>
      <c r="H10" s="3" t="str">
        <f>'Task 3.1'!N33</f>
        <v>Health &amp; Fitness Awareness</v>
      </c>
      <c r="I10" s="3">
        <f>Table3_215[[#This Row],[New_Followers]]-Table3_215[[#This Row],[Unfollows]]</f>
        <v>7452</v>
      </c>
      <c r="L10" s="27" t="s">
        <v>351</v>
      </c>
      <c r="M10" s="20">
        <v>4871.405405405405</v>
      </c>
    </row>
    <row r="11" spans="1:13" x14ac:dyDescent="0.3">
      <c r="A11" s="2">
        <v>45460</v>
      </c>
      <c r="B11" s="3" t="s">
        <v>40</v>
      </c>
      <c r="C11" s="3">
        <v>6907</v>
      </c>
      <c r="D11" s="3">
        <v>834</v>
      </c>
      <c r="E11" s="3">
        <v>163790</v>
      </c>
      <c r="F11" s="4">
        <v>54.158984064961238</v>
      </c>
      <c r="G11" s="3">
        <v>22087</v>
      </c>
      <c r="H11" s="3" t="str">
        <f>'Task 3.1'!N34</f>
        <v>Product Launch</v>
      </c>
      <c r="I11" s="3">
        <f>Table3_215[[#This Row],[New_Followers]]-Table3_215[[#This Row],[Unfollows]]</f>
        <v>6073</v>
      </c>
      <c r="L11" s="27" t="s">
        <v>384</v>
      </c>
      <c r="M11" s="20">
        <v>5431.99</v>
      </c>
    </row>
    <row r="12" spans="1:13" x14ac:dyDescent="0.3">
      <c r="A12" s="2">
        <v>45460</v>
      </c>
      <c r="B12" s="3" t="s">
        <v>18</v>
      </c>
      <c r="C12" s="3">
        <v>7097</v>
      </c>
      <c r="D12" s="3">
        <v>369</v>
      </c>
      <c r="E12" s="3">
        <v>170518</v>
      </c>
      <c r="F12" s="4">
        <v>9.2506362964613711</v>
      </c>
      <c r="G12" s="3">
        <v>33762</v>
      </c>
      <c r="H12" s="3" t="str">
        <f>'Task 3.1'!N35</f>
        <v>Brand Engagement</v>
      </c>
      <c r="I12" s="3">
        <f>Table3_215[[#This Row],[New_Followers]]-Table3_215[[#This Row],[Unfollows]]</f>
        <v>6728</v>
      </c>
    </row>
    <row r="13" spans="1:13" x14ac:dyDescent="0.3">
      <c r="A13" s="2">
        <v>45460</v>
      </c>
      <c r="B13" s="3" t="s">
        <v>22</v>
      </c>
      <c r="C13" s="3">
        <v>6656</v>
      </c>
      <c r="D13" s="3">
        <v>978</v>
      </c>
      <c r="E13" s="3">
        <v>176196</v>
      </c>
      <c r="F13" s="4">
        <v>60.425889350496043</v>
      </c>
      <c r="G13" s="3">
        <v>27081</v>
      </c>
      <c r="H13" s="3" t="str">
        <f>'Task 3.1'!N36</f>
        <v>Brand Engagement</v>
      </c>
      <c r="I13" s="3">
        <f>Table3_215[[#This Row],[New_Followers]]-Table3_215[[#This Row],[Unfollows]]</f>
        <v>5678</v>
      </c>
    </row>
    <row r="14" spans="1:13" x14ac:dyDescent="0.3">
      <c r="A14" s="2">
        <v>45467</v>
      </c>
      <c r="B14" s="3" t="s">
        <v>40</v>
      </c>
      <c r="C14" s="3">
        <v>9984</v>
      </c>
      <c r="D14" s="3">
        <v>1330</v>
      </c>
      <c r="E14" s="3">
        <v>184850</v>
      </c>
      <c r="F14" s="4">
        <v>57.524479307546663</v>
      </c>
      <c r="G14" s="3">
        <v>44947</v>
      </c>
      <c r="H14" s="3" t="str">
        <f>'Task 3.1'!N37</f>
        <v>Brand Engagement</v>
      </c>
      <c r="I14" s="3">
        <f>Table3_215[[#This Row],[New_Followers]]-Table3_215[[#This Row],[Unfollows]]</f>
        <v>8654</v>
      </c>
      <c r="L14" s="78" t="s">
        <v>481</v>
      </c>
    </row>
    <row r="15" spans="1:13" x14ac:dyDescent="0.3">
      <c r="A15" s="2">
        <v>45467</v>
      </c>
      <c r="B15" s="3" t="s">
        <v>22</v>
      </c>
      <c r="C15" s="3">
        <v>5259</v>
      </c>
      <c r="D15" s="3">
        <v>374</v>
      </c>
      <c r="E15" s="3">
        <v>189735</v>
      </c>
      <c r="F15" s="4">
        <v>14.827522597306769</v>
      </c>
      <c r="G15" s="3">
        <v>19596</v>
      </c>
      <c r="H15" s="3" t="str">
        <f>'Task 3.1'!N38</f>
        <v>Brand Engagement</v>
      </c>
      <c r="I15" s="3">
        <f>Table3_215[[#This Row],[New_Followers]]-Table3_215[[#This Row],[Unfollows]]</f>
        <v>4885</v>
      </c>
    </row>
    <row r="16" spans="1:13" x14ac:dyDescent="0.3">
      <c r="A16" s="2">
        <v>45467</v>
      </c>
      <c r="B16" s="3" t="s">
        <v>13</v>
      </c>
      <c r="C16" s="3">
        <v>9286</v>
      </c>
      <c r="D16" s="3">
        <v>633</v>
      </c>
      <c r="E16" s="3">
        <v>198388</v>
      </c>
      <c r="F16" s="4">
        <v>5.4343004617214756</v>
      </c>
      <c r="G16" s="3">
        <v>48019</v>
      </c>
      <c r="H16" s="3" t="str">
        <f>'Task 3.1'!N39</f>
        <v>Brand Engagement</v>
      </c>
      <c r="I16" s="3">
        <f>Table3_215[[#This Row],[New_Followers]]-Table3_215[[#This Row],[Unfollows]]</f>
        <v>8653</v>
      </c>
      <c r="L16" t="s">
        <v>482</v>
      </c>
    </row>
    <row r="17" spans="1:12" x14ac:dyDescent="0.3">
      <c r="A17" s="2">
        <v>45467</v>
      </c>
      <c r="B17" s="3" t="s">
        <v>40</v>
      </c>
      <c r="C17" s="3">
        <v>6901</v>
      </c>
      <c r="D17" s="3">
        <v>471</v>
      </c>
      <c r="E17" s="3">
        <v>204818</v>
      </c>
      <c r="F17" s="4">
        <v>60.827661631301943</v>
      </c>
      <c r="G17" s="3">
        <v>52003</v>
      </c>
      <c r="H17" s="3" t="str">
        <f>'Task 3.1'!N40</f>
        <v>Product Promotion</v>
      </c>
      <c r="I17" s="3">
        <f>Table3_215[[#This Row],[New_Followers]]-Table3_215[[#This Row],[Unfollows]]</f>
        <v>6430</v>
      </c>
      <c r="L17" t="s">
        <v>483</v>
      </c>
    </row>
    <row r="18" spans="1:12" x14ac:dyDescent="0.3">
      <c r="A18" s="2">
        <v>45474</v>
      </c>
      <c r="B18" s="3" t="s">
        <v>18</v>
      </c>
      <c r="C18" s="3">
        <v>5917</v>
      </c>
      <c r="D18" s="3">
        <v>475</v>
      </c>
      <c r="E18" s="3">
        <v>210260</v>
      </c>
      <c r="F18" s="4">
        <v>17.894035955483691</v>
      </c>
      <c r="G18" s="3">
        <v>28313</v>
      </c>
      <c r="H18" s="3" t="str">
        <f>'Task 3.1'!N41</f>
        <v>Product Promotion</v>
      </c>
      <c r="I18" s="3">
        <f>Table3_215[[#This Row],[New_Followers]]-Table3_215[[#This Row],[Unfollows]]</f>
        <v>5442</v>
      </c>
    </row>
    <row r="19" spans="1:12" x14ac:dyDescent="0.3">
      <c r="A19" s="2">
        <v>45474</v>
      </c>
      <c r="B19" s="3" t="s">
        <v>40</v>
      </c>
      <c r="C19" s="3">
        <v>9429</v>
      </c>
      <c r="D19" s="3">
        <v>966</v>
      </c>
      <c r="E19" s="3">
        <v>218723</v>
      </c>
      <c r="F19" s="4">
        <v>7.6914636320825887</v>
      </c>
      <c r="G19" s="3">
        <v>57639</v>
      </c>
      <c r="H19" s="3" t="str">
        <f>'Task 3.1'!N42</f>
        <v>Product Launch</v>
      </c>
      <c r="I19" s="3">
        <f>Table3_215[[#This Row],[New_Followers]]-Table3_215[[#This Row],[Unfollows]]</f>
        <v>8463</v>
      </c>
    </row>
    <row r="20" spans="1:12" x14ac:dyDescent="0.3">
      <c r="A20" s="2">
        <v>45474</v>
      </c>
      <c r="B20" s="3" t="s">
        <v>22</v>
      </c>
      <c r="C20" s="3">
        <v>3530</v>
      </c>
      <c r="D20" s="3">
        <v>328</v>
      </c>
      <c r="E20" s="3">
        <v>221925</v>
      </c>
      <c r="F20" s="4">
        <v>12.8372197814577</v>
      </c>
      <c r="G20" s="3">
        <v>11013</v>
      </c>
      <c r="H20" s="3" t="str">
        <f>'Task 3.1'!N43</f>
        <v>Product Launch</v>
      </c>
      <c r="I20" s="3">
        <f>Table3_215[[#This Row],[New_Followers]]-Table3_215[[#This Row],[Unfollows]]</f>
        <v>3202</v>
      </c>
    </row>
    <row r="21" spans="1:12" x14ac:dyDescent="0.3">
      <c r="A21" s="2">
        <v>45474</v>
      </c>
      <c r="B21" s="3" t="s">
        <v>22</v>
      </c>
      <c r="C21" s="3">
        <v>2960</v>
      </c>
      <c r="D21" s="3">
        <v>234</v>
      </c>
      <c r="E21" s="3">
        <v>224651</v>
      </c>
      <c r="F21" s="4">
        <v>17.41278694508371</v>
      </c>
      <c r="G21" s="3">
        <v>59378</v>
      </c>
      <c r="H21" s="3" t="str">
        <f>'Task 3.1'!N44</f>
        <v>Sustainability Branding</v>
      </c>
      <c r="I21" s="3">
        <f>Table3_215[[#This Row],[New_Followers]]-Table3_215[[#This Row],[Unfollows]]</f>
        <v>2726</v>
      </c>
    </row>
    <row r="22" spans="1:12" x14ac:dyDescent="0.3">
      <c r="A22" s="2">
        <v>45481</v>
      </c>
      <c r="B22" s="3" t="s">
        <v>40</v>
      </c>
      <c r="C22" s="3">
        <v>8045</v>
      </c>
      <c r="D22" s="3">
        <v>894</v>
      </c>
      <c r="E22" s="3">
        <v>231802</v>
      </c>
      <c r="F22" s="4">
        <v>47.634187798207087</v>
      </c>
      <c r="G22" s="3">
        <v>33705</v>
      </c>
      <c r="H22" s="3" t="str">
        <f>'Task 3.1'!N45</f>
        <v>Sustainability Branding</v>
      </c>
      <c r="I22" s="3">
        <f>Table3_215[[#This Row],[New_Followers]]-Table3_215[[#This Row],[Unfollows]]</f>
        <v>7151</v>
      </c>
    </row>
    <row r="23" spans="1:12" x14ac:dyDescent="0.3">
      <c r="A23" s="2">
        <v>45481</v>
      </c>
      <c r="B23" s="3" t="s">
        <v>18</v>
      </c>
      <c r="C23" s="3">
        <v>2048</v>
      </c>
      <c r="D23" s="3">
        <v>130</v>
      </c>
      <c r="E23" s="3">
        <v>233720</v>
      </c>
      <c r="F23" s="4">
        <v>39.284614068115687</v>
      </c>
      <c r="G23" s="3">
        <v>11828</v>
      </c>
      <c r="H23" s="3" t="str">
        <f>'Task 3.1'!N46</f>
        <v>Brand Engagement</v>
      </c>
      <c r="I23" s="3">
        <f>Table3_215[[#This Row],[New_Followers]]-Table3_215[[#This Row],[Unfollows]]</f>
        <v>1918</v>
      </c>
    </row>
    <row r="24" spans="1:12" x14ac:dyDescent="0.3">
      <c r="A24" s="2">
        <v>45481</v>
      </c>
      <c r="B24" s="3" t="s">
        <v>18</v>
      </c>
      <c r="C24" s="3">
        <v>6772</v>
      </c>
      <c r="D24" s="3">
        <v>536</v>
      </c>
      <c r="E24" s="3">
        <v>239956</v>
      </c>
      <c r="F24" s="4">
        <v>9.8205504342462788</v>
      </c>
      <c r="G24" s="3">
        <v>17909</v>
      </c>
      <c r="H24" s="3" t="str">
        <f>'Task 3.1'!N47</f>
        <v>Brand Engagement</v>
      </c>
      <c r="I24" s="3">
        <f>Table3_215[[#This Row],[New_Followers]]-Table3_215[[#This Row],[Unfollows]]</f>
        <v>6236</v>
      </c>
    </row>
    <row r="25" spans="1:12" x14ac:dyDescent="0.3">
      <c r="A25" s="2">
        <v>45481</v>
      </c>
      <c r="B25" s="3" t="s">
        <v>18</v>
      </c>
      <c r="C25" s="3">
        <v>3529</v>
      </c>
      <c r="D25" s="3">
        <v>305</v>
      </c>
      <c r="E25" s="3">
        <v>243180</v>
      </c>
      <c r="F25" s="4">
        <v>41.606628834608109</v>
      </c>
      <c r="G25" s="3">
        <v>48356</v>
      </c>
      <c r="H25" s="3" t="str">
        <f>'Task 3.1'!N48</f>
        <v>Brand Engagement</v>
      </c>
      <c r="I25" s="3">
        <f>Table3_215[[#This Row],[New_Followers]]-Table3_215[[#This Row],[Unfollows]]</f>
        <v>3224</v>
      </c>
    </row>
    <row r="26" spans="1:12" x14ac:dyDescent="0.3">
      <c r="A26" s="2">
        <v>45488</v>
      </c>
      <c r="B26" s="3" t="s">
        <v>22</v>
      </c>
      <c r="C26" s="3">
        <v>3964</v>
      </c>
      <c r="D26" s="3">
        <v>378</v>
      </c>
      <c r="E26" s="3">
        <v>246766</v>
      </c>
      <c r="F26" s="4">
        <v>13.6355899921383</v>
      </c>
      <c r="G26" s="3">
        <v>23109</v>
      </c>
      <c r="H26" s="3" t="str">
        <f>'Task 3.1'!N49</f>
        <v>Brand Engagement</v>
      </c>
      <c r="I26" s="3">
        <f>Table3_215[[#This Row],[New_Followers]]-Table3_215[[#This Row],[Unfollows]]</f>
        <v>3586</v>
      </c>
    </row>
    <row r="27" spans="1:12" x14ac:dyDescent="0.3">
      <c r="A27" s="2">
        <v>45488</v>
      </c>
      <c r="B27" s="3" t="s">
        <v>40</v>
      </c>
      <c r="C27" s="3">
        <v>8137</v>
      </c>
      <c r="D27" s="3">
        <v>1045</v>
      </c>
      <c r="E27" s="3">
        <v>253858</v>
      </c>
      <c r="F27" s="4">
        <v>20.47246886054408</v>
      </c>
      <c r="G27" s="3">
        <v>12023</v>
      </c>
      <c r="H27" s="3" t="str">
        <f>'Task 3.1'!N50</f>
        <v>Product Promotion</v>
      </c>
      <c r="I27" s="3">
        <f>Table3_215[[#This Row],[New_Followers]]-Table3_215[[#This Row],[Unfollows]]</f>
        <v>7092</v>
      </c>
    </row>
    <row r="28" spans="1:12" x14ac:dyDescent="0.3">
      <c r="A28" s="2">
        <v>45488</v>
      </c>
      <c r="B28" s="3" t="s">
        <v>13</v>
      </c>
      <c r="C28" s="3">
        <v>1963</v>
      </c>
      <c r="D28" s="3">
        <v>137</v>
      </c>
      <c r="E28" s="3">
        <v>255684</v>
      </c>
      <c r="F28" s="4">
        <v>11.2083665774941</v>
      </c>
      <c r="G28" s="3">
        <v>24537</v>
      </c>
      <c r="H28" s="3" t="str">
        <f>'Task 3.1'!N51</f>
        <v>Sustainability Branding</v>
      </c>
      <c r="I28" s="3">
        <f>Table3_215[[#This Row],[New_Followers]]-Table3_215[[#This Row],[Unfollows]]</f>
        <v>1826</v>
      </c>
    </row>
    <row r="29" spans="1:12" x14ac:dyDescent="0.3">
      <c r="A29" s="2">
        <v>45488</v>
      </c>
      <c r="B29" s="3" t="s">
        <v>22</v>
      </c>
      <c r="C29" s="3">
        <v>1536</v>
      </c>
      <c r="D29" s="3">
        <v>155</v>
      </c>
      <c r="E29" s="3">
        <v>257065</v>
      </c>
      <c r="F29" s="4">
        <v>12.15762550327738</v>
      </c>
      <c r="G29" s="3">
        <v>36661</v>
      </c>
      <c r="H29" s="3" t="str">
        <f>'Task 3.1'!N52</f>
        <v>Sustainability Branding</v>
      </c>
      <c r="I29" s="3">
        <f>Table3_215[[#This Row],[New_Followers]]-Table3_215[[#This Row],[Unfollows]]</f>
        <v>1381</v>
      </c>
    </row>
    <row r="30" spans="1:12" x14ac:dyDescent="0.3">
      <c r="A30" s="2">
        <v>45495</v>
      </c>
      <c r="B30" s="3" t="s">
        <v>18</v>
      </c>
      <c r="C30" s="3">
        <v>8340</v>
      </c>
      <c r="D30" s="3">
        <v>911</v>
      </c>
      <c r="E30" s="3">
        <v>264494</v>
      </c>
      <c r="F30" s="4">
        <v>37.302925586213682</v>
      </c>
      <c r="G30" s="3">
        <v>48659</v>
      </c>
      <c r="H30" s="3" t="str">
        <f>'Task 3.1'!N53</f>
        <v>Health &amp; Fitness Awareness</v>
      </c>
      <c r="I30" s="3">
        <f>Table3_215[[#This Row],[New_Followers]]-Table3_215[[#This Row],[Unfollows]]</f>
        <v>7429</v>
      </c>
    </row>
    <row r="31" spans="1:12" x14ac:dyDescent="0.3">
      <c r="A31" s="2">
        <v>45495</v>
      </c>
      <c r="B31" s="3" t="s">
        <v>40</v>
      </c>
      <c r="C31" s="3">
        <v>8179</v>
      </c>
      <c r="D31" s="3">
        <v>446</v>
      </c>
      <c r="E31" s="3">
        <v>272227</v>
      </c>
      <c r="F31" s="4">
        <v>41.82171496581897</v>
      </c>
      <c r="G31" s="3">
        <v>43848</v>
      </c>
      <c r="H31" s="3" t="str">
        <f>'Task 3.1'!N54</f>
        <v>Health &amp; Fitness Awareness</v>
      </c>
      <c r="I31" s="3">
        <f>Table3_215[[#This Row],[New_Followers]]-Table3_215[[#This Row],[Unfollows]]</f>
        <v>7733</v>
      </c>
    </row>
    <row r="32" spans="1:12" x14ac:dyDescent="0.3">
      <c r="A32" s="2">
        <v>45495</v>
      </c>
      <c r="B32" s="3" t="s">
        <v>18</v>
      </c>
      <c r="C32" s="3">
        <v>8967</v>
      </c>
      <c r="D32" s="3">
        <v>993</v>
      </c>
      <c r="E32" s="3">
        <v>280201</v>
      </c>
      <c r="F32" s="4">
        <v>52.792102811910027</v>
      </c>
      <c r="G32" s="3">
        <v>47804</v>
      </c>
      <c r="H32" s="3" t="str">
        <f>'Task 3.1'!N55</f>
        <v>Brand Engagement</v>
      </c>
      <c r="I32" s="3">
        <f>Table3_215[[#This Row],[New_Followers]]-Table3_215[[#This Row],[Unfollows]]</f>
        <v>7974</v>
      </c>
    </row>
    <row r="33" spans="1:9" x14ac:dyDescent="0.3">
      <c r="A33" s="2">
        <v>45495</v>
      </c>
      <c r="B33" s="3" t="s">
        <v>13</v>
      </c>
      <c r="C33" s="3">
        <v>9734</v>
      </c>
      <c r="D33" s="3">
        <v>652</v>
      </c>
      <c r="E33" s="3">
        <v>289283</v>
      </c>
      <c r="F33" s="4">
        <v>49.647922622483861</v>
      </c>
      <c r="G33" s="3">
        <v>25379</v>
      </c>
      <c r="H33" s="3" t="str">
        <f>'Task 3.1'!N56</f>
        <v>Sustainability Branding</v>
      </c>
      <c r="I33" s="3">
        <f>Table3_215[[#This Row],[New_Followers]]-Table3_215[[#This Row],[Unfollows]]</f>
        <v>9082</v>
      </c>
    </row>
    <row r="34" spans="1:9" x14ac:dyDescent="0.3">
      <c r="A34" s="2">
        <v>45502</v>
      </c>
      <c r="B34" s="3" t="s">
        <v>18</v>
      </c>
      <c r="C34" s="3">
        <v>1845</v>
      </c>
      <c r="D34" s="3">
        <v>104</v>
      </c>
      <c r="E34" s="3">
        <v>291024</v>
      </c>
      <c r="F34" s="4">
        <v>28.158158777282971</v>
      </c>
      <c r="G34" s="3">
        <v>37766</v>
      </c>
      <c r="H34" s="3" t="str">
        <f>'Task 3.1'!N57</f>
        <v>Sustainability Branding</v>
      </c>
      <c r="I34" s="3">
        <f>Table3_215[[#This Row],[New_Followers]]-Table3_215[[#This Row],[Unfollows]]</f>
        <v>1741</v>
      </c>
    </row>
    <row r="35" spans="1:9" x14ac:dyDescent="0.3">
      <c r="A35" s="2">
        <v>45502</v>
      </c>
      <c r="B35" s="3" t="s">
        <v>18</v>
      </c>
      <c r="C35" s="3">
        <v>6777</v>
      </c>
      <c r="D35" s="3">
        <v>981</v>
      </c>
      <c r="E35" s="3">
        <v>296820</v>
      </c>
      <c r="F35" s="4">
        <v>23.920557913887201</v>
      </c>
      <c r="G35" s="3">
        <v>53590</v>
      </c>
      <c r="H35" s="3" t="str">
        <f>'Task 3.1'!N58</f>
        <v>Sustainability Branding</v>
      </c>
      <c r="I35" s="3">
        <f>Table3_215[[#This Row],[New_Followers]]-Table3_215[[#This Row],[Unfollows]]</f>
        <v>5796</v>
      </c>
    </row>
    <row r="36" spans="1:9" x14ac:dyDescent="0.3">
      <c r="A36" s="2">
        <v>45502</v>
      </c>
      <c r="B36" s="3" t="s">
        <v>13</v>
      </c>
      <c r="C36" s="3">
        <v>4036</v>
      </c>
      <c r="D36" s="3">
        <v>591</v>
      </c>
      <c r="E36" s="3">
        <v>300265</v>
      </c>
      <c r="F36" s="4">
        <v>44.219272975538267</v>
      </c>
      <c r="G36" s="3">
        <v>12563</v>
      </c>
      <c r="H36" s="3" t="str">
        <f>'Task 3.1'!N59</f>
        <v>Sustainability Branding</v>
      </c>
      <c r="I36" s="3">
        <f>Table3_215[[#This Row],[New_Followers]]-Table3_215[[#This Row],[Unfollows]]</f>
        <v>3445</v>
      </c>
    </row>
    <row r="37" spans="1:9" x14ac:dyDescent="0.3">
      <c r="A37" s="2">
        <v>45502</v>
      </c>
      <c r="B37" s="3" t="s">
        <v>40</v>
      </c>
      <c r="C37" s="3">
        <v>6947</v>
      </c>
      <c r="D37" s="3">
        <v>908</v>
      </c>
      <c r="E37" s="3">
        <v>306304</v>
      </c>
      <c r="F37" s="4">
        <v>14.117673944839121</v>
      </c>
      <c r="G37" s="3">
        <v>46060</v>
      </c>
      <c r="H37" s="3" t="str">
        <f>'Task 3.1'!N60</f>
        <v>Product Promotion</v>
      </c>
      <c r="I37" s="3">
        <f>Table3_215[[#This Row],[New_Followers]]-Table3_215[[#This Row],[Unfollows]]</f>
        <v>6039</v>
      </c>
    </row>
    <row r="38" spans="1:9" x14ac:dyDescent="0.3">
      <c r="A38" s="2">
        <v>45509</v>
      </c>
      <c r="B38" s="3" t="s">
        <v>22</v>
      </c>
      <c r="C38" s="3">
        <v>3494</v>
      </c>
      <c r="D38" s="3">
        <v>281</v>
      </c>
      <c r="E38" s="3">
        <v>309517</v>
      </c>
      <c r="F38" s="4">
        <v>27.765518533715429</v>
      </c>
      <c r="G38" s="3">
        <v>39197</v>
      </c>
      <c r="H38" s="3" t="str">
        <f>'Task 3.1'!N61</f>
        <v>Brand Engagement</v>
      </c>
      <c r="I38" s="3">
        <f>Table3_215[[#This Row],[New_Followers]]-Table3_215[[#This Row],[Unfollows]]</f>
        <v>3213</v>
      </c>
    </row>
    <row r="39" spans="1:9" x14ac:dyDescent="0.3">
      <c r="A39" s="2">
        <v>45509</v>
      </c>
      <c r="B39" s="3" t="s">
        <v>40</v>
      </c>
      <c r="C39" s="3">
        <v>3719</v>
      </c>
      <c r="D39" s="3">
        <v>222</v>
      </c>
      <c r="E39" s="3">
        <v>313014</v>
      </c>
      <c r="F39" s="4">
        <v>21.669318305251519</v>
      </c>
      <c r="G39" s="3">
        <v>13586</v>
      </c>
      <c r="H39" s="3" t="str">
        <f>'Task 3.1'!N62</f>
        <v>Brand Engagement</v>
      </c>
      <c r="I39" s="3">
        <f>Table3_215[[#This Row],[New_Followers]]-Table3_215[[#This Row],[Unfollows]]</f>
        <v>3497</v>
      </c>
    </row>
    <row r="40" spans="1:9" x14ac:dyDescent="0.3">
      <c r="A40" s="2">
        <v>45509</v>
      </c>
      <c r="B40" s="3" t="s">
        <v>13</v>
      </c>
      <c r="C40" s="3">
        <v>2884</v>
      </c>
      <c r="D40" s="3">
        <v>341</v>
      </c>
      <c r="E40" s="3">
        <v>315557</v>
      </c>
      <c r="F40" s="4">
        <v>46.999749649033298</v>
      </c>
      <c r="G40" s="3">
        <v>26087</v>
      </c>
      <c r="H40" s="3" t="str">
        <f>'Task 3.1'!N63</f>
        <v>Product Launch</v>
      </c>
      <c r="I40" s="3">
        <f>Table3_215[[#This Row],[New_Followers]]-Table3_215[[#This Row],[Unfollows]]</f>
        <v>2543</v>
      </c>
    </row>
    <row r="41" spans="1:9" x14ac:dyDescent="0.3">
      <c r="A41" s="2">
        <v>45509</v>
      </c>
      <c r="B41" s="3" t="s">
        <v>18</v>
      </c>
      <c r="C41" s="3">
        <v>5349</v>
      </c>
      <c r="D41" s="3">
        <v>502</v>
      </c>
      <c r="E41" s="3">
        <v>320404</v>
      </c>
      <c r="F41" s="4">
        <v>5.2152906954969351</v>
      </c>
      <c r="G41" s="3">
        <v>58868</v>
      </c>
      <c r="H41" s="3" t="str">
        <f>'Task 3.1'!N64</f>
        <v>Product Launch</v>
      </c>
      <c r="I41" s="3">
        <f>Table3_215[[#This Row],[New_Followers]]-Table3_215[[#This Row],[Unfollows]]</f>
        <v>4847</v>
      </c>
    </row>
    <row r="42" spans="1:9" x14ac:dyDescent="0.3">
      <c r="A42" s="2">
        <v>45516</v>
      </c>
      <c r="B42" s="3" t="s">
        <v>40</v>
      </c>
      <c r="C42" s="3">
        <v>6179</v>
      </c>
      <c r="D42" s="3">
        <v>384</v>
      </c>
      <c r="E42" s="3">
        <v>326199</v>
      </c>
      <c r="F42" s="4">
        <v>14.71218489327067</v>
      </c>
      <c r="G42" s="3">
        <v>33225</v>
      </c>
      <c r="H42" s="3" t="str">
        <f>'Task 3.1'!N65</f>
        <v>Product Promotion</v>
      </c>
      <c r="I42" s="3">
        <f>Table3_215[[#This Row],[New_Followers]]-Table3_215[[#This Row],[Unfollows]]</f>
        <v>5795</v>
      </c>
    </row>
    <row r="43" spans="1:9" x14ac:dyDescent="0.3">
      <c r="A43" s="2">
        <v>45516</v>
      </c>
      <c r="B43" s="3" t="s">
        <v>22</v>
      </c>
      <c r="C43" s="3">
        <v>7610</v>
      </c>
      <c r="D43" s="3">
        <v>757</v>
      </c>
      <c r="E43" s="3">
        <v>333052</v>
      </c>
      <c r="F43" s="4">
        <v>44.450416151231643</v>
      </c>
      <c r="G43" s="3">
        <v>39750</v>
      </c>
      <c r="H43" s="3" t="str">
        <f>'Task 3.1'!N66</f>
        <v>Product Promotion</v>
      </c>
      <c r="I43" s="3">
        <f>Table3_215[[#This Row],[New_Followers]]-Table3_215[[#This Row],[Unfollows]]</f>
        <v>6853</v>
      </c>
    </row>
    <row r="44" spans="1:9" x14ac:dyDescent="0.3">
      <c r="A44" s="2">
        <v>45516</v>
      </c>
      <c r="B44" s="3" t="s">
        <v>13</v>
      </c>
      <c r="C44" s="3">
        <v>7430</v>
      </c>
      <c r="D44" s="3">
        <v>397</v>
      </c>
      <c r="E44" s="3">
        <v>340085</v>
      </c>
      <c r="F44" s="4">
        <v>28.065042562888689</v>
      </c>
      <c r="G44" s="3">
        <v>16643</v>
      </c>
      <c r="H44" s="3" t="str">
        <f>'Task 3.1'!N67</f>
        <v>Health &amp; Fitness Awareness</v>
      </c>
      <c r="I44" s="3">
        <f>Table3_215[[#This Row],[New_Followers]]-Table3_215[[#This Row],[Unfollows]]</f>
        <v>7033</v>
      </c>
    </row>
    <row r="45" spans="1:9" x14ac:dyDescent="0.3">
      <c r="A45" s="2">
        <v>45516</v>
      </c>
      <c r="B45" s="3" t="s">
        <v>40</v>
      </c>
      <c r="C45" s="3">
        <v>8154</v>
      </c>
      <c r="D45" s="3">
        <v>1149</v>
      </c>
      <c r="E45" s="3">
        <v>347090</v>
      </c>
      <c r="F45" s="4">
        <v>26.003918292085629</v>
      </c>
      <c r="G45" s="3">
        <v>37523</v>
      </c>
      <c r="H45" s="3" t="str">
        <f>'Task 3.1'!N68</f>
        <v>Health &amp; Fitness Awareness</v>
      </c>
      <c r="I45" s="3">
        <f>Table3_215[[#This Row],[New_Followers]]-Table3_215[[#This Row],[Unfollows]]</f>
        <v>7005</v>
      </c>
    </row>
    <row r="46" spans="1:9" x14ac:dyDescent="0.3">
      <c r="A46" s="2">
        <v>45523</v>
      </c>
      <c r="B46" s="3" t="s">
        <v>22</v>
      </c>
      <c r="C46" s="3">
        <v>7488</v>
      </c>
      <c r="D46" s="3">
        <v>568</v>
      </c>
      <c r="E46" s="3">
        <v>354010</v>
      </c>
      <c r="F46" s="4">
        <v>13.47730290104799</v>
      </c>
      <c r="G46" s="3">
        <v>46727</v>
      </c>
      <c r="H46" s="3" t="str">
        <f>'Task 3.1'!N69</f>
        <v>Product Promotion</v>
      </c>
      <c r="I46" s="3">
        <f>Table3_215[[#This Row],[New_Followers]]-Table3_215[[#This Row],[Unfollows]]</f>
        <v>6920</v>
      </c>
    </row>
    <row r="47" spans="1:9" x14ac:dyDescent="0.3">
      <c r="A47" s="2">
        <v>45523</v>
      </c>
      <c r="B47" s="3" t="s">
        <v>13</v>
      </c>
      <c r="C47" s="3">
        <v>5737</v>
      </c>
      <c r="D47" s="3">
        <v>666</v>
      </c>
      <c r="E47" s="3">
        <v>359081</v>
      </c>
      <c r="F47" s="4">
        <v>4.6034181702735593</v>
      </c>
      <c r="G47" s="3">
        <v>21005</v>
      </c>
      <c r="H47" s="3" t="str">
        <f>'Task 3.1'!N70</f>
        <v>Product Promotion</v>
      </c>
      <c r="I47" s="3">
        <f>Table3_215[[#This Row],[New_Followers]]-Table3_215[[#This Row],[Unfollows]]</f>
        <v>5071</v>
      </c>
    </row>
    <row r="48" spans="1:9" x14ac:dyDescent="0.3">
      <c r="A48" s="2">
        <v>45523</v>
      </c>
      <c r="B48" s="3" t="s">
        <v>22</v>
      </c>
      <c r="C48" s="3">
        <v>7525</v>
      </c>
      <c r="D48" s="3">
        <v>610</v>
      </c>
      <c r="E48" s="3">
        <v>365996</v>
      </c>
      <c r="F48" s="4">
        <v>5.7694619613329108</v>
      </c>
      <c r="G48" s="3">
        <v>53543</v>
      </c>
      <c r="H48" s="3" t="str">
        <f>'Task 3.1'!N71</f>
        <v>Product Promotion</v>
      </c>
      <c r="I48" s="3">
        <f>Table3_215[[#This Row],[New_Followers]]-Table3_215[[#This Row],[Unfollows]]</f>
        <v>6915</v>
      </c>
    </row>
    <row r="49" spans="1:9" x14ac:dyDescent="0.3">
      <c r="A49" s="2">
        <v>45523</v>
      </c>
      <c r="B49" s="3" t="s">
        <v>13</v>
      </c>
      <c r="C49" s="3">
        <v>4850</v>
      </c>
      <c r="D49" s="3">
        <v>494</v>
      </c>
      <c r="E49" s="3">
        <v>370352</v>
      </c>
      <c r="F49" s="4">
        <v>20.46539508359615</v>
      </c>
      <c r="G49" s="3">
        <v>10161</v>
      </c>
      <c r="H49" s="3" t="str">
        <f>'Task 3.1'!N72</f>
        <v>Product Promotion</v>
      </c>
      <c r="I49" s="3">
        <f>Table3_215[[#This Row],[New_Followers]]-Table3_215[[#This Row],[Unfollows]]</f>
        <v>4356</v>
      </c>
    </row>
    <row r="50" spans="1:9" x14ac:dyDescent="0.3">
      <c r="A50" s="2">
        <v>45530</v>
      </c>
      <c r="B50" s="3" t="s">
        <v>18</v>
      </c>
      <c r="C50" s="3">
        <v>1689</v>
      </c>
      <c r="D50" s="3">
        <v>176</v>
      </c>
      <c r="E50" s="3">
        <v>371865</v>
      </c>
      <c r="F50" s="4">
        <v>38.012181840183942</v>
      </c>
      <c r="G50" s="3">
        <v>26029</v>
      </c>
      <c r="H50" s="3" t="str">
        <f>'Task 3.1'!N73</f>
        <v>Product Launch</v>
      </c>
      <c r="I50" s="3">
        <f>Table3_215[[#This Row],[New_Followers]]-Table3_215[[#This Row],[Unfollows]]</f>
        <v>1513</v>
      </c>
    </row>
    <row r="51" spans="1:9" x14ac:dyDescent="0.3">
      <c r="A51" s="2">
        <v>45530</v>
      </c>
      <c r="B51" s="3" t="s">
        <v>40</v>
      </c>
      <c r="C51" s="3">
        <v>6175</v>
      </c>
      <c r="D51" s="3">
        <v>422</v>
      </c>
      <c r="E51" s="3">
        <v>377618</v>
      </c>
      <c r="F51" s="4">
        <v>37.86101298137271</v>
      </c>
      <c r="G51" s="3">
        <v>59745</v>
      </c>
      <c r="H51" s="3" t="str">
        <f>'Task 3.1'!N74</f>
        <v>Product Launch</v>
      </c>
      <c r="I51" s="3">
        <f>Table3_215[[#This Row],[New_Followers]]-Table3_215[[#This Row],[Unfollows]]</f>
        <v>5753</v>
      </c>
    </row>
    <row r="52" spans="1:9" x14ac:dyDescent="0.3">
      <c r="A52" s="2">
        <v>45530</v>
      </c>
      <c r="B52" s="3" t="s">
        <v>22</v>
      </c>
      <c r="C52" s="3">
        <v>9648</v>
      </c>
      <c r="D52" s="3">
        <v>1417</v>
      </c>
      <c r="E52" s="3">
        <v>385849</v>
      </c>
      <c r="F52" s="4">
        <v>3.6633501706626168</v>
      </c>
      <c r="G52" s="3">
        <v>24226</v>
      </c>
      <c r="H52" s="3" t="str">
        <f>'Task 3.1'!N75</f>
        <v>Brand Engagement</v>
      </c>
      <c r="I52" s="3">
        <f>Table3_215[[#This Row],[New_Followers]]-Table3_215[[#This Row],[Unfollows]]</f>
        <v>8231</v>
      </c>
    </row>
    <row r="53" spans="1:9" x14ac:dyDescent="0.3">
      <c r="A53" s="2">
        <v>45530</v>
      </c>
      <c r="B53" s="3" t="s">
        <v>13</v>
      </c>
      <c r="C53" s="3">
        <v>6078</v>
      </c>
      <c r="D53" s="3">
        <v>775</v>
      </c>
      <c r="E53" s="3">
        <v>391152</v>
      </c>
      <c r="F53" s="4">
        <v>37.760512537325639</v>
      </c>
      <c r="G53" s="3">
        <v>38731</v>
      </c>
      <c r="H53" s="3" t="str">
        <f>'Task 3.1'!N76</f>
        <v>Brand Engagement</v>
      </c>
      <c r="I53" s="3">
        <f>Table3_215[[#This Row],[New_Followers]]-Table3_215[[#This Row],[Unfollows]]</f>
        <v>5303</v>
      </c>
    </row>
    <row r="54" spans="1:9" x14ac:dyDescent="0.3">
      <c r="A54" s="2">
        <v>45537</v>
      </c>
      <c r="B54" s="3" t="s">
        <v>22</v>
      </c>
      <c r="C54" s="3">
        <v>6448</v>
      </c>
      <c r="D54" s="3">
        <v>928</v>
      </c>
      <c r="E54" s="3">
        <v>396672</v>
      </c>
      <c r="F54" s="4">
        <v>30.118586640851881</v>
      </c>
      <c r="G54" s="3">
        <v>53922</v>
      </c>
      <c r="H54" s="3" t="str">
        <f>'Task 3.1'!N77</f>
        <v>Product Launch</v>
      </c>
      <c r="I54" s="3">
        <f>Table3_215[[#This Row],[New_Followers]]-Table3_215[[#This Row],[Unfollows]]</f>
        <v>5520</v>
      </c>
    </row>
    <row r="55" spans="1:9" x14ac:dyDescent="0.3">
      <c r="A55" s="2">
        <v>45537</v>
      </c>
      <c r="B55" s="3" t="s">
        <v>22</v>
      </c>
      <c r="C55" s="3">
        <v>2179</v>
      </c>
      <c r="D55" s="3">
        <v>303</v>
      </c>
      <c r="E55" s="3">
        <v>398548</v>
      </c>
      <c r="F55" s="4">
        <v>33.909842729106657</v>
      </c>
      <c r="G55" s="3">
        <v>54848</v>
      </c>
      <c r="H55" s="3" t="str">
        <f>'Task 3.1'!N78</f>
        <v>Product Launch</v>
      </c>
      <c r="I55" s="3">
        <f>Table3_215[[#This Row],[New_Followers]]-Table3_215[[#This Row],[Unfollows]]</f>
        <v>1876</v>
      </c>
    </row>
    <row r="56" spans="1:9" x14ac:dyDescent="0.3">
      <c r="A56" s="2">
        <v>45537</v>
      </c>
      <c r="B56" s="3" t="s">
        <v>40</v>
      </c>
      <c r="C56" s="3">
        <v>7406</v>
      </c>
      <c r="D56" s="3">
        <v>813</v>
      </c>
      <c r="E56" s="3">
        <v>405141</v>
      </c>
      <c r="F56" s="4">
        <v>24.457411123534769</v>
      </c>
      <c r="G56" s="3">
        <v>13390</v>
      </c>
      <c r="H56" s="3" t="str">
        <f>'Task 3.1'!N79</f>
        <v>Sustainability Branding</v>
      </c>
      <c r="I56" s="3">
        <f>Table3_215[[#This Row],[New_Followers]]-Table3_215[[#This Row],[Unfollows]]</f>
        <v>6593</v>
      </c>
    </row>
    <row r="57" spans="1:9" x14ac:dyDescent="0.3">
      <c r="A57" s="2">
        <v>45537</v>
      </c>
      <c r="B57" s="3" t="s">
        <v>18</v>
      </c>
      <c r="C57" s="3">
        <v>9591</v>
      </c>
      <c r="D57" s="3">
        <v>1363</v>
      </c>
      <c r="E57" s="3">
        <v>413369</v>
      </c>
      <c r="F57" s="4">
        <v>10.494255737609739</v>
      </c>
      <c r="G57" s="3">
        <v>15997</v>
      </c>
      <c r="H57" s="3" t="str">
        <f>'Task 3.1'!N80</f>
        <v>Sustainability Branding</v>
      </c>
      <c r="I57" s="3">
        <f>Table3_215[[#This Row],[New_Followers]]-Table3_215[[#This Row],[Unfollows]]</f>
        <v>8228</v>
      </c>
    </row>
    <row r="58" spans="1:9" x14ac:dyDescent="0.3">
      <c r="A58" s="2">
        <v>45544</v>
      </c>
      <c r="B58" s="3" t="s">
        <v>22</v>
      </c>
      <c r="C58" s="3">
        <v>7907</v>
      </c>
      <c r="D58" s="3">
        <v>465</v>
      </c>
      <c r="E58" s="3">
        <v>420811</v>
      </c>
      <c r="F58" s="4">
        <v>33.257448118038738</v>
      </c>
      <c r="G58" s="3">
        <v>22693</v>
      </c>
      <c r="H58" s="3" t="str">
        <f>'Task 3.1'!N81</f>
        <v>Health &amp; Fitness Awareness</v>
      </c>
      <c r="I58" s="3">
        <f>Table3_215[[#This Row],[New_Followers]]-Table3_215[[#This Row],[Unfollows]]</f>
        <v>7442</v>
      </c>
    </row>
    <row r="59" spans="1:9" x14ac:dyDescent="0.3">
      <c r="A59" s="2">
        <v>45544</v>
      </c>
      <c r="B59" s="3" t="s">
        <v>13</v>
      </c>
      <c r="C59" s="3">
        <v>9800</v>
      </c>
      <c r="D59" s="3">
        <v>682</v>
      </c>
      <c r="E59" s="3">
        <v>429929</v>
      </c>
      <c r="F59" s="4">
        <v>6.2966210699906267</v>
      </c>
      <c r="G59" s="3">
        <v>59815</v>
      </c>
      <c r="H59" s="3" t="str">
        <f>'Task 3.1'!N82</f>
        <v>Health &amp; Fitness Awareness</v>
      </c>
      <c r="I59" s="3">
        <f>Table3_215[[#This Row],[New_Followers]]-Table3_215[[#This Row],[Unfollows]]</f>
        <v>9118</v>
      </c>
    </row>
    <row r="60" spans="1:9" x14ac:dyDescent="0.3">
      <c r="A60" s="2">
        <v>45544</v>
      </c>
      <c r="B60" s="3" t="s">
        <v>13</v>
      </c>
      <c r="C60" s="3">
        <v>2638</v>
      </c>
      <c r="D60" s="3">
        <v>143</v>
      </c>
      <c r="E60" s="3">
        <v>432424</v>
      </c>
      <c r="F60" s="4">
        <v>6.9547481175882924</v>
      </c>
      <c r="G60" s="3">
        <v>52092</v>
      </c>
      <c r="H60" s="3" t="str">
        <f>'Task 3.1'!N83</f>
        <v>Product Promotion</v>
      </c>
      <c r="I60" s="3">
        <f>Table3_215[[#This Row],[New_Followers]]-Table3_215[[#This Row],[Unfollows]]</f>
        <v>2495</v>
      </c>
    </row>
    <row r="61" spans="1:9" x14ac:dyDescent="0.3">
      <c r="A61" s="2">
        <v>45544</v>
      </c>
      <c r="B61" s="3" t="s">
        <v>18</v>
      </c>
      <c r="C61" s="3">
        <v>6671</v>
      </c>
      <c r="D61" s="3">
        <v>550</v>
      </c>
      <c r="E61" s="3">
        <v>438545</v>
      </c>
      <c r="F61" s="4">
        <v>17.750287883797562</v>
      </c>
      <c r="G61" s="3">
        <v>10541</v>
      </c>
      <c r="H61" s="3" t="str">
        <f>'Task 3.1'!N84</f>
        <v>Product Promotion</v>
      </c>
      <c r="I61" s="3">
        <f>Table3_215[[#This Row],[New_Followers]]-Table3_215[[#This Row],[Unfollows]]</f>
        <v>6121</v>
      </c>
    </row>
    <row r="62" spans="1:9" x14ac:dyDescent="0.3">
      <c r="A62" s="2">
        <v>45551</v>
      </c>
      <c r="B62" s="3" t="s">
        <v>13</v>
      </c>
      <c r="C62" s="3">
        <v>7928</v>
      </c>
      <c r="D62" s="3">
        <v>704</v>
      </c>
      <c r="E62" s="3">
        <v>445769</v>
      </c>
      <c r="F62" s="4">
        <v>11.194362999670229</v>
      </c>
      <c r="G62" s="3">
        <v>31817</v>
      </c>
      <c r="H62" s="3" t="str">
        <f>'Task 3.1'!N85</f>
        <v>Product Promotion</v>
      </c>
      <c r="I62" s="3">
        <f>Table3_215[[#This Row],[New_Followers]]-Table3_215[[#This Row],[Unfollows]]</f>
        <v>7224</v>
      </c>
    </row>
    <row r="63" spans="1:9" x14ac:dyDescent="0.3">
      <c r="A63" s="2">
        <v>45551</v>
      </c>
      <c r="B63" s="3" t="s">
        <v>18</v>
      </c>
      <c r="C63" s="3">
        <v>2382</v>
      </c>
      <c r="D63" s="3">
        <v>183</v>
      </c>
      <c r="E63" s="3">
        <v>447968</v>
      </c>
      <c r="F63" s="4">
        <v>4.7335970426459033</v>
      </c>
      <c r="G63" s="3">
        <v>47861</v>
      </c>
      <c r="H63" s="3" t="str">
        <f>'Task 3.1'!N86</f>
        <v>Product Promotion</v>
      </c>
      <c r="I63" s="3">
        <f>Table3_215[[#This Row],[New_Followers]]-Table3_215[[#This Row],[Unfollows]]</f>
        <v>2199</v>
      </c>
    </row>
    <row r="64" spans="1:9" x14ac:dyDescent="0.3">
      <c r="A64" s="2">
        <v>45551</v>
      </c>
      <c r="B64" s="3" t="s">
        <v>13</v>
      </c>
      <c r="C64" s="3">
        <v>2403</v>
      </c>
      <c r="D64" s="3">
        <v>319</v>
      </c>
      <c r="E64" s="3">
        <v>450052</v>
      </c>
      <c r="F64" s="4">
        <v>29.92120910472568</v>
      </c>
      <c r="G64" s="3">
        <v>23428</v>
      </c>
      <c r="H64" s="3" t="str">
        <f>'Task 3.1'!N87</f>
        <v>Health &amp; Fitness Awareness</v>
      </c>
      <c r="I64" s="3">
        <f>Table3_215[[#This Row],[New_Followers]]-Table3_215[[#This Row],[Unfollows]]</f>
        <v>2084</v>
      </c>
    </row>
    <row r="65" spans="1:9" x14ac:dyDescent="0.3">
      <c r="A65" s="2">
        <v>45551</v>
      </c>
      <c r="B65" s="3" t="s">
        <v>40</v>
      </c>
      <c r="C65" s="3">
        <v>4292</v>
      </c>
      <c r="D65" s="3">
        <v>367</v>
      </c>
      <c r="E65" s="3">
        <v>453977</v>
      </c>
      <c r="F65" s="4">
        <v>3.5037017293827661</v>
      </c>
      <c r="G65" s="3">
        <v>53934</v>
      </c>
      <c r="H65" s="3" t="str">
        <f>'Task 3.1'!N88</f>
        <v>Health &amp; Fitness Awareness</v>
      </c>
      <c r="I65" s="3">
        <f>Table3_215[[#This Row],[New_Followers]]-Table3_215[[#This Row],[Unfollows]]</f>
        <v>3925</v>
      </c>
    </row>
    <row r="66" spans="1:9" x14ac:dyDescent="0.3">
      <c r="A66" s="2">
        <v>45558</v>
      </c>
      <c r="B66" s="3" t="s">
        <v>22</v>
      </c>
      <c r="C66" s="3">
        <v>1419</v>
      </c>
      <c r="D66" s="3">
        <v>110</v>
      </c>
      <c r="E66" s="3">
        <v>455286</v>
      </c>
      <c r="F66" s="4">
        <v>31.554451487636339</v>
      </c>
      <c r="G66" s="3">
        <v>58831</v>
      </c>
      <c r="H66" s="3" t="str">
        <f>'Task 3.1'!N89</f>
        <v>Brand Engagement</v>
      </c>
      <c r="I66" s="3">
        <f>Table3_215[[#This Row],[New_Followers]]-Table3_215[[#This Row],[Unfollows]]</f>
        <v>1309</v>
      </c>
    </row>
    <row r="67" spans="1:9" x14ac:dyDescent="0.3">
      <c r="A67" s="2">
        <v>45558</v>
      </c>
      <c r="B67" s="3" t="s">
        <v>40</v>
      </c>
      <c r="C67" s="3">
        <v>5517</v>
      </c>
      <c r="D67" s="3">
        <v>575</v>
      </c>
      <c r="E67" s="3">
        <v>460228</v>
      </c>
      <c r="F67" s="4">
        <v>29.45844233727631</v>
      </c>
      <c r="G67" s="3">
        <v>20258</v>
      </c>
      <c r="H67" s="3" t="str">
        <f>'Task 3.1'!N90</f>
        <v>Brand Engagement</v>
      </c>
      <c r="I67" s="3">
        <f>Table3_215[[#This Row],[New_Followers]]-Table3_215[[#This Row],[Unfollows]]</f>
        <v>4942</v>
      </c>
    </row>
    <row r="68" spans="1:9" x14ac:dyDescent="0.3">
      <c r="A68" s="2">
        <v>45558</v>
      </c>
      <c r="B68" s="3" t="s">
        <v>22</v>
      </c>
      <c r="C68" s="3">
        <v>4302</v>
      </c>
      <c r="D68" s="3">
        <v>275</v>
      </c>
      <c r="E68" s="3">
        <v>464255</v>
      </c>
      <c r="F68" s="4">
        <v>15.72131694865968</v>
      </c>
      <c r="G68" s="3">
        <v>26044</v>
      </c>
      <c r="H68" s="3" t="str">
        <f>'Task 3.1'!N91</f>
        <v>Sustainability Branding</v>
      </c>
      <c r="I68" s="3">
        <f>Table3_215[[#This Row],[New_Followers]]-Table3_215[[#This Row],[Unfollows]]</f>
        <v>4027</v>
      </c>
    </row>
    <row r="69" spans="1:9" x14ac:dyDescent="0.3">
      <c r="A69" s="2">
        <v>45558</v>
      </c>
      <c r="B69" s="3" t="s">
        <v>22</v>
      </c>
      <c r="C69" s="3">
        <v>8857</v>
      </c>
      <c r="D69" s="3">
        <v>1153</v>
      </c>
      <c r="E69" s="3">
        <v>471959</v>
      </c>
      <c r="F69" s="4">
        <v>19.214592793018038</v>
      </c>
      <c r="G69" s="3">
        <v>39411</v>
      </c>
      <c r="H69" s="3" t="str">
        <f>'Task 3.1'!N92</f>
        <v>Sustainability Branding</v>
      </c>
      <c r="I69" s="3">
        <f>Table3_215[[#This Row],[New_Followers]]-Table3_215[[#This Row],[Unfollows]]</f>
        <v>7704</v>
      </c>
    </row>
    <row r="70" spans="1:9" x14ac:dyDescent="0.3">
      <c r="A70" s="2">
        <v>45565</v>
      </c>
      <c r="B70" s="3" t="s">
        <v>22</v>
      </c>
      <c r="C70" s="3">
        <v>8870</v>
      </c>
      <c r="D70" s="3">
        <v>509</v>
      </c>
      <c r="E70" s="3">
        <v>480320</v>
      </c>
      <c r="F70" s="4">
        <v>25.077864756828781</v>
      </c>
      <c r="G70" s="3">
        <v>15469</v>
      </c>
      <c r="H70" s="3" t="str">
        <f>'Task 3.1'!N93</f>
        <v>Product Promotion</v>
      </c>
      <c r="I70" s="3">
        <f>Table3_215[[#This Row],[New_Followers]]-Table3_215[[#This Row],[Unfollows]]</f>
        <v>8361</v>
      </c>
    </row>
    <row r="71" spans="1:9" x14ac:dyDescent="0.3">
      <c r="A71" s="2">
        <v>45565</v>
      </c>
      <c r="B71" s="3" t="s">
        <v>40</v>
      </c>
      <c r="C71" s="3">
        <v>6693</v>
      </c>
      <c r="D71" s="3">
        <v>995</v>
      </c>
      <c r="E71" s="3">
        <v>486018</v>
      </c>
      <c r="F71" s="4">
        <v>23.761877132122681</v>
      </c>
      <c r="G71" s="3">
        <v>38854</v>
      </c>
      <c r="H71" s="3" t="str">
        <f>'Task 3.1'!N94</f>
        <v>Product Promotion</v>
      </c>
      <c r="I71" s="3">
        <f>Table3_215[[#This Row],[New_Followers]]-Table3_215[[#This Row],[Unfollows]]</f>
        <v>5698</v>
      </c>
    </row>
    <row r="72" spans="1:9" x14ac:dyDescent="0.3">
      <c r="A72" s="2">
        <v>45565</v>
      </c>
      <c r="B72" s="3" t="s">
        <v>22</v>
      </c>
      <c r="C72" s="3">
        <v>1767</v>
      </c>
      <c r="D72" s="3">
        <v>224</v>
      </c>
      <c r="E72" s="3">
        <v>487561</v>
      </c>
      <c r="F72" s="4">
        <v>13.208603641390511</v>
      </c>
      <c r="G72" s="3">
        <v>16256</v>
      </c>
      <c r="H72" s="3" t="str">
        <f>'Task 3.1'!N95</f>
        <v>Sustainability Branding</v>
      </c>
      <c r="I72" s="3">
        <f>Table3_215[[#This Row],[New_Followers]]-Table3_215[[#This Row],[Unfollows]]</f>
        <v>1543</v>
      </c>
    </row>
    <row r="73" spans="1:9" x14ac:dyDescent="0.3">
      <c r="A73" s="2">
        <v>45565</v>
      </c>
      <c r="B73" s="3" t="s">
        <v>40</v>
      </c>
      <c r="C73" s="3">
        <v>3044</v>
      </c>
      <c r="D73" s="3">
        <v>212</v>
      </c>
      <c r="E73" s="3">
        <v>490393</v>
      </c>
      <c r="F73" s="4">
        <v>8.5343795690395261</v>
      </c>
      <c r="G73" s="3">
        <v>20720</v>
      </c>
      <c r="H73" s="3" t="str">
        <f>'Task 3.1'!N96</f>
        <v>Sustainability Branding</v>
      </c>
      <c r="I73" s="3">
        <f>Table3_215[[#This Row],[New_Followers]]-Table3_215[[#This Row],[Unfollows]]</f>
        <v>2832</v>
      </c>
    </row>
    <row r="74" spans="1:9" x14ac:dyDescent="0.3">
      <c r="A74" s="2">
        <v>45572</v>
      </c>
      <c r="B74" s="3" t="s">
        <v>18</v>
      </c>
      <c r="C74" s="3">
        <v>2549</v>
      </c>
      <c r="D74" s="3">
        <v>128</v>
      </c>
      <c r="E74" s="3">
        <v>492814</v>
      </c>
      <c r="F74" s="4">
        <v>12.734216154573531</v>
      </c>
      <c r="G74" s="3">
        <v>43937</v>
      </c>
      <c r="H74" s="3" t="str">
        <f>'Task 3.1'!N97</f>
        <v>Health &amp; Fitness Awareness</v>
      </c>
      <c r="I74" s="3">
        <f>Table3_215[[#This Row],[New_Followers]]-Table3_215[[#This Row],[Unfollows]]</f>
        <v>2421</v>
      </c>
    </row>
    <row r="75" spans="1:9" x14ac:dyDescent="0.3">
      <c r="A75" s="2">
        <v>45572</v>
      </c>
      <c r="B75" s="3" t="s">
        <v>13</v>
      </c>
      <c r="C75" s="3">
        <v>7140</v>
      </c>
      <c r="D75" s="3">
        <v>939</v>
      </c>
      <c r="E75" s="3">
        <v>499015</v>
      </c>
      <c r="F75" s="4">
        <v>25.120888149654821</v>
      </c>
      <c r="G75" s="3">
        <v>43598</v>
      </c>
      <c r="H75" s="3" t="str">
        <f>'Task 3.1'!N98</f>
        <v>Health &amp; Fitness Awareness</v>
      </c>
      <c r="I75" s="3">
        <f>Table3_215[[#This Row],[New_Followers]]-Table3_215[[#This Row],[Unfollows]]</f>
        <v>6201</v>
      </c>
    </row>
    <row r="76" spans="1:9" x14ac:dyDescent="0.3">
      <c r="A76" s="2">
        <v>45572</v>
      </c>
      <c r="B76" s="3" t="s">
        <v>13</v>
      </c>
      <c r="C76" s="3">
        <v>4716</v>
      </c>
      <c r="D76" s="3">
        <v>569</v>
      </c>
      <c r="E76" s="3">
        <v>503162</v>
      </c>
      <c r="F76" s="4">
        <v>25.64820077827817</v>
      </c>
      <c r="G76" s="3">
        <v>11651</v>
      </c>
      <c r="H76" s="3" t="str">
        <f>'Task 3.1'!N99</f>
        <v>Sustainability Branding</v>
      </c>
      <c r="I76" s="3">
        <f>Table3_215[[#This Row],[New_Followers]]-Table3_215[[#This Row],[Unfollows]]</f>
        <v>4147</v>
      </c>
    </row>
    <row r="77" spans="1:9" x14ac:dyDescent="0.3">
      <c r="A77" s="2">
        <v>45572</v>
      </c>
      <c r="B77" s="3" t="s">
        <v>22</v>
      </c>
      <c r="C77" s="3">
        <v>5481</v>
      </c>
      <c r="D77" s="3">
        <v>673</v>
      </c>
      <c r="E77" s="3">
        <v>507970</v>
      </c>
      <c r="F77" s="4">
        <v>13.08758391243577</v>
      </c>
      <c r="G77" s="3">
        <v>29194</v>
      </c>
      <c r="H77" s="3" t="str">
        <f>'Task 3.1'!N100</f>
        <v>Sustainability Branding</v>
      </c>
      <c r="I77" s="3">
        <f>Table3_215[[#This Row],[New_Followers]]-Table3_215[[#This Row],[Unfollows]]</f>
        <v>4808</v>
      </c>
    </row>
    <row r="78" spans="1:9" x14ac:dyDescent="0.3">
      <c r="A78" s="2">
        <v>45579</v>
      </c>
      <c r="B78" s="3" t="s">
        <v>40</v>
      </c>
      <c r="C78" s="3">
        <v>8898</v>
      </c>
      <c r="D78" s="3">
        <v>1131</v>
      </c>
      <c r="E78" s="3">
        <v>515737</v>
      </c>
      <c r="F78" s="4">
        <v>2.1877429775253669</v>
      </c>
      <c r="G78" s="3">
        <v>35051</v>
      </c>
      <c r="H78" s="3" t="str">
        <f>'Task 3.1'!N101</f>
        <v>Brand Engagement</v>
      </c>
      <c r="I78" s="3">
        <f>Table3_215[[#This Row],[New_Followers]]-Table3_215[[#This Row],[Unfollows]]</f>
        <v>7767</v>
      </c>
    </row>
    <row r="79" spans="1:9" x14ac:dyDescent="0.3">
      <c r="A79" s="2">
        <v>45579</v>
      </c>
      <c r="B79" s="3" t="s">
        <v>13</v>
      </c>
      <c r="C79" s="3">
        <v>7548</v>
      </c>
      <c r="D79" s="3">
        <v>433</v>
      </c>
      <c r="E79" s="3">
        <v>522852</v>
      </c>
      <c r="F79" s="4">
        <v>8.3562843787534522</v>
      </c>
      <c r="G79" s="3">
        <v>37386</v>
      </c>
      <c r="H79" s="3" t="str">
        <f>'Task 3.1'!N102</f>
        <v>Brand Engagement</v>
      </c>
      <c r="I79" s="3">
        <f>Table3_215[[#This Row],[New_Followers]]-Table3_215[[#This Row],[Unfollows]]</f>
        <v>7115</v>
      </c>
    </row>
    <row r="80" spans="1:9" x14ac:dyDescent="0.3">
      <c r="A80" s="2">
        <v>45579</v>
      </c>
      <c r="B80" s="3" t="s">
        <v>40</v>
      </c>
      <c r="C80" s="3">
        <v>3293</v>
      </c>
      <c r="D80" s="3">
        <v>282</v>
      </c>
      <c r="E80" s="3">
        <v>525863</v>
      </c>
      <c r="F80" s="4">
        <v>27.040693108281051</v>
      </c>
      <c r="G80" s="3">
        <v>19518</v>
      </c>
      <c r="H80" s="3" t="str">
        <f>'Task 3.1'!N103</f>
        <v>Health &amp; Fitness Awareness</v>
      </c>
      <c r="I80" s="3">
        <f>Table3_215[[#This Row],[New_Followers]]-Table3_215[[#This Row],[Unfollows]]</f>
        <v>3011</v>
      </c>
    </row>
    <row r="81" spans="1:9" x14ac:dyDescent="0.3">
      <c r="A81" s="2">
        <v>45579</v>
      </c>
      <c r="B81" s="3" t="s">
        <v>40</v>
      </c>
      <c r="C81" s="3">
        <v>5837</v>
      </c>
      <c r="D81" s="3">
        <v>359</v>
      </c>
      <c r="E81" s="3">
        <v>531341</v>
      </c>
      <c r="F81" s="4">
        <v>6.8073045370110723</v>
      </c>
      <c r="G81" s="3">
        <v>56026</v>
      </c>
      <c r="H81" s="3" t="str">
        <f>'Task 3.1'!N104</f>
        <v>Health &amp; Fitness Awareness</v>
      </c>
      <c r="I81" s="3">
        <f>Table3_215[[#This Row],[New_Followers]]-Table3_215[[#This Row],[Unfollows]]</f>
        <v>5478</v>
      </c>
    </row>
    <row r="82" spans="1:9" x14ac:dyDescent="0.3">
      <c r="A82" s="2">
        <v>45586</v>
      </c>
      <c r="B82" s="3" t="s">
        <v>22</v>
      </c>
      <c r="C82" s="3">
        <v>8758</v>
      </c>
      <c r="D82" s="3">
        <v>1193</v>
      </c>
      <c r="E82" s="3">
        <v>538906</v>
      </c>
      <c r="F82" s="4">
        <v>3.4213758985797149</v>
      </c>
      <c r="G82" s="3">
        <v>26184</v>
      </c>
      <c r="H82" s="3" t="str">
        <f>'Task 3.1'!N105</f>
        <v>Health &amp; Fitness Awareness</v>
      </c>
      <c r="I82" s="3">
        <f>Table3_215[[#This Row],[New_Followers]]-Table3_215[[#This Row],[Unfollows]]</f>
        <v>7565</v>
      </c>
    </row>
    <row r="83" spans="1:9" x14ac:dyDescent="0.3">
      <c r="A83" s="2">
        <v>45586</v>
      </c>
      <c r="B83" s="3" t="s">
        <v>13</v>
      </c>
      <c r="C83" s="3">
        <v>7793</v>
      </c>
      <c r="D83" s="3">
        <v>875</v>
      </c>
      <c r="E83" s="3">
        <v>545824</v>
      </c>
      <c r="F83" s="4">
        <v>5.5136820660139527</v>
      </c>
      <c r="G83" s="3">
        <v>43787</v>
      </c>
      <c r="H83" s="3" t="str">
        <f>'Task 3.1'!N106</f>
        <v>Sustainability Branding</v>
      </c>
      <c r="I83" s="3">
        <f>Table3_215[[#This Row],[New_Followers]]-Table3_215[[#This Row],[Unfollows]]</f>
        <v>6918</v>
      </c>
    </row>
    <row r="84" spans="1:9" x14ac:dyDescent="0.3">
      <c r="A84" s="2">
        <v>45586</v>
      </c>
      <c r="B84" s="3" t="s">
        <v>22</v>
      </c>
      <c r="C84" s="3">
        <v>8638</v>
      </c>
      <c r="D84" s="3">
        <v>717</v>
      </c>
      <c r="E84" s="3">
        <v>553745</v>
      </c>
      <c r="F84" s="4">
        <v>26.921416897669499</v>
      </c>
      <c r="G84" s="3">
        <v>31621</v>
      </c>
      <c r="H84" s="3" t="str">
        <f>'Task 3.1'!N107</f>
        <v>Sustainability Branding</v>
      </c>
      <c r="I84" s="3">
        <f>Table3_215[[#This Row],[New_Followers]]-Table3_215[[#This Row],[Unfollows]]</f>
        <v>7921</v>
      </c>
    </row>
    <row r="85" spans="1:9" x14ac:dyDescent="0.3">
      <c r="A85" s="2">
        <v>45586</v>
      </c>
      <c r="B85" s="3" t="s">
        <v>22</v>
      </c>
      <c r="C85" s="3">
        <v>8993</v>
      </c>
      <c r="D85" s="3">
        <v>506</v>
      </c>
      <c r="E85" s="3">
        <v>562232</v>
      </c>
      <c r="F85" s="4">
        <v>3.5131404829323132</v>
      </c>
      <c r="G85" s="3">
        <v>20028</v>
      </c>
      <c r="H85" s="3" t="str">
        <f>'Task 3.1'!N108</f>
        <v>Product Launch</v>
      </c>
      <c r="I85" s="3">
        <f>Table3_215[[#This Row],[New_Followers]]-Table3_215[[#This Row],[Unfollows]]</f>
        <v>8487</v>
      </c>
    </row>
    <row r="86" spans="1:9" x14ac:dyDescent="0.3">
      <c r="A86" s="2">
        <v>45593</v>
      </c>
      <c r="B86" s="3" t="s">
        <v>13</v>
      </c>
      <c r="C86" s="3">
        <v>7007</v>
      </c>
      <c r="D86" s="3">
        <v>568</v>
      </c>
      <c r="E86" s="3">
        <v>568671</v>
      </c>
      <c r="F86" s="4">
        <v>11.50507059442103</v>
      </c>
      <c r="G86" s="3">
        <v>22448</v>
      </c>
      <c r="H86" s="3" t="str">
        <f>'Task 3.1'!N109</f>
        <v>Product Launch</v>
      </c>
      <c r="I86" s="3">
        <f>Table3_215[[#This Row],[New_Followers]]-Table3_215[[#This Row],[Unfollows]]</f>
        <v>6439</v>
      </c>
    </row>
    <row r="87" spans="1:9" x14ac:dyDescent="0.3">
      <c r="A87" s="2">
        <v>45593</v>
      </c>
      <c r="B87" s="3" t="s">
        <v>13</v>
      </c>
      <c r="C87" s="3">
        <v>6542</v>
      </c>
      <c r="D87" s="3">
        <v>539</v>
      </c>
      <c r="E87" s="3">
        <v>574674</v>
      </c>
      <c r="F87" s="4">
        <v>6.4069368024305948</v>
      </c>
      <c r="G87" s="3">
        <v>55253</v>
      </c>
      <c r="H87" s="3" t="str">
        <f>'Task 3.1'!N110</f>
        <v>Health &amp; Fitness Awareness</v>
      </c>
      <c r="I87" s="3">
        <f>Table3_215[[#This Row],[New_Followers]]-Table3_215[[#This Row],[Unfollows]]</f>
        <v>6003</v>
      </c>
    </row>
    <row r="88" spans="1:9" x14ac:dyDescent="0.3">
      <c r="A88" s="2">
        <v>45593</v>
      </c>
      <c r="B88" s="3" t="s">
        <v>18</v>
      </c>
      <c r="C88" s="3">
        <v>7356</v>
      </c>
      <c r="D88" s="3">
        <v>904</v>
      </c>
      <c r="E88" s="3">
        <v>581126</v>
      </c>
      <c r="F88" s="4">
        <v>17.560907617280929</v>
      </c>
      <c r="G88" s="3">
        <v>44051</v>
      </c>
      <c r="H88" s="3" t="str">
        <f>'Task 3.1'!N111</f>
        <v>Health &amp; Fitness Awareness</v>
      </c>
      <c r="I88" s="3">
        <f>Table3_215[[#This Row],[New_Followers]]-Table3_215[[#This Row],[Unfollows]]</f>
        <v>6452</v>
      </c>
    </row>
    <row r="89" spans="1:9" x14ac:dyDescent="0.3">
      <c r="A89" s="2">
        <v>45593</v>
      </c>
      <c r="B89" s="3" t="s">
        <v>18</v>
      </c>
      <c r="C89" s="3">
        <v>9433</v>
      </c>
      <c r="D89" s="3">
        <v>1073</v>
      </c>
      <c r="E89" s="3">
        <v>589486</v>
      </c>
      <c r="F89" s="4">
        <v>7.2934726185185053</v>
      </c>
      <c r="G89" s="3">
        <v>59811</v>
      </c>
      <c r="H89" s="3" t="str">
        <f>'Task 3.1'!N112</f>
        <v>Brand Engagement</v>
      </c>
      <c r="I89" s="3">
        <f>Table3_215[[#This Row],[New_Followers]]-Table3_215[[#This Row],[Unfollows]]</f>
        <v>8360</v>
      </c>
    </row>
    <row r="90" spans="1:9" x14ac:dyDescent="0.3">
      <c r="A90" s="2">
        <v>45600</v>
      </c>
      <c r="B90" s="3" t="s">
        <v>40</v>
      </c>
      <c r="C90" s="3">
        <v>8380</v>
      </c>
      <c r="D90" s="3">
        <v>1162</v>
      </c>
      <c r="E90" s="3">
        <v>596704</v>
      </c>
      <c r="F90" s="4">
        <v>18.05853488496809</v>
      </c>
      <c r="G90" s="3">
        <v>40447</v>
      </c>
      <c r="H90" s="3" t="str">
        <f>'Task 3.1'!N113</f>
        <v>Brand Engagement</v>
      </c>
      <c r="I90" s="3">
        <f>Table3_215[[#This Row],[New_Followers]]-Table3_215[[#This Row],[Unfollows]]</f>
        <v>7218</v>
      </c>
    </row>
    <row r="91" spans="1:9" x14ac:dyDescent="0.3">
      <c r="A91" s="2">
        <v>45600</v>
      </c>
      <c r="B91" s="3" t="s">
        <v>13</v>
      </c>
      <c r="C91" s="3">
        <v>3385</v>
      </c>
      <c r="D91" s="3">
        <v>329</v>
      </c>
      <c r="E91" s="3">
        <v>599760</v>
      </c>
      <c r="F91" s="4">
        <v>17.61788048552755</v>
      </c>
      <c r="G91" s="3">
        <v>28394</v>
      </c>
      <c r="H91" s="3" t="str">
        <f>'Task 3.1'!N114</f>
        <v>Product Launch</v>
      </c>
      <c r="I91" s="3">
        <f>Table3_215[[#This Row],[New_Followers]]-Table3_215[[#This Row],[Unfollows]]</f>
        <v>3056</v>
      </c>
    </row>
    <row r="92" spans="1:9" x14ac:dyDescent="0.3">
      <c r="A92" s="2">
        <v>45600</v>
      </c>
      <c r="B92" s="3" t="s">
        <v>18</v>
      </c>
      <c r="C92" s="3">
        <v>5268</v>
      </c>
      <c r="D92" s="3">
        <v>326</v>
      </c>
      <c r="E92" s="3">
        <v>604702</v>
      </c>
      <c r="F92" s="4">
        <v>23.435841125050029</v>
      </c>
      <c r="G92" s="3">
        <v>44501</v>
      </c>
      <c r="H92" s="3" t="str">
        <f>'Task 3.1'!N115</f>
        <v>Product Launch</v>
      </c>
      <c r="I92" s="3">
        <f>Table3_215[[#This Row],[New_Followers]]-Table3_215[[#This Row],[Unfollows]]</f>
        <v>4942</v>
      </c>
    </row>
    <row r="93" spans="1:9" x14ac:dyDescent="0.3">
      <c r="A93" s="2">
        <v>45600</v>
      </c>
      <c r="B93" s="3" t="s">
        <v>40</v>
      </c>
      <c r="C93" s="3">
        <v>1671</v>
      </c>
      <c r="D93" s="3">
        <v>202</v>
      </c>
      <c r="E93" s="3">
        <v>606171</v>
      </c>
      <c r="F93" s="4">
        <v>15.150015424690389</v>
      </c>
      <c r="G93" s="3">
        <v>40254</v>
      </c>
      <c r="H93" s="3" t="str">
        <f>'Task 3.1'!N116</f>
        <v>Health &amp; Fitness Awareness</v>
      </c>
      <c r="I93" s="3">
        <f>Table3_215[[#This Row],[New_Followers]]-Table3_215[[#This Row],[Unfollows]]</f>
        <v>1469</v>
      </c>
    </row>
    <row r="94" spans="1:9" x14ac:dyDescent="0.3">
      <c r="A94" s="2">
        <v>45607</v>
      </c>
      <c r="B94" s="3" t="s">
        <v>40</v>
      </c>
      <c r="C94" s="3">
        <v>1163</v>
      </c>
      <c r="D94" s="3">
        <v>146</v>
      </c>
      <c r="E94" s="3">
        <v>607188</v>
      </c>
      <c r="F94" s="4">
        <v>21.77776899411715</v>
      </c>
      <c r="G94" s="3">
        <v>28509</v>
      </c>
      <c r="H94" s="3" t="str">
        <f>'Task 3.1'!N117</f>
        <v>Health &amp; Fitness Awareness</v>
      </c>
      <c r="I94" s="3">
        <f>Table3_215[[#This Row],[New_Followers]]-Table3_215[[#This Row],[Unfollows]]</f>
        <v>1017</v>
      </c>
    </row>
    <row r="95" spans="1:9" x14ac:dyDescent="0.3">
      <c r="A95" s="2">
        <v>45607</v>
      </c>
      <c r="B95" s="3" t="s">
        <v>40</v>
      </c>
      <c r="C95" s="3">
        <v>9656</v>
      </c>
      <c r="D95" s="3">
        <v>1024</v>
      </c>
      <c r="E95" s="3">
        <v>615820</v>
      </c>
      <c r="F95" s="4">
        <v>8.7252768666168681</v>
      </c>
      <c r="G95" s="3">
        <v>58998</v>
      </c>
      <c r="H95" s="3" t="str">
        <f>'Task 3.1'!N118</f>
        <v>Product Promotion</v>
      </c>
      <c r="I95" s="3">
        <f>Table3_215[[#This Row],[New_Followers]]-Table3_215[[#This Row],[Unfollows]]</f>
        <v>8632</v>
      </c>
    </row>
    <row r="96" spans="1:9" x14ac:dyDescent="0.3">
      <c r="A96" s="2">
        <v>45607</v>
      </c>
      <c r="B96" s="3" t="s">
        <v>18</v>
      </c>
      <c r="C96" s="3">
        <v>5592</v>
      </c>
      <c r="D96" s="3">
        <v>710</v>
      </c>
      <c r="E96" s="3">
        <v>620702</v>
      </c>
      <c r="F96" s="4">
        <v>9.07118069540617</v>
      </c>
      <c r="G96" s="3">
        <v>24472</v>
      </c>
      <c r="H96" s="3" t="str">
        <f>'Task 3.1'!N119</f>
        <v>Product Promotion</v>
      </c>
      <c r="I96" s="3">
        <f>Table3_215[[#This Row],[New_Followers]]-Table3_215[[#This Row],[Unfollows]]</f>
        <v>4882</v>
      </c>
    </row>
    <row r="97" spans="1:9" x14ac:dyDescent="0.3">
      <c r="A97" s="2">
        <v>45607</v>
      </c>
      <c r="B97" s="3" t="s">
        <v>13</v>
      </c>
      <c r="C97" s="3">
        <v>5795</v>
      </c>
      <c r="D97" s="3">
        <v>575</v>
      </c>
      <c r="E97" s="3">
        <v>625922</v>
      </c>
      <c r="F97" s="4">
        <v>3.0908004511744269</v>
      </c>
      <c r="G97" s="3">
        <v>55657</v>
      </c>
      <c r="H97" s="3" t="str">
        <f>'Task 3.1'!N120</f>
        <v>Product Launch</v>
      </c>
      <c r="I97" s="3">
        <f>Table3_215[[#This Row],[New_Followers]]-Table3_215[[#This Row],[Unfollows]]</f>
        <v>5220</v>
      </c>
    </row>
    <row r="98" spans="1:9" x14ac:dyDescent="0.3">
      <c r="A98" s="2">
        <v>45614</v>
      </c>
      <c r="B98" s="3" t="s">
        <v>22</v>
      </c>
      <c r="C98" s="3">
        <v>5798</v>
      </c>
      <c r="D98" s="3">
        <v>592</v>
      </c>
      <c r="E98" s="3">
        <v>631128</v>
      </c>
      <c r="F98" s="4">
        <v>1.6774727155188811</v>
      </c>
      <c r="G98" s="3">
        <v>13471</v>
      </c>
      <c r="H98" s="3" t="str">
        <f>'Task 3.1'!N121</f>
        <v>Product Launch</v>
      </c>
      <c r="I98" s="3">
        <f>Table3_215[[#This Row],[New_Followers]]-Table3_215[[#This Row],[Unfollows]]</f>
        <v>5206</v>
      </c>
    </row>
    <row r="99" spans="1:9" x14ac:dyDescent="0.3">
      <c r="A99" s="2">
        <v>45614</v>
      </c>
      <c r="B99" s="3" t="s">
        <v>40</v>
      </c>
      <c r="C99" s="3">
        <v>7036</v>
      </c>
      <c r="D99" s="3">
        <v>652</v>
      </c>
      <c r="E99" s="3">
        <v>637512</v>
      </c>
      <c r="F99" s="4">
        <v>3.5705994553828009</v>
      </c>
      <c r="G99" s="3">
        <v>51796</v>
      </c>
      <c r="H99" s="3" t="str">
        <f>'Task 3.1'!N122</f>
        <v>Brand Engagement</v>
      </c>
      <c r="I99" s="3">
        <f>Table3_215[[#This Row],[New_Followers]]-Table3_215[[#This Row],[Unfollows]]</f>
        <v>6384</v>
      </c>
    </row>
    <row r="100" spans="1:9" x14ac:dyDescent="0.3">
      <c r="A100" s="2">
        <v>45614</v>
      </c>
      <c r="B100" s="3" t="s">
        <v>18</v>
      </c>
      <c r="C100" s="3">
        <v>3355</v>
      </c>
      <c r="D100" s="3">
        <v>176</v>
      </c>
      <c r="E100" s="3">
        <v>640691</v>
      </c>
      <c r="F100" s="4">
        <v>12.426427091999111</v>
      </c>
      <c r="G100" s="3">
        <v>40268</v>
      </c>
      <c r="H100" s="3" t="str">
        <f>'Task 3.1'!N123</f>
        <v>Brand Engagement</v>
      </c>
      <c r="I100" s="3">
        <f>Table3_215[[#This Row],[New_Followers]]-Table3_215[[#This Row],[Unfollows]]</f>
        <v>3179</v>
      </c>
    </row>
    <row r="101" spans="1:9" x14ac:dyDescent="0.3">
      <c r="A101" s="2">
        <v>45614</v>
      </c>
      <c r="B101" s="3" t="s">
        <v>18</v>
      </c>
      <c r="C101" s="3">
        <v>6887</v>
      </c>
      <c r="D101" s="3">
        <v>418</v>
      </c>
      <c r="E101" s="3">
        <v>647160</v>
      </c>
      <c r="F101" s="4">
        <v>20.240280610668151</v>
      </c>
      <c r="G101" s="3">
        <v>18329</v>
      </c>
      <c r="H101" s="3" t="str">
        <f>'Task 3.1'!N124</f>
        <v>Brand Engagement</v>
      </c>
      <c r="I101" s="3">
        <f>Table3_215[[#This Row],[New_Followers]]-Table3_215[[#This Row],[Unfollows]]</f>
        <v>6469</v>
      </c>
    </row>
    <row r="102" spans="1:9" x14ac:dyDescent="0.3">
      <c r="A102" s="2">
        <v>45621</v>
      </c>
      <c r="B102" s="3" t="s">
        <v>22</v>
      </c>
      <c r="C102" s="3">
        <v>8961</v>
      </c>
      <c r="D102" s="3">
        <v>476</v>
      </c>
      <c r="E102" s="3">
        <v>655645</v>
      </c>
      <c r="F102" s="4">
        <v>15.458517947974901</v>
      </c>
      <c r="G102" s="3">
        <v>44865</v>
      </c>
      <c r="H102" s="3" t="str">
        <f>'Task 3.1'!N125</f>
        <v>Brand Engagement</v>
      </c>
      <c r="I102" s="3">
        <f>Table3_215[[#This Row],[New_Followers]]-Table3_215[[#This Row],[Unfollows]]</f>
        <v>8485</v>
      </c>
    </row>
    <row r="103" spans="1:9" x14ac:dyDescent="0.3">
      <c r="A103" s="2">
        <v>45621</v>
      </c>
      <c r="B103" s="3" t="s">
        <v>22</v>
      </c>
      <c r="C103" s="3">
        <v>6827</v>
      </c>
      <c r="D103" s="3">
        <v>775</v>
      </c>
      <c r="E103" s="3">
        <v>661697</v>
      </c>
      <c r="F103" s="4">
        <v>15.96622018839439</v>
      </c>
      <c r="G103" s="3">
        <v>56850</v>
      </c>
      <c r="H103" s="3" t="str">
        <f>'Task 3.1'!N126</f>
        <v>Health &amp; Fitness Awareness</v>
      </c>
      <c r="I103" s="3">
        <f>Table3_215[[#This Row],[New_Followers]]-Table3_215[[#This Row],[Unfollows]]</f>
        <v>6052</v>
      </c>
    </row>
    <row r="104" spans="1:9" x14ac:dyDescent="0.3">
      <c r="A104" s="2">
        <v>45621</v>
      </c>
      <c r="B104" s="3" t="s">
        <v>18</v>
      </c>
      <c r="C104" s="3">
        <v>9737</v>
      </c>
      <c r="D104" s="3">
        <v>792</v>
      </c>
      <c r="E104" s="3">
        <v>670642</v>
      </c>
      <c r="F104" s="4">
        <v>5.301785453341723</v>
      </c>
      <c r="G104" s="3">
        <v>56698</v>
      </c>
      <c r="H104" s="3" t="str">
        <f>'Task 3.1'!N127</f>
        <v>Health &amp; Fitness Awareness</v>
      </c>
      <c r="I104" s="3">
        <f>Table3_215[[#This Row],[New_Followers]]-Table3_215[[#This Row],[Unfollows]]</f>
        <v>8945</v>
      </c>
    </row>
    <row r="105" spans="1:9" x14ac:dyDescent="0.3">
      <c r="A105" s="2">
        <v>45621</v>
      </c>
      <c r="B105" s="3" t="s">
        <v>13</v>
      </c>
      <c r="C105" s="3">
        <v>5719</v>
      </c>
      <c r="D105" s="3">
        <v>576</v>
      </c>
      <c r="E105" s="3">
        <v>675785</v>
      </c>
      <c r="F105" s="4">
        <v>10.21656296011305</v>
      </c>
      <c r="G105" s="3">
        <v>38272</v>
      </c>
      <c r="H105" s="3" t="str">
        <f>'Task 3.1'!N128</f>
        <v>Sustainability Branding</v>
      </c>
      <c r="I105" s="3">
        <f>Table3_215[[#This Row],[New_Followers]]-Table3_215[[#This Row],[Unfollows]]</f>
        <v>5143</v>
      </c>
    </row>
    <row r="106" spans="1:9" x14ac:dyDescent="0.3">
      <c r="A106" s="2">
        <v>45628</v>
      </c>
      <c r="B106" s="3" t="s">
        <v>22</v>
      </c>
      <c r="C106" s="3">
        <v>1593</v>
      </c>
      <c r="D106" s="3">
        <v>224</v>
      </c>
      <c r="E106" s="3">
        <v>677154</v>
      </c>
      <c r="F106" s="4">
        <v>4.1495730660972248</v>
      </c>
      <c r="G106" s="3">
        <v>52845</v>
      </c>
      <c r="H106" s="3" t="str">
        <f>'Task 3.1'!N129</f>
        <v>Sustainability Branding</v>
      </c>
      <c r="I106" s="3">
        <f>Table3_215[[#This Row],[New_Followers]]-Table3_215[[#This Row],[Unfollows]]</f>
        <v>1369</v>
      </c>
    </row>
    <row r="107" spans="1:9" x14ac:dyDescent="0.3">
      <c r="A107" s="2">
        <v>45628</v>
      </c>
      <c r="B107" s="3" t="s">
        <v>18</v>
      </c>
      <c r="C107" s="3">
        <v>5839</v>
      </c>
      <c r="D107" s="3">
        <v>437</v>
      </c>
      <c r="E107" s="3">
        <v>682556</v>
      </c>
      <c r="F107" s="4">
        <v>17.44750613869045</v>
      </c>
      <c r="G107" s="3">
        <v>16397</v>
      </c>
      <c r="H107" s="3" t="str">
        <f>'Task 3.1'!N130</f>
        <v>Brand Engagement</v>
      </c>
      <c r="I107" s="3">
        <f>Table3_215[[#This Row],[New_Followers]]-Table3_215[[#This Row],[Unfollows]]</f>
        <v>5402</v>
      </c>
    </row>
    <row r="108" spans="1:9" x14ac:dyDescent="0.3">
      <c r="A108" s="2">
        <v>45628</v>
      </c>
      <c r="B108" s="3" t="s">
        <v>22</v>
      </c>
      <c r="C108" s="3">
        <v>8394</v>
      </c>
      <c r="D108" s="3">
        <v>764</v>
      </c>
      <c r="E108" s="3">
        <v>690186</v>
      </c>
      <c r="F108" s="4">
        <v>6.3556780346167558</v>
      </c>
      <c r="G108" s="3">
        <v>42373</v>
      </c>
      <c r="H108" s="3" t="str">
        <f>'Task 3.1'!N131</f>
        <v>Brand Engagement</v>
      </c>
      <c r="I108" s="3">
        <f>Table3_215[[#This Row],[New_Followers]]-Table3_215[[#This Row],[Unfollows]]</f>
        <v>7630</v>
      </c>
    </row>
    <row r="109" spans="1:9" x14ac:dyDescent="0.3">
      <c r="A109" s="2">
        <v>45628</v>
      </c>
      <c r="B109" s="3" t="s">
        <v>13</v>
      </c>
      <c r="C109" s="3">
        <v>4493</v>
      </c>
      <c r="D109" s="3">
        <v>564</v>
      </c>
      <c r="E109" s="3">
        <v>694115</v>
      </c>
      <c r="F109" s="4">
        <v>16.625487131094989</v>
      </c>
      <c r="G109" s="3">
        <v>45525</v>
      </c>
      <c r="H109" s="3" t="str">
        <f>'Task 3.1'!N132</f>
        <v>Product Promotion</v>
      </c>
      <c r="I109" s="3">
        <f>Table3_215[[#This Row],[New_Followers]]-Table3_215[[#This Row],[Unfollows]]</f>
        <v>3929</v>
      </c>
    </row>
    <row r="110" spans="1:9" x14ac:dyDescent="0.3">
      <c r="A110" s="2">
        <v>45635</v>
      </c>
      <c r="B110" s="3" t="s">
        <v>40</v>
      </c>
      <c r="C110" s="3">
        <v>7164</v>
      </c>
      <c r="D110" s="3">
        <v>522</v>
      </c>
      <c r="E110" s="3">
        <v>700757</v>
      </c>
      <c r="F110" s="4">
        <v>13.449169969047761</v>
      </c>
      <c r="G110" s="3">
        <v>34570</v>
      </c>
      <c r="H110" s="3" t="str">
        <f>'Task 3.1'!N133</f>
        <v>Product Promotion</v>
      </c>
      <c r="I110" s="3">
        <f>Table3_215[[#This Row],[New_Followers]]-Table3_215[[#This Row],[Unfollows]]</f>
        <v>6642</v>
      </c>
    </row>
    <row r="111" spans="1:9" x14ac:dyDescent="0.3">
      <c r="A111" s="2">
        <v>45635</v>
      </c>
      <c r="B111" s="3" t="s">
        <v>22</v>
      </c>
      <c r="C111" s="3">
        <v>3672</v>
      </c>
      <c r="D111" s="3">
        <v>211</v>
      </c>
      <c r="E111" s="3">
        <v>704218</v>
      </c>
      <c r="F111" s="4">
        <v>12.35057894004413</v>
      </c>
      <c r="G111" s="3">
        <v>28284</v>
      </c>
      <c r="H111" s="3" t="str">
        <f>'Task 3.1'!N134</f>
        <v>Product Launch</v>
      </c>
      <c r="I111" s="3">
        <f>Table3_215[[#This Row],[New_Followers]]-Table3_215[[#This Row],[Unfollows]]</f>
        <v>3461</v>
      </c>
    </row>
    <row r="112" spans="1:9" x14ac:dyDescent="0.3">
      <c r="A112" s="2">
        <v>45635</v>
      </c>
      <c r="B112" s="3" t="s">
        <v>13</v>
      </c>
      <c r="C112" s="3">
        <v>5200</v>
      </c>
      <c r="D112" s="3">
        <v>410</v>
      </c>
      <c r="E112" s="3">
        <v>709008</v>
      </c>
      <c r="F112" s="4">
        <v>12.913394489201821</v>
      </c>
      <c r="G112" s="3">
        <v>28994</v>
      </c>
      <c r="H112" s="3" t="str">
        <f>'Task 3.1'!N135</f>
        <v>Product Launch</v>
      </c>
      <c r="I112" s="3">
        <f>Table3_215[[#This Row],[New_Followers]]-Table3_215[[#This Row],[Unfollows]]</f>
        <v>4790</v>
      </c>
    </row>
    <row r="113" spans="1:9" x14ac:dyDescent="0.3">
      <c r="A113" s="2">
        <v>45635</v>
      </c>
      <c r="B113" s="3" t="s">
        <v>18</v>
      </c>
      <c r="C113" s="3">
        <v>1016</v>
      </c>
      <c r="D113" s="3">
        <v>67</v>
      </c>
      <c r="E113" s="3">
        <v>709957</v>
      </c>
      <c r="F113" s="4">
        <v>20.774215903216671</v>
      </c>
      <c r="G113" s="3">
        <v>33284</v>
      </c>
      <c r="H113" s="3" t="str">
        <f>'Task 3.1'!N136</f>
        <v>Product Launch</v>
      </c>
      <c r="I113" s="3">
        <f>Table3_215[[#This Row],[New_Followers]]-Table3_215[[#This Row],[Unfollows]]</f>
        <v>949</v>
      </c>
    </row>
    <row r="114" spans="1:9" x14ac:dyDescent="0.3">
      <c r="A114" s="2">
        <v>45642</v>
      </c>
      <c r="B114" s="3" t="s">
        <v>22</v>
      </c>
      <c r="C114" s="3">
        <v>4191</v>
      </c>
      <c r="D114" s="3">
        <v>599</v>
      </c>
      <c r="E114" s="3">
        <v>713549</v>
      </c>
      <c r="F114" s="4">
        <v>11.56416728213479</v>
      </c>
      <c r="G114" s="3">
        <v>27833</v>
      </c>
      <c r="H114" s="3" t="str">
        <f>'Task 3.1'!N137</f>
        <v>Product Promotion</v>
      </c>
      <c r="I114" s="3">
        <f>Table3_215[[#This Row],[New_Followers]]-Table3_215[[#This Row],[Unfollows]]</f>
        <v>3592</v>
      </c>
    </row>
    <row r="115" spans="1:9" x14ac:dyDescent="0.3">
      <c r="A115" s="2">
        <v>45642</v>
      </c>
      <c r="B115" s="3" t="s">
        <v>22</v>
      </c>
      <c r="C115" s="3">
        <v>1392</v>
      </c>
      <c r="D115" s="3">
        <v>182</v>
      </c>
      <c r="E115" s="3">
        <v>714759</v>
      </c>
      <c r="F115" s="4">
        <v>5.9603306848881932</v>
      </c>
      <c r="G115" s="3">
        <v>35122</v>
      </c>
      <c r="H115" s="3" t="str">
        <f>'Task 3.1'!N138</f>
        <v>Product Promotion</v>
      </c>
      <c r="I115" s="3">
        <f>Table3_215[[#This Row],[New_Followers]]-Table3_215[[#This Row],[Unfollows]]</f>
        <v>1210</v>
      </c>
    </row>
    <row r="116" spans="1:9" x14ac:dyDescent="0.3">
      <c r="A116" s="2">
        <v>45642</v>
      </c>
      <c r="B116" s="3" t="s">
        <v>18</v>
      </c>
      <c r="C116" s="3">
        <v>9616</v>
      </c>
      <c r="D116" s="3">
        <v>1089</v>
      </c>
      <c r="E116" s="3">
        <v>723286</v>
      </c>
      <c r="F116" s="4">
        <v>19.25863351426683</v>
      </c>
      <c r="G116" s="3">
        <v>15017</v>
      </c>
      <c r="H116" s="3" t="str">
        <f>'Task 3.1'!N139</f>
        <v>Brand Engagement</v>
      </c>
      <c r="I116" s="3">
        <f>Table3_215[[#This Row],[New_Followers]]-Table3_215[[#This Row],[Unfollows]]</f>
        <v>8527</v>
      </c>
    </row>
    <row r="117" spans="1:9" x14ac:dyDescent="0.3">
      <c r="A117" s="2">
        <v>45642</v>
      </c>
      <c r="B117" s="3" t="s">
        <v>40</v>
      </c>
      <c r="C117" s="3">
        <v>7272</v>
      </c>
      <c r="D117" s="3">
        <v>997</v>
      </c>
      <c r="E117" s="3">
        <v>729561</v>
      </c>
      <c r="F117" s="4">
        <v>13.428486445958599</v>
      </c>
      <c r="G117" s="3">
        <v>26370</v>
      </c>
      <c r="H117" s="3" t="str">
        <f>'Task 3.1'!N140</f>
        <v>Brand Engagement</v>
      </c>
      <c r="I117" s="3">
        <f>Table3_215[[#This Row],[New_Followers]]-Table3_215[[#This Row],[Unfollows]]</f>
        <v>6275</v>
      </c>
    </row>
    <row r="118" spans="1:9" x14ac:dyDescent="0.3">
      <c r="A118" s="2">
        <v>45649</v>
      </c>
      <c r="B118" s="3" t="s">
        <v>18</v>
      </c>
      <c r="C118" s="3">
        <v>1571</v>
      </c>
      <c r="D118" s="3">
        <v>204</v>
      </c>
      <c r="E118" s="3">
        <v>730928</v>
      </c>
      <c r="F118" s="4">
        <v>19.449384891535139</v>
      </c>
      <c r="G118" s="3">
        <v>39252</v>
      </c>
      <c r="H118" s="3" t="str">
        <f>'Task 3.1'!N141</f>
        <v>Health &amp; Fitness Awareness</v>
      </c>
      <c r="I118" s="3">
        <f>Table3_215[[#This Row],[New_Followers]]-Table3_215[[#This Row],[Unfollows]]</f>
        <v>1367</v>
      </c>
    </row>
    <row r="119" spans="1:9" x14ac:dyDescent="0.3">
      <c r="A119" s="2">
        <v>45649</v>
      </c>
      <c r="B119" s="3" t="s">
        <v>22</v>
      </c>
      <c r="C119" s="3">
        <v>4631</v>
      </c>
      <c r="D119" s="3">
        <v>317</v>
      </c>
      <c r="E119" s="3">
        <v>735242</v>
      </c>
      <c r="F119" s="4">
        <v>1.381177897889402</v>
      </c>
      <c r="G119" s="3">
        <v>17999</v>
      </c>
      <c r="H119" s="3" t="str">
        <f>'Task 3.1'!N142</f>
        <v>Health &amp; Fitness Awareness</v>
      </c>
      <c r="I119" s="3">
        <f>Table3_215[[#This Row],[New_Followers]]-Table3_215[[#This Row],[Unfollows]]</f>
        <v>4314</v>
      </c>
    </row>
    <row r="120" spans="1:9" x14ac:dyDescent="0.3">
      <c r="A120" s="2">
        <v>45649</v>
      </c>
      <c r="B120" s="3" t="s">
        <v>18</v>
      </c>
      <c r="C120" s="3">
        <v>7172</v>
      </c>
      <c r="D120" s="3">
        <v>998</v>
      </c>
      <c r="E120" s="3">
        <v>741416</v>
      </c>
      <c r="F120" s="4">
        <v>18.0667803230575</v>
      </c>
      <c r="G120" s="3">
        <v>32436</v>
      </c>
      <c r="H120" s="3" t="str">
        <f>'Task 3.1'!N143</f>
        <v>Health &amp; Fitness Awareness</v>
      </c>
      <c r="I120" s="3">
        <f>Table3_215[[#This Row],[New_Followers]]-Table3_215[[#This Row],[Unfollows]]</f>
        <v>6174</v>
      </c>
    </row>
    <row r="121" spans="1:9" x14ac:dyDescent="0.3">
      <c r="A121" s="2">
        <v>45649</v>
      </c>
      <c r="B121" s="3" t="s">
        <v>13</v>
      </c>
      <c r="C121" s="3">
        <v>8177</v>
      </c>
      <c r="D121" s="3">
        <v>849</v>
      </c>
      <c r="E121" s="3">
        <v>748744</v>
      </c>
      <c r="F121" s="4">
        <v>10.34986590877523</v>
      </c>
      <c r="G121" s="3">
        <v>52963</v>
      </c>
      <c r="H121" s="3" t="str">
        <f>'Task 3.1'!N144</f>
        <v>Health &amp; Fitness Awareness</v>
      </c>
      <c r="I121" s="3">
        <f>Table3_215[[#This Row],[New_Followers]]-Table3_215[[#This Row],[Unfollows]]</f>
        <v>7328</v>
      </c>
    </row>
    <row r="122" spans="1:9" x14ac:dyDescent="0.3">
      <c r="A122" s="2">
        <v>45656</v>
      </c>
      <c r="B122" s="3" t="s">
        <v>18</v>
      </c>
      <c r="C122" s="3">
        <v>9433</v>
      </c>
      <c r="D122" s="3">
        <v>1233</v>
      </c>
      <c r="E122" s="3">
        <v>756944</v>
      </c>
      <c r="F122" s="4">
        <v>11.391727789638329</v>
      </c>
      <c r="G122" s="3">
        <v>12096</v>
      </c>
      <c r="H122" s="3" t="str">
        <f>'Task 3.1'!N145</f>
        <v>Brand Engagement</v>
      </c>
      <c r="I122" s="3">
        <f>Table3_215[[#This Row],[New_Followers]]-Table3_215[[#This Row],[Unfollows]]</f>
        <v>8200</v>
      </c>
    </row>
    <row r="123" spans="1:9" x14ac:dyDescent="0.3">
      <c r="A123" s="2">
        <v>45656</v>
      </c>
      <c r="B123" s="3" t="s">
        <v>22</v>
      </c>
      <c r="C123" s="3">
        <v>4897</v>
      </c>
      <c r="D123" s="3">
        <v>683</v>
      </c>
      <c r="E123" s="3">
        <v>761158</v>
      </c>
      <c r="F123" s="4">
        <v>15.06231294947961</v>
      </c>
      <c r="G123" s="3">
        <v>58201</v>
      </c>
      <c r="H123" s="3" t="str">
        <f>'Task 3.1'!N146</f>
        <v>Brand Engagement</v>
      </c>
      <c r="I123" s="3">
        <f>Table3_215[[#This Row],[New_Followers]]-Table3_215[[#This Row],[Unfollows]]</f>
        <v>4214</v>
      </c>
    </row>
    <row r="124" spans="1:9" x14ac:dyDescent="0.3">
      <c r="A124" s="2">
        <v>45656</v>
      </c>
      <c r="B124" s="3" t="s">
        <v>18</v>
      </c>
      <c r="C124" s="3">
        <v>9123</v>
      </c>
      <c r="D124" s="3">
        <v>746</v>
      </c>
      <c r="E124" s="3">
        <v>769535</v>
      </c>
      <c r="F124" s="4">
        <v>6.3086149427901264</v>
      </c>
      <c r="G124" s="3">
        <v>35279</v>
      </c>
      <c r="H124" s="3" t="str">
        <f>'Task 3.1'!N147</f>
        <v>Brand Engagement</v>
      </c>
      <c r="I124" s="3">
        <f>Table3_215[[#This Row],[New_Followers]]-Table3_215[[#This Row],[Unfollows]]</f>
        <v>8377</v>
      </c>
    </row>
    <row r="125" spans="1:9" x14ac:dyDescent="0.3">
      <c r="A125" s="2">
        <v>45656</v>
      </c>
      <c r="B125" s="3" t="s">
        <v>40</v>
      </c>
      <c r="C125" s="3">
        <v>3279</v>
      </c>
      <c r="D125" s="3">
        <v>200</v>
      </c>
      <c r="E125" s="3">
        <v>772614</v>
      </c>
      <c r="F125" s="4">
        <v>5.0212654702089274</v>
      </c>
      <c r="G125" s="3">
        <v>53363</v>
      </c>
      <c r="H125" s="3" t="str">
        <f>'Task 3.1'!N148</f>
        <v>Brand Engagement</v>
      </c>
      <c r="I125" s="3">
        <f>Table3_215[[#This Row],[New_Followers]]-Table3_215[[#This Row],[Unfollows]]</f>
        <v>3079</v>
      </c>
    </row>
    <row r="126" spans="1:9" x14ac:dyDescent="0.3">
      <c r="A126" s="2">
        <v>45663</v>
      </c>
      <c r="B126" s="3" t="s">
        <v>18</v>
      </c>
      <c r="C126" s="3">
        <v>9980</v>
      </c>
      <c r="D126" s="3">
        <v>726</v>
      </c>
      <c r="E126" s="3">
        <v>781868</v>
      </c>
      <c r="F126" s="4">
        <v>4.0220344099003924</v>
      </c>
      <c r="G126" s="3">
        <v>58709</v>
      </c>
      <c r="H126" s="3" t="str">
        <f>'Task 3.1'!N149</f>
        <v>Product Launch</v>
      </c>
      <c r="I126" s="3">
        <f>Table3_215[[#This Row],[New_Followers]]-Table3_215[[#This Row],[Unfollows]]</f>
        <v>9254</v>
      </c>
    </row>
    <row r="127" spans="1:9" x14ac:dyDescent="0.3">
      <c r="A127" s="2">
        <v>45663</v>
      </c>
      <c r="B127" s="3" t="s">
        <v>40</v>
      </c>
      <c r="C127" s="3">
        <v>8451</v>
      </c>
      <c r="D127" s="3">
        <v>783</v>
      </c>
      <c r="E127" s="3">
        <v>789536</v>
      </c>
      <c r="F127" s="4">
        <v>12.407287318121019</v>
      </c>
      <c r="G127" s="3">
        <v>36201</v>
      </c>
      <c r="H127" s="3" t="str">
        <f>'Task 3.1'!N150</f>
        <v>Product Launch</v>
      </c>
      <c r="I127" s="3">
        <f>Table3_215[[#This Row],[New_Followers]]-Table3_215[[#This Row],[Unfollows]]</f>
        <v>7668</v>
      </c>
    </row>
    <row r="128" spans="1:9" x14ac:dyDescent="0.3">
      <c r="A128" s="2">
        <v>45663</v>
      </c>
      <c r="B128" s="3" t="s">
        <v>13</v>
      </c>
      <c r="C128" s="3">
        <v>9906</v>
      </c>
      <c r="D128" s="3">
        <v>1305</v>
      </c>
      <c r="E128" s="3">
        <v>798137</v>
      </c>
      <c r="F128" s="4">
        <v>9.1811305577864442</v>
      </c>
      <c r="G128" s="3">
        <v>29715</v>
      </c>
      <c r="H128" s="3" t="str">
        <f>'Task 3.1'!N151</f>
        <v>Brand Engagement</v>
      </c>
      <c r="I128" s="3">
        <f>Table3_215[[#This Row],[New_Followers]]-Table3_215[[#This Row],[Unfollows]]</f>
        <v>8601</v>
      </c>
    </row>
    <row r="129" spans="1:9" x14ac:dyDescent="0.3">
      <c r="A129" s="2">
        <v>45663</v>
      </c>
      <c r="B129" s="3" t="s">
        <v>40</v>
      </c>
      <c r="C129" s="3">
        <v>1775</v>
      </c>
      <c r="D129" s="3">
        <v>241</v>
      </c>
      <c r="E129" s="3">
        <v>799671</v>
      </c>
      <c r="F129" s="4">
        <v>8.1379717408784362</v>
      </c>
      <c r="G129" s="3">
        <v>39309</v>
      </c>
      <c r="H129" s="3" t="str">
        <f>'Task 3.1'!N152</f>
        <v>Brand Engagement</v>
      </c>
      <c r="I129" s="3">
        <f>Table3_215[[#This Row],[New_Followers]]-Table3_215[[#This Row],[Unfollows]]</f>
        <v>1534</v>
      </c>
    </row>
    <row r="130" spans="1:9" x14ac:dyDescent="0.3">
      <c r="A130" s="2">
        <v>45670</v>
      </c>
      <c r="B130" s="3" t="s">
        <v>18</v>
      </c>
      <c r="C130" s="3">
        <v>7869</v>
      </c>
      <c r="D130" s="3">
        <v>398</v>
      </c>
      <c r="E130" s="3">
        <v>807142</v>
      </c>
      <c r="F130" s="4">
        <v>15.211945357818079</v>
      </c>
      <c r="G130" s="3">
        <v>25078</v>
      </c>
      <c r="H130" s="3" t="str">
        <f>'Task 3.1'!N153</f>
        <v>Sustainability Branding</v>
      </c>
      <c r="I130" s="3">
        <f>Table3_215[[#This Row],[New_Followers]]-Table3_215[[#This Row],[Unfollows]]</f>
        <v>7471</v>
      </c>
    </row>
    <row r="131" spans="1:9" x14ac:dyDescent="0.3">
      <c r="A131" s="2">
        <v>45670</v>
      </c>
      <c r="B131" s="3" t="s">
        <v>22</v>
      </c>
      <c r="C131" s="3">
        <v>3247</v>
      </c>
      <c r="D131" s="3">
        <v>328</v>
      </c>
      <c r="E131" s="3">
        <v>810061</v>
      </c>
      <c r="F131" s="4">
        <v>13.941172331466399</v>
      </c>
      <c r="G131" s="3">
        <v>15105</v>
      </c>
      <c r="H131" s="3" t="str">
        <f>'Task 3.1'!N154</f>
        <v>Sustainability Branding</v>
      </c>
      <c r="I131" s="3">
        <f>Table3_215[[#This Row],[New_Followers]]-Table3_215[[#This Row],[Unfollows]]</f>
        <v>2919</v>
      </c>
    </row>
    <row r="132" spans="1:9" x14ac:dyDescent="0.3">
      <c r="A132" s="2">
        <v>45670</v>
      </c>
      <c r="B132" s="3" t="s">
        <v>40</v>
      </c>
      <c r="C132" s="3">
        <v>8088</v>
      </c>
      <c r="D132" s="3">
        <v>742</v>
      </c>
      <c r="E132" s="3">
        <v>817407</v>
      </c>
      <c r="F132" s="4">
        <v>14.664542877660701</v>
      </c>
      <c r="G132" s="3">
        <v>39312</v>
      </c>
      <c r="H132" s="3" t="str">
        <f>'Task 3.1'!N155</f>
        <v>Product Launch</v>
      </c>
      <c r="I132" s="3">
        <f>Table3_215[[#This Row],[New_Followers]]-Table3_215[[#This Row],[Unfollows]]</f>
        <v>7346</v>
      </c>
    </row>
    <row r="133" spans="1:9" x14ac:dyDescent="0.3">
      <c r="A133" s="2">
        <v>45670</v>
      </c>
      <c r="B133" s="3" t="s">
        <v>13</v>
      </c>
      <c r="C133" s="3">
        <v>1078</v>
      </c>
      <c r="D133" s="3">
        <v>77</v>
      </c>
      <c r="E133" s="3">
        <v>818408</v>
      </c>
      <c r="F133" s="4">
        <v>18.236747441373989</v>
      </c>
      <c r="G133" s="3">
        <v>12839</v>
      </c>
      <c r="H133" s="3" t="str">
        <f>'Task 3.1'!N156</f>
        <v>Product Launch</v>
      </c>
      <c r="I133" s="3">
        <f>Table3_215[[#This Row],[New_Followers]]-Table3_215[[#This Row],[Unfollows]]</f>
        <v>1001</v>
      </c>
    </row>
    <row r="134" spans="1:9" x14ac:dyDescent="0.3">
      <c r="A134" s="2">
        <v>45677</v>
      </c>
      <c r="B134" s="3" t="s">
        <v>40</v>
      </c>
      <c r="C134" s="3">
        <v>9080</v>
      </c>
      <c r="D134" s="3">
        <v>562</v>
      </c>
      <c r="E134" s="3">
        <v>826926</v>
      </c>
      <c r="F134" s="4">
        <v>7.1083748727213809</v>
      </c>
      <c r="G134" s="3">
        <v>13384</v>
      </c>
      <c r="H134" s="3" t="str">
        <f>'Task 3.1'!N157</f>
        <v>Brand Engagement</v>
      </c>
      <c r="I134" s="3">
        <f>Table3_215[[#This Row],[New_Followers]]-Table3_215[[#This Row],[Unfollows]]</f>
        <v>8518</v>
      </c>
    </row>
    <row r="135" spans="1:9" x14ac:dyDescent="0.3">
      <c r="A135" s="2">
        <v>45677</v>
      </c>
      <c r="B135" s="3" t="s">
        <v>40</v>
      </c>
      <c r="C135" s="3">
        <v>8099</v>
      </c>
      <c r="D135" s="3">
        <v>678</v>
      </c>
      <c r="E135" s="3">
        <v>834347</v>
      </c>
      <c r="F135" s="4">
        <v>7.6464588474579518</v>
      </c>
      <c r="G135" s="3">
        <v>53619</v>
      </c>
      <c r="H135" s="3" t="str">
        <f>'Task 3.1'!N158</f>
        <v>Brand Engagement</v>
      </c>
      <c r="I135" s="3">
        <f>Table3_215[[#This Row],[New_Followers]]-Table3_215[[#This Row],[Unfollows]]</f>
        <v>7421</v>
      </c>
    </row>
    <row r="136" spans="1:9" x14ac:dyDescent="0.3">
      <c r="A136" s="2">
        <v>45677</v>
      </c>
      <c r="B136" s="3" t="s">
        <v>40</v>
      </c>
      <c r="C136" s="3">
        <v>4926</v>
      </c>
      <c r="D136" s="3">
        <v>710</v>
      </c>
      <c r="E136" s="3">
        <v>838563</v>
      </c>
      <c r="F136" s="4">
        <v>12.96217457722318</v>
      </c>
      <c r="G136" s="3">
        <v>52821</v>
      </c>
      <c r="H136" s="3" t="str">
        <f>'Task 3.1'!N159</f>
        <v>Product Launch</v>
      </c>
      <c r="I136" s="3">
        <f>Table3_215[[#This Row],[New_Followers]]-Table3_215[[#This Row],[Unfollows]]</f>
        <v>4216</v>
      </c>
    </row>
    <row r="137" spans="1:9" x14ac:dyDescent="0.3">
      <c r="A137" s="2">
        <v>45677</v>
      </c>
      <c r="B137" s="3" t="s">
        <v>13</v>
      </c>
      <c r="C137" s="3">
        <v>8340</v>
      </c>
      <c r="D137" s="3">
        <v>686</v>
      </c>
      <c r="E137" s="3">
        <v>846217</v>
      </c>
      <c r="F137" s="4">
        <v>7.201344336027284</v>
      </c>
      <c r="G137" s="3">
        <v>23493</v>
      </c>
      <c r="H137" s="3" t="str">
        <f>'Task 3.1'!N160</f>
        <v>Product Launch</v>
      </c>
      <c r="I137" s="3">
        <f>Table3_215[[#This Row],[New_Followers]]-Table3_215[[#This Row],[Unfollows]]</f>
        <v>7654</v>
      </c>
    </row>
    <row r="138" spans="1:9" x14ac:dyDescent="0.3">
      <c r="A138" s="2">
        <v>45684</v>
      </c>
      <c r="B138" s="3" t="s">
        <v>18</v>
      </c>
      <c r="C138" s="3">
        <v>8083</v>
      </c>
      <c r="D138" s="3">
        <v>823</v>
      </c>
      <c r="E138" s="3">
        <v>853477</v>
      </c>
      <c r="F138" s="4">
        <v>4.6300017457998282</v>
      </c>
      <c r="G138" s="3">
        <v>27069</v>
      </c>
      <c r="H138" s="3" t="str">
        <f>'Task 3.1'!N161</f>
        <v>Product Promotion</v>
      </c>
      <c r="I138" s="3">
        <f>Table3_215[[#This Row],[New_Followers]]-Table3_215[[#This Row],[Unfollows]]</f>
        <v>7260</v>
      </c>
    </row>
    <row r="139" spans="1:9" x14ac:dyDescent="0.3">
      <c r="A139" s="2">
        <v>45684</v>
      </c>
      <c r="B139" s="3" t="s">
        <v>40</v>
      </c>
      <c r="C139" s="3">
        <v>7230</v>
      </c>
      <c r="D139" s="3">
        <v>869</v>
      </c>
      <c r="E139" s="3">
        <v>859838</v>
      </c>
      <c r="F139" s="4">
        <v>7.0117859410726204</v>
      </c>
      <c r="G139" s="3">
        <v>56907</v>
      </c>
      <c r="H139" s="3" t="str">
        <f>'Task 3.1'!N162</f>
        <v>Product Promotion</v>
      </c>
      <c r="I139" s="3">
        <f>Table3_215[[#This Row],[New_Followers]]-Table3_215[[#This Row],[Unfollows]]</f>
        <v>6361</v>
      </c>
    </row>
    <row r="140" spans="1:9" x14ac:dyDescent="0.3">
      <c r="A140" s="2">
        <v>45684</v>
      </c>
      <c r="B140" s="3" t="s">
        <v>40</v>
      </c>
      <c r="C140" s="3">
        <v>5940</v>
      </c>
      <c r="D140" s="3">
        <v>512</v>
      </c>
      <c r="E140" s="3">
        <v>865266</v>
      </c>
      <c r="F140" s="4">
        <v>15.7972230504839</v>
      </c>
      <c r="G140" s="3">
        <v>17531</v>
      </c>
      <c r="H140" s="3" t="str">
        <f>'Task 3.1'!N163</f>
        <v>Brand Engagement</v>
      </c>
      <c r="I140" s="3">
        <f>Table3_215[[#This Row],[New_Followers]]-Table3_215[[#This Row],[Unfollows]]</f>
        <v>5428</v>
      </c>
    </row>
    <row r="141" spans="1:9" x14ac:dyDescent="0.3">
      <c r="A141" s="2">
        <v>45684</v>
      </c>
      <c r="B141" s="3" t="s">
        <v>22</v>
      </c>
      <c r="C141" s="3">
        <v>4271</v>
      </c>
      <c r="D141" s="3">
        <v>628</v>
      </c>
      <c r="E141" s="3">
        <v>868909</v>
      </c>
      <c r="F141" s="4">
        <v>11.124410036033691</v>
      </c>
      <c r="G141" s="3">
        <v>47051</v>
      </c>
      <c r="H141" s="3" t="str">
        <f>'Task 3.1'!N164</f>
        <v>Brand Engagement</v>
      </c>
      <c r="I141" s="3">
        <f>Table3_215[[#This Row],[New_Followers]]-Table3_215[[#This Row],[Unfollows]]</f>
        <v>3643</v>
      </c>
    </row>
    <row r="142" spans="1:9" x14ac:dyDescent="0.3">
      <c r="A142" s="2">
        <v>45691</v>
      </c>
      <c r="B142" s="3" t="s">
        <v>13</v>
      </c>
      <c r="C142" s="3">
        <v>4456</v>
      </c>
      <c r="D142" s="3">
        <v>651</v>
      </c>
      <c r="E142" s="3">
        <v>872714</v>
      </c>
      <c r="F142" s="4">
        <v>9.5052903929580594</v>
      </c>
      <c r="G142" s="3">
        <v>17736</v>
      </c>
      <c r="H142" s="3" t="str">
        <f>'Task 3.1'!N165</f>
        <v>Health &amp; Fitness Awareness</v>
      </c>
      <c r="I142" s="3">
        <f>Table3_215[[#This Row],[New_Followers]]-Table3_215[[#This Row],[Unfollows]]</f>
        <v>3805</v>
      </c>
    </row>
    <row r="143" spans="1:9" x14ac:dyDescent="0.3">
      <c r="A143" s="2">
        <v>45691</v>
      </c>
      <c r="B143" s="3" t="s">
        <v>40</v>
      </c>
      <c r="C143" s="3">
        <v>8788</v>
      </c>
      <c r="D143" s="3">
        <v>660</v>
      </c>
      <c r="E143" s="3">
        <v>880842</v>
      </c>
      <c r="F143" s="4">
        <v>3.7175793161543158</v>
      </c>
      <c r="G143" s="3">
        <v>17710</v>
      </c>
      <c r="H143" s="3" t="str">
        <f>'Task 3.1'!N166</f>
        <v>Health &amp; Fitness Awareness</v>
      </c>
      <c r="I143" s="3">
        <f>Table3_215[[#This Row],[New_Followers]]-Table3_215[[#This Row],[Unfollows]]</f>
        <v>8128</v>
      </c>
    </row>
    <row r="144" spans="1:9" x14ac:dyDescent="0.3">
      <c r="A144" s="2">
        <v>45691</v>
      </c>
      <c r="B144" s="3" t="s">
        <v>13</v>
      </c>
      <c r="C144" s="3">
        <v>9599</v>
      </c>
      <c r="D144" s="3">
        <v>957</v>
      </c>
      <c r="E144" s="3">
        <v>889484</v>
      </c>
      <c r="F144" s="4">
        <v>8.768004820772493</v>
      </c>
      <c r="G144" s="3">
        <v>11619</v>
      </c>
      <c r="H144" s="3" t="str">
        <f>'Task 3.1'!N167</f>
        <v>Brand Engagement</v>
      </c>
      <c r="I144" s="3">
        <f>Table3_215[[#This Row],[New_Followers]]-Table3_215[[#This Row],[Unfollows]]</f>
        <v>8642</v>
      </c>
    </row>
    <row r="145" spans="1:9" x14ac:dyDescent="0.3">
      <c r="A145" s="2">
        <v>45691</v>
      </c>
      <c r="B145" s="3" t="s">
        <v>40</v>
      </c>
      <c r="C145" s="3">
        <v>8650</v>
      </c>
      <c r="D145" s="3">
        <v>692</v>
      </c>
      <c r="E145" s="3">
        <v>897442</v>
      </c>
      <c r="F145" s="4">
        <v>7.6673478620345374</v>
      </c>
      <c r="G145" s="3">
        <v>23975</v>
      </c>
      <c r="H145" s="3" t="str">
        <f>'Task 3.1'!N168</f>
        <v>Brand Engagement</v>
      </c>
      <c r="I145" s="3">
        <f>Table3_215[[#This Row],[New_Followers]]-Table3_215[[#This Row],[Unfollows]]</f>
        <v>7958</v>
      </c>
    </row>
    <row r="146" spans="1:9" x14ac:dyDescent="0.3">
      <c r="A146" s="2">
        <v>45698</v>
      </c>
      <c r="B146" s="3" t="s">
        <v>18</v>
      </c>
      <c r="C146" s="3">
        <v>3711</v>
      </c>
      <c r="D146" s="3">
        <v>291</v>
      </c>
      <c r="E146" s="3">
        <v>900862</v>
      </c>
      <c r="F146" s="4">
        <v>14.24879726306582</v>
      </c>
      <c r="G146" s="3">
        <v>55603</v>
      </c>
      <c r="H146" s="3" t="str">
        <f>'Task 3.1'!N169</f>
        <v>Health &amp; Fitness Awareness</v>
      </c>
      <c r="I146" s="3">
        <f>Table3_215[[#This Row],[New_Followers]]-Table3_215[[#This Row],[Unfollows]]</f>
        <v>3420</v>
      </c>
    </row>
    <row r="147" spans="1:9" x14ac:dyDescent="0.3">
      <c r="A147" s="2">
        <v>45698</v>
      </c>
      <c r="B147" s="3" t="s">
        <v>18</v>
      </c>
      <c r="C147" s="3">
        <v>2668</v>
      </c>
      <c r="D147" s="3">
        <v>143</v>
      </c>
      <c r="E147" s="3">
        <v>903387</v>
      </c>
      <c r="F147" s="4">
        <v>15.903372530266649</v>
      </c>
      <c r="G147" s="3">
        <v>33252</v>
      </c>
      <c r="H147" s="3" t="str">
        <f>'Task 3.1'!N170</f>
        <v>Health &amp; Fitness Awareness</v>
      </c>
      <c r="I147" s="3">
        <f>Table3_215[[#This Row],[New_Followers]]-Table3_215[[#This Row],[Unfollows]]</f>
        <v>2525</v>
      </c>
    </row>
    <row r="148" spans="1:9" x14ac:dyDescent="0.3">
      <c r="A148" s="2">
        <v>45698</v>
      </c>
      <c r="B148" s="3" t="s">
        <v>40</v>
      </c>
      <c r="C148" s="3">
        <v>1147</v>
      </c>
      <c r="D148" s="3">
        <v>127</v>
      </c>
      <c r="E148" s="3">
        <v>904407</v>
      </c>
      <c r="F148" s="4">
        <v>1.3997016829812241</v>
      </c>
      <c r="G148" s="3">
        <v>25261</v>
      </c>
      <c r="H148" s="3" t="str">
        <f>'Task 3.1'!N171</f>
        <v>Sustainability Branding</v>
      </c>
      <c r="I148" s="3">
        <f>Table3_215[[#This Row],[New_Followers]]-Table3_215[[#This Row],[Unfollows]]</f>
        <v>1020</v>
      </c>
    </row>
    <row r="149" spans="1:9" x14ac:dyDescent="0.3">
      <c r="A149" s="2">
        <v>45698</v>
      </c>
      <c r="B149" s="3" t="s">
        <v>18</v>
      </c>
      <c r="C149" s="3">
        <v>7420</v>
      </c>
      <c r="D149" s="3">
        <v>743</v>
      </c>
      <c r="E149" s="3">
        <v>911084</v>
      </c>
      <c r="F149" s="4">
        <v>10.593534734448189</v>
      </c>
      <c r="G149" s="3">
        <v>11431</v>
      </c>
      <c r="H149" s="3" t="str">
        <f>'Task 3.1'!N172</f>
        <v>Sustainability Branding</v>
      </c>
      <c r="I149" s="3">
        <f>Table3_215[[#This Row],[New_Followers]]-Table3_215[[#This Row],[Unfollows]]</f>
        <v>6677</v>
      </c>
    </row>
    <row r="150" spans="1:9" x14ac:dyDescent="0.3">
      <c r="A150" s="2">
        <v>45705</v>
      </c>
      <c r="B150" s="3" t="s">
        <v>40</v>
      </c>
      <c r="C150" s="3">
        <v>1365</v>
      </c>
      <c r="D150" s="3">
        <v>75</v>
      </c>
      <c r="E150" s="3">
        <v>912374</v>
      </c>
      <c r="F150" s="4">
        <v>9.2688963078737441</v>
      </c>
      <c r="G150" s="3">
        <v>19067</v>
      </c>
      <c r="H150" s="3" t="str">
        <f>'Task 3.1'!N173</f>
        <v>Health &amp; Fitness Awareness</v>
      </c>
      <c r="I150" s="3">
        <f>Table3_215[[#This Row],[New_Followers]]-Table3_215[[#This Row],[Unfollows]]</f>
        <v>1290</v>
      </c>
    </row>
    <row r="151" spans="1:9" x14ac:dyDescent="0.3">
      <c r="A151" s="2">
        <v>45705</v>
      </c>
      <c r="B151" s="3" t="s">
        <v>18</v>
      </c>
      <c r="C151" s="3">
        <v>5531</v>
      </c>
      <c r="D151" s="3">
        <v>430</v>
      </c>
      <c r="E151" s="3">
        <v>917475</v>
      </c>
      <c r="F151" s="4">
        <v>2.7289026948963189</v>
      </c>
      <c r="G151" s="3">
        <v>47481</v>
      </c>
      <c r="H151" s="3" t="str">
        <f>'Task 3.1'!N174</f>
        <v>Health &amp; Fitness Awareness</v>
      </c>
      <c r="I151" s="3">
        <f>Table3_215[[#This Row],[New_Followers]]-Table3_215[[#This Row],[Unfollows]]</f>
        <v>5101</v>
      </c>
    </row>
    <row r="152" spans="1:9" x14ac:dyDescent="0.3">
      <c r="A152" s="2">
        <v>45705</v>
      </c>
      <c r="B152" s="3" t="s">
        <v>22</v>
      </c>
      <c r="C152" s="3">
        <v>6330</v>
      </c>
      <c r="D152" s="3">
        <v>891</v>
      </c>
      <c r="E152" s="3">
        <v>922914</v>
      </c>
      <c r="F152" s="4">
        <v>14.789893749580139</v>
      </c>
      <c r="G152" s="3">
        <v>37037</v>
      </c>
      <c r="H152" s="3" t="str">
        <f>'Task 3.1'!N175</f>
        <v>Product Promotion</v>
      </c>
      <c r="I152" s="3">
        <f>Table3_215[[#This Row],[New_Followers]]-Table3_215[[#This Row],[Unfollows]]</f>
        <v>5439</v>
      </c>
    </row>
    <row r="153" spans="1:9" x14ac:dyDescent="0.3">
      <c r="A153" s="2">
        <v>45705</v>
      </c>
      <c r="B153" s="3" t="s">
        <v>22</v>
      </c>
      <c r="C153" s="3">
        <v>6510</v>
      </c>
      <c r="D153" s="3">
        <v>481</v>
      </c>
      <c r="E153" s="3">
        <v>928943</v>
      </c>
      <c r="F153" s="4">
        <v>2.3800168578696428</v>
      </c>
      <c r="G153" s="3">
        <v>19557</v>
      </c>
      <c r="H153" s="3" t="str">
        <f>'Task 3.1'!N176</f>
        <v>Product Promotion</v>
      </c>
      <c r="I153" s="3">
        <f>Table3_215[[#This Row],[New_Followers]]-Table3_215[[#This Row],[Unfollows]]</f>
        <v>6029</v>
      </c>
    </row>
    <row r="154" spans="1:9" x14ac:dyDescent="0.3">
      <c r="A154" s="2">
        <v>45712</v>
      </c>
      <c r="B154" s="3" t="s">
        <v>22</v>
      </c>
      <c r="C154" s="3">
        <v>9754</v>
      </c>
      <c r="D154" s="3">
        <v>629</v>
      </c>
      <c r="E154" s="3">
        <v>938068</v>
      </c>
      <c r="F154" s="4">
        <v>3.4123325814333292</v>
      </c>
      <c r="G154" s="3">
        <v>19435</v>
      </c>
      <c r="H154" s="3" t="str">
        <f>'Task 3.1'!N177</f>
        <v>Product Promotion</v>
      </c>
      <c r="I154" s="3">
        <f>Table3_215[[#This Row],[New_Followers]]-Table3_215[[#This Row],[Unfollows]]</f>
        <v>9125</v>
      </c>
    </row>
    <row r="155" spans="1:9" x14ac:dyDescent="0.3">
      <c r="A155" s="2">
        <v>45712</v>
      </c>
      <c r="B155" s="3" t="s">
        <v>13</v>
      </c>
      <c r="C155" s="3">
        <v>9964</v>
      </c>
      <c r="D155" s="3">
        <v>985</v>
      </c>
      <c r="E155" s="3">
        <v>947047</v>
      </c>
      <c r="F155" s="4">
        <v>1.9837452629066989</v>
      </c>
      <c r="G155" s="3">
        <v>47766</v>
      </c>
      <c r="H155" s="3" t="str">
        <f>'Task 3.1'!N178</f>
        <v>Product Promotion</v>
      </c>
      <c r="I155" s="3">
        <f>Table3_215[[#This Row],[New_Followers]]-Table3_215[[#This Row],[Unfollows]]</f>
        <v>8979</v>
      </c>
    </row>
    <row r="156" spans="1:9" x14ac:dyDescent="0.3">
      <c r="A156" s="2">
        <v>45712</v>
      </c>
      <c r="B156" s="3" t="s">
        <v>13</v>
      </c>
      <c r="C156" s="3">
        <v>7493</v>
      </c>
      <c r="D156" s="3">
        <v>1113</v>
      </c>
      <c r="E156" s="3">
        <v>953427</v>
      </c>
      <c r="F156" s="4">
        <v>15.684892498324469</v>
      </c>
      <c r="G156" s="3">
        <v>10162</v>
      </c>
      <c r="H156" s="3" t="str">
        <f>'Task 3.1'!N179</f>
        <v>Product Launch</v>
      </c>
      <c r="I156" s="3">
        <f>Table3_215[[#This Row],[New_Followers]]-Table3_215[[#This Row],[Unfollows]]</f>
        <v>6380</v>
      </c>
    </row>
    <row r="157" spans="1:9" x14ac:dyDescent="0.3">
      <c r="A157" s="2">
        <v>45712</v>
      </c>
      <c r="B157" s="3" t="s">
        <v>22</v>
      </c>
      <c r="C157" s="3">
        <v>6439</v>
      </c>
      <c r="D157" s="3">
        <v>477</v>
      </c>
      <c r="E157" s="3">
        <v>959389</v>
      </c>
      <c r="F157" s="4">
        <v>7.4744446725989153</v>
      </c>
      <c r="G157" s="3">
        <v>44742</v>
      </c>
      <c r="H157" s="3" t="str">
        <f>'Task 3.1'!N180</f>
        <v>Product Launch</v>
      </c>
      <c r="I157" s="3">
        <f>Table3_215[[#This Row],[New_Followers]]-Table3_215[[#This Row],[Unfollows]]</f>
        <v>5962</v>
      </c>
    </row>
    <row r="158" spans="1:9" x14ac:dyDescent="0.3">
      <c r="A158" s="2">
        <v>45719</v>
      </c>
      <c r="B158" s="3" t="s">
        <v>13</v>
      </c>
      <c r="C158" s="3">
        <v>7511</v>
      </c>
      <c r="D158" s="3">
        <v>880</v>
      </c>
      <c r="E158" s="3">
        <v>966020</v>
      </c>
      <c r="F158" s="4">
        <v>4.6083932009689246</v>
      </c>
      <c r="G158" s="3">
        <v>29675</v>
      </c>
      <c r="H158" s="3" t="str">
        <f>'Task 3.1'!N181</f>
        <v>Brand Engagement</v>
      </c>
      <c r="I158" s="3">
        <f>Table3_215[[#This Row],[New_Followers]]-Table3_215[[#This Row],[Unfollows]]</f>
        <v>6631</v>
      </c>
    </row>
    <row r="159" spans="1:9" x14ac:dyDescent="0.3">
      <c r="A159" s="2">
        <v>45719</v>
      </c>
      <c r="B159" s="3" t="s">
        <v>18</v>
      </c>
      <c r="C159" s="3">
        <v>8504</v>
      </c>
      <c r="D159" s="3">
        <v>1072</v>
      </c>
      <c r="E159" s="3">
        <v>973452</v>
      </c>
      <c r="F159" s="4">
        <v>6.5651927367759271</v>
      </c>
      <c r="G159" s="3">
        <v>18461</v>
      </c>
      <c r="H159" s="3" t="str">
        <f>'Task 3.1'!N182</f>
        <v>Product Launch</v>
      </c>
      <c r="I159" s="3">
        <f>Table3_215[[#This Row],[New_Followers]]-Table3_215[[#This Row],[Unfollows]]</f>
        <v>7432</v>
      </c>
    </row>
    <row r="160" spans="1:9" x14ac:dyDescent="0.3">
      <c r="A160" s="2">
        <v>45719</v>
      </c>
      <c r="B160" s="3" t="s">
        <v>40</v>
      </c>
      <c r="C160" s="3">
        <v>2246</v>
      </c>
      <c r="D160" s="3">
        <v>165</v>
      </c>
      <c r="E160" s="3">
        <v>975533</v>
      </c>
      <c r="F160" s="4">
        <v>2.9062061457685191</v>
      </c>
      <c r="G160" s="3">
        <v>27015</v>
      </c>
      <c r="H160" s="3" t="str">
        <f>'Task 3.1'!N183</f>
        <v>Product Launch</v>
      </c>
      <c r="I160" s="3">
        <f>Table3_215[[#This Row],[New_Followers]]-Table3_215[[#This Row],[Unfollows]]</f>
        <v>2081</v>
      </c>
    </row>
    <row r="161" spans="1:9" x14ac:dyDescent="0.3">
      <c r="A161" s="2">
        <v>45719</v>
      </c>
      <c r="B161" s="3" t="s">
        <v>40</v>
      </c>
      <c r="C161" s="3">
        <v>4839</v>
      </c>
      <c r="D161" s="3">
        <v>594</v>
      </c>
      <c r="E161" s="3">
        <v>979778</v>
      </c>
      <c r="F161" s="4">
        <v>2.5803804535313102</v>
      </c>
      <c r="G161" s="3">
        <v>42591</v>
      </c>
      <c r="H161" s="3" t="str">
        <f>'Task 3.1'!N184</f>
        <v>Health &amp; Fitness Awareness</v>
      </c>
      <c r="I161" s="3">
        <f>Table3_215[[#This Row],[New_Followers]]-Table3_215[[#This Row],[Unfollows]]</f>
        <v>4245</v>
      </c>
    </row>
    <row r="162" spans="1:9" x14ac:dyDescent="0.3">
      <c r="A162" s="2">
        <v>45726</v>
      </c>
      <c r="B162" s="3" t="s">
        <v>40</v>
      </c>
      <c r="C162" s="3">
        <v>9551</v>
      </c>
      <c r="D162" s="3">
        <v>828</v>
      </c>
      <c r="E162" s="3">
        <v>988501</v>
      </c>
      <c r="F162" s="4">
        <v>1.525036393488727</v>
      </c>
      <c r="G162" s="3">
        <v>38047</v>
      </c>
      <c r="H162" s="3" t="str">
        <f>'Task 3.1'!N185</f>
        <v>Health &amp; Fitness Awareness</v>
      </c>
      <c r="I162" s="3">
        <f>Table3_215[[#This Row],[New_Followers]]-Table3_215[[#This Row],[Unfollows]]</f>
        <v>8723</v>
      </c>
    </row>
    <row r="163" spans="1:9" x14ac:dyDescent="0.3">
      <c r="A163" s="2">
        <v>45726</v>
      </c>
      <c r="B163" s="3" t="s">
        <v>22</v>
      </c>
      <c r="C163" s="3">
        <v>3376</v>
      </c>
      <c r="D163" s="3">
        <v>382</v>
      </c>
      <c r="E163" s="3">
        <v>991495</v>
      </c>
      <c r="F163" s="4">
        <v>3.8694093263203548</v>
      </c>
      <c r="G163" s="3">
        <v>44782</v>
      </c>
      <c r="H163" s="3" t="str">
        <f>'Task 3.1'!N186</f>
        <v>Product Launch</v>
      </c>
      <c r="I163" s="3">
        <f>Table3_215[[#This Row],[New_Followers]]-Table3_215[[#This Row],[Unfollows]]</f>
        <v>2994</v>
      </c>
    </row>
    <row r="164" spans="1:9" x14ac:dyDescent="0.3">
      <c r="A164" s="2">
        <v>45726</v>
      </c>
      <c r="B164" s="3" t="s">
        <v>13</v>
      </c>
      <c r="C164" s="3">
        <v>4009</v>
      </c>
      <c r="D164" s="3">
        <v>454</v>
      </c>
      <c r="E164" s="3">
        <v>995050</v>
      </c>
      <c r="F164" s="4">
        <v>2.1106477061454201</v>
      </c>
      <c r="G164" s="3">
        <v>19833</v>
      </c>
      <c r="H164" s="3" t="str">
        <f>'Task 3.1'!N187</f>
        <v>Product Launch</v>
      </c>
      <c r="I164" s="3">
        <f>Table3_215[[#This Row],[New_Followers]]-Table3_215[[#This Row],[Unfollows]]</f>
        <v>3555</v>
      </c>
    </row>
    <row r="165" spans="1:9" x14ac:dyDescent="0.3">
      <c r="A165" s="2">
        <v>45726</v>
      </c>
      <c r="B165" s="3" t="s">
        <v>18</v>
      </c>
      <c r="C165" s="3">
        <v>2827</v>
      </c>
      <c r="D165" s="3">
        <v>292</v>
      </c>
      <c r="E165" s="3">
        <v>997585</v>
      </c>
      <c r="F165" s="4">
        <v>2.4004972007397871</v>
      </c>
      <c r="G165" s="3">
        <v>17896</v>
      </c>
      <c r="H165" s="3" t="str">
        <f>'Task 3.1'!N188</f>
        <v>Product Launch</v>
      </c>
      <c r="I165" s="3">
        <f>Table3_215[[#This Row],[New_Followers]]-Table3_215[[#This Row],[Unfollows]]</f>
        <v>2535</v>
      </c>
    </row>
    <row r="166" spans="1:9" x14ac:dyDescent="0.3">
      <c r="A166" s="2">
        <v>45733</v>
      </c>
      <c r="B166" s="3" t="s">
        <v>18</v>
      </c>
      <c r="C166" s="3">
        <v>7979</v>
      </c>
      <c r="D166" s="3">
        <v>470</v>
      </c>
      <c r="E166" s="3">
        <v>1005094</v>
      </c>
      <c r="F166" s="4">
        <v>10.43086517280971</v>
      </c>
      <c r="G166" s="3">
        <v>42972</v>
      </c>
      <c r="H166" s="3" t="str">
        <f>'Task 3.1'!N189</f>
        <v>Product Launch</v>
      </c>
      <c r="I166" s="3">
        <f>Table3_215[[#This Row],[New_Followers]]-Table3_215[[#This Row],[Unfollows]]</f>
        <v>7509</v>
      </c>
    </row>
    <row r="167" spans="1:9" x14ac:dyDescent="0.3">
      <c r="A167" s="2">
        <v>45733</v>
      </c>
      <c r="B167" s="3" t="s">
        <v>22</v>
      </c>
      <c r="C167" s="3">
        <v>9569</v>
      </c>
      <c r="D167" s="3">
        <v>1277</v>
      </c>
      <c r="E167" s="3">
        <v>1013386</v>
      </c>
      <c r="F167" s="4">
        <v>12.45517502708741</v>
      </c>
      <c r="G167" s="3">
        <v>59733</v>
      </c>
      <c r="H167" s="3" t="str">
        <f>'Task 3.1'!N190</f>
        <v>Product Launch</v>
      </c>
      <c r="I167" s="3">
        <f>Table3_215[[#This Row],[New_Followers]]-Table3_215[[#This Row],[Unfollows]]</f>
        <v>8292</v>
      </c>
    </row>
    <row r="168" spans="1:9" x14ac:dyDescent="0.3">
      <c r="A168" s="2">
        <v>45733</v>
      </c>
      <c r="B168" s="3" t="s">
        <v>18</v>
      </c>
      <c r="C168" s="3">
        <v>5285</v>
      </c>
      <c r="D168" s="3">
        <v>433</v>
      </c>
      <c r="E168" s="3">
        <v>1018238</v>
      </c>
      <c r="F168" s="4">
        <v>8.7022876773406619</v>
      </c>
      <c r="G168" s="3">
        <v>51800</v>
      </c>
      <c r="H168" s="3" t="str">
        <f>'Task 3.1'!N191</f>
        <v>Product Launch</v>
      </c>
      <c r="I168" s="3">
        <f>Table3_215[[#This Row],[New_Followers]]-Table3_215[[#This Row],[Unfollows]]</f>
        <v>4852</v>
      </c>
    </row>
    <row r="169" spans="1:9" x14ac:dyDescent="0.3">
      <c r="A169" s="2">
        <v>45733</v>
      </c>
      <c r="B169" s="3" t="s">
        <v>18</v>
      </c>
      <c r="C169" s="3">
        <v>7910</v>
      </c>
      <c r="D169" s="3">
        <v>543</v>
      </c>
      <c r="E169" s="3">
        <v>1025605</v>
      </c>
      <c r="F169" s="4">
        <v>6.0590578244060822</v>
      </c>
      <c r="G169" s="3">
        <v>40508</v>
      </c>
      <c r="H169" s="3" t="str">
        <f>'Task 3.1'!N192</f>
        <v>Sustainability Branding</v>
      </c>
      <c r="I169" s="3">
        <f>Table3_215[[#This Row],[New_Followers]]-Table3_215[[#This Row],[Unfollows]]</f>
        <v>7367</v>
      </c>
    </row>
    <row r="170" spans="1:9" x14ac:dyDescent="0.3">
      <c r="A170" s="2">
        <v>45740</v>
      </c>
      <c r="B170" s="3" t="s">
        <v>18</v>
      </c>
      <c r="C170" s="3">
        <v>9561</v>
      </c>
      <c r="D170" s="3">
        <v>517</v>
      </c>
      <c r="E170" s="3">
        <v>1034649</v>
      </c>
      <c r="F170" s="4">
        <v>6.4086467971263694</v>
      </c>
      <c r="G170" s="3">
        <v>15347</v>
      </c>
      <c r="H170" s="3" t="str">
        <f>'Task 3.1'!N193</f>
        <v>Sustainability Branding</v>
      </c>
      <c r="I170" s="3">
        <f>Table3_215[[#This Row],[New_Followers]]-Table3_215[[#This Row],[Unfollows]]</f>
        <v>9044</v>
      </c>
    </row>
    <row r="171" spans="1:9" x14ac:dyDescent="0.3">
      <c r="A171" s="2">
        <v>45740</v>
      </c>
      <c r="B171" s="3" t="s">
        <v>18</v>
      </c>
      <c r="C171" s="3">
        <v>3196</v>
      </c>
      <c r="D171" s="3">
        <v>348</v>
      </c>
      <c r="E171" s="3">
        <v>1037497</v>
      </c>
      <c r="F171" s="4">
        <v>14.03040201562029</v>
      </c>
      <c r="G171" s="3">
        <v>40314</v>
      </c>
      <c r="H171" s="3" t="str">
        <f>'Task 3.1'!N194</f>
        <v>Sustainability Branding</v>
      </c>
      <c r="I171" s="3">
        <f>Table3_215[[#This Row],[New_Followers]]-Table3_215[[#This Row],[Unfollows]]</f>
        <v>2848</v>
      </c>
    </row>
    <row r="172" spans="1:9" x14ac:dyDescent="0.3">
      <c r="A172" s="2">
        <v>45740</v>
      </c>
      <c r="B172" s="3" t="s">
        <v>13</v>
      </c>
      <c r="C172" s="3">
        <v>4747</v>
      </c>
      <c r="D172" s="3">
        <v>558</v>
      </c>
      <c r="E172" s="3">
        <v>1041686</v>
      </c>
      <c r="F172" s="4">
        <v>5.7680529449373434</v>
      </c>
      <c r="G172" s="3">
        <v>12643</v>
      </c>
      <c r="H172" s="3" t="str">
        <f>'Task 3.1'!N195</f>
        <v>Sustainability Branding</v>
      </c>
      <c r="I172" s="3">
        <f>Table3_215[[#This Row],[New_Followers]]-Table3_215[[#This Row],[Unfollows]]</f>
        <v>4189</v>
      </c>
    </row>
    <row r="173" spans="1:9" x14ac:dyDescent="0.3">
      <c r="A173" s="2">
        <v>45740</v>
      </c>
      <c r="B173" s="3" t="s">
        <v>18</v>
      </c>
      <c r="C173" s="3">
        <v>9843</v>
      </c>
      <c r="D173" s="3">
        <v>508</v>
      </c>
      <c r="E173" s="3">
        <v>1051021</v>
      </c>
      <c r="F173" s="4">
        <v>4.2080986012648651</v>
      </c>
      <c r="G173" s="3">
        <v>50785</v>
      </c>
      <c r="H173" s="3" t="str">
        <f>'Task 3.1'!N196</f>
        <v>Brand Engagement</v>
      </c>
      <c r="I173" s="3">
        <f>Table3_215[[#This Row],[New_Followers]]-Table3_215[[#This Row],[Unfollows]]</f>
        <v>9335</v>
      </c>
    </row>
    <row r="174" spans="1:9" x14ac:dyDescent="0.3">
      <c r="A174" s="2">
        <v>45747</v>
      </c>
      <c r="B174" s="3" t="s">
        <v>40</v>
      </c>
      <c r="C174" s="3">
        <v>6978</v>
      </c>
      <c r="D174" s="3">
        <v>706</v>
      </c>
      <c r="E174" s="3">
        <v>1057293</v>
      </c>
      <c r="F174" s="4">
        <v>5.057443868445171</v>
      </c>
      <c r="G174" s="3">
        <v>28681</v>
      </c>
      <c r="H174" s="3" t="str">
        <f>'Task 3.1'!N197</f>
        <v>Brand Engagement</v>
      </c>
      <c r="I174" s="3">
        <f>Table3_215[[#This Row],[New_Followers]]-Table3_215[[#This Row],[Unfollows]]</f>
        <v>6272</v>
      </c>
    </row>
    <row r="175" spans="1:9" x14ac:dyDescent="0.3">
      <c r="A175" s="2">
        <v>45747</v>
      </c>
      <c r="B175" s="3" t="s">
        <v>22</v>
      </c>
      <c r="C175" s="3">
        <v>6607</v>
      </c>
      <c r="D175" s="3">
        <v>479</v>
      </c>
      <c r="E175" s="3">
        <v>1063421</v>
      </c>
      <c r="F175" s="4">
        <v>5.5892257158735816</v>
      </c>
      <c r="G175" s="3">
        <v>48328</v>
      </c>
      <c r="H175" s="3" t="str">
        <f>'Task 3.1'!N198</f>
        <v>Product Launch</v>
      </c>
      <c r="I175" s="3">
        <f>Table3_215[[#This Row],[New_Followers]]-Table3_215[[#This Row],[Unfollows]]</f>
        <v>6128</v>
      </c>
    </row>
    <row r="176" spans="1:9" x14ac:dyDescent="0.3">
      <c r="A176" s="2">
        <v>45747</v>
      </c>
      <c r="B176" s="3" t="s">
        <v>13</v>
      </c>
      <c r="C176" s="3">
        <v>1769</v>
      </c>
      <c r="D176" s="3">
        <v>202</v>
      </c>
      <c r="E176" s="3">
        <v>1064988</v>
      </c>
      <c r="F176" s="4">
        <v>6.5457075572682513</v>
      </c>
      <c r="G176" s="3">
        <v>25892</v>
      </c>
      <c r="H176" s="3" t="str">
        <f>'Task 3.1'!N199</f>
        <v>Product Launch</v>
      </c>
      <c r="I176" s="3">
        <f>Table3_215[[#This Row],[New_Followers]]-Table3_215[[#This Row],[Unfollows]]</f>
        <v>1567</v>
      </c>
    </row>
    <row r="177" spans="1:9" x14ac:dyDescent="0.3">
      <c r="A177" s="2">
        <v>45747</v>
      </c>
      <c r="B177" s="3" t="s">
        <v>18</v>
      </c>
      <c r="C177" s="3">
        <v>1780</v>
      </c>
      <c r="D177" s="3">
        <v>120</v>
      </c>
      <c r="E177" s="3">
        <v>1066648</v>
      </c>
      <c r="F177" s="4">
        <v>13.86474263299608</v>
      </c>
      <c r="G177" s="3">
        <v>57299</v>
      </c>
      <c r="H177" s="3" t="str">
        <f>'Task 3.1'!N200</f>
        <v>Health &amp; Fitness Awareness</v>
      </c>
      <c r="I177" s="3">
        <f>Table3_215[[#This Row],[New_Followers]]-Table3_215[[#This Row],[Unfollows]]</f>
        <v>1660</v>
      </c>
    </row>
    <row r="178" spans="1:9" x14ac:dyDescent="0.3">
      <c r="A178" s="2">
        <v>45754</v>
      </c>
      <c r="B178" s="3" t="s">
        <v>13</v>
      </c>
      <c r="C178" s="3">
        <v>7303</v>
      </c>
      <c r="D178" s="3">
        <v>869</v>
      </c>
      <c r="E178" s="3">
        <v>1073082</v>
      </c>
      <c r="F178" s="4">
        <v>8.1237966902808925</v>
      </c>
      <c r="G178" s="3">
        <v>27073</v>
      </c>
      <c r="H178" s="3" t="str">
        <f>'Task 3.1'!N201</f>
        <v>Health &amp; Fitness Awareness</v>
      </c>
      <c r="I178" s="3">
        <f>Table3_215[[#This Row],[New_Followers]]-Table3_215[[#This Row],[Unfollows]]</f>
        <v>6434</v>
      </c>
    </row>
    <row r="179" spans="1:9" x14ac:dyDescent="0.3">
      <c r="A179" s="2">
        <v>45754</v>
      </c>
      <c r="B179" s="3" t="s">
        <v>18</v>
      </c>
      <c r="C179" s="3">
        <v>4983</v>
      </c>
      <c r="D179" s="3">
        <v>441</v>
      </c>
      <c r="E179" s="3">
        <v>1077624</v>
      </c>
      <c r="F179" s="4">
        <v>6.8954477628560609</v>
      </c>
      <c r="G179" s="3">
        <v>46768</v>
      </c>
      <c r="H179" s="3" t="str">
        <f>'Task 3.1'!N202</f>
        <v>Product Launch</v>
      </c>
      <c r="I179" s="3">
        <f>Table3_215[[#This Row],[New_Followers]]-Table3_215[[#This Row],[Unfollows]]</f>
        <v>4542</v>
      </c>
    </row>
    <row r="180" spans="1:9" x14ac:dyDescent="0.3">
      <c r="A180" s="2">
        <v>45754</v>
      </c>
      <c r="B180" s="3" t="s">
        <v>40</v>
      </c>
      <c r="C180" s="3">
        <v>9714</v>
      </c>
      <c r="D180" s="3">
        <v>1395</v>
      </c>
      <c r="E180" s="3">
        <v>1085943</v>
      </c>
      <c r="F180" s="4">
        <v>5.2243073531483697</v>
      </c>
      <c r="G180" s="3">
        <v>40682</v>
      </c>
      <c r="H180" s="3" t="str">
        <f>'Task 3.1'!N203</f>
        <v>Product Launch</v>
      </c>
      <c r="I180" s="3">
        <f>Table3_215[[#This Row],[New_Followers]]-Table3_215[[#This Row],[Unfollows]]</f>
        <v>8319</v>
      </c>
    </row>
    <row r="181" spans="1:9" x14ac:dyDescent="0.3">
      <c r="A181" s="2">
        <v>45754</v>
      </c>
      <c r="B181" s="3" t="s">
        <v>22</v>
      </c>
      <c r="C181" s="3">
        <v>1521</v>
      </c>
      <c r="D181" s="3">
        <v>96</v>
      </c>
      <c r="E181" s="3">
        <v>1087368</v>
      </c>
      <c r="F181" s="4">
        <v>12.709772588488899</v>
      </c>
      <c r="G181" s="3">
        <v>42262</v>
      </c>
      <c r="H181" s="3" t="str">
        <f>'Task 3.1'!N204</f>
        <v>Sustainability Branding</v>
      </c>
      <c r="I181" s="3">
        <f>Table3_215[[#This Row],[New_Followers]]-Table3_215[[#This Row],[Unfollows]]</f>
        <v>1425</v>
      </c>
    </row>
    <row r="182" spans="1:9" x14ac:dyDescent="0.3">
      <c r="A182" s="2">
        <v>45761</v>
      </c>
      <c r="B182" s="3" t="s">
        <v>18</v>
      </c>
      <c r="C182" s="3">
        <v>8569</v>
      </c>
      <c r="D182" s="3">
        <v>720</v>
      </c>
      <c r="E182" s="3">
        <v>1095217</v>
      </c>
      <c r="F182" s="4">
        <v>9.589697749395782</v>
      </c>
      <c r="G182" s="3">
        <v>41358</v>
      </c>
      <c r="H182" s="3" t="str">
        <f>'Task 3.1'!N205</f>
        <v>Product Promotion</v>
      </c>
      <c r="I182" s="3">
        <f>Table3_215[[#This Row],[New_Followers]]-Table3_215[[#This Row],[Unfollows]]</f>
        <v>7849</v>
      </c>
    </row>
    <row r="183" spans="1:9" x14ac:dyDescent="0.3">
      <c r="A183" s="2">
        <v>45761</v>
      </c>
      <c r="B183" s="3" t="s">
        <v>18</v>
      </c>
      <c r="C183" s="3">
        <v>6784</v>
      </c>
      <c r="D183" s="3">
        <v>416</v>
      </c>
      <c r="E183" s="3">
        <v>1101585</v>
      </c>
      <c r="F183" s="4">
        <v>9.3041390360253633</v>
      </c>
      <c r="G183" s="3">
        <v>24289</v>
      </c>
      <c r="H183" s="3" t="str">
        <f>'Task 3.1'!N206</f>
        <v>Product Promotion</v>
      </c>
      <c r="I183" s="3">
        <f>Table3_215[[#This Row],[New_Followers]]-Table3_215[[#This Row],[Unfollows]]</f>
        <v>6368</v>
      </c>
    </row>
    <row r="184" spans="1:9" x14ac:dyDescent="0.3">
      <c r="A184" s="2">
        <v>45761</v>
      </c>
      <c r="B184" s="3" t="s">
        <v>18</v>
      </c>
      <c r="C184" s="3">
        <v>5583</v>
      </c>
      <c r="D184" s="3">
        <v>795</v>
      </c>
      <c r="E184" s="3">
        <v>1106373</v>
      </c>
      <c r="F184" s="4">
        <v>12.21550055903389</v>
      </c>
      <c r="G184" s="3">
        <v>59823</v>
      </c>
      <c r="H184" s="3" t="str">
        <f>'Task 3.1'!N207</f>
        <v>Sustainability Branding</v>
      </c>
      <c r="I184" s="3">
        <f>Table3_215[[#This Row],[New_Followers]]-Table3_215[[#This Row],[Unfollows]]</f>
        <v>4788</v>
      </c>
    </row>
    <row r="185" spans="1:9" x14ac:dyDescent="0.3">
      <c r="A185" s="2">
        <v>45761</v>
      </c>
      <c r="B185" s="3" t="s">
        <v>18</v>
      </c>
      <c r="C185" s="3">
        <v>6946</v>
      </c>
      <c r="D185" s="3">
        <v>956</v>
      </c>
      <c r="E185" s="3">
        <v>1112363</v>
      </c>
      <c r="F185" s="4">
        <v>1.64146056637986</v>
      </c>
      <c r="G185" s="3">
        <v>17927</v>
      </c>
      <c r="H185" s="3" t="str">
        <f>'Task 3.1'!N208</f>
        <v>Sustainability Branding</v>
      </c>
      <c r="I185" s="3">
        <f>Table3_215[[#This Row],[New_Followers]]-Table3_215[[#This Row],[Unfollows]]</f>
        <v>5990</v>
      </c>
    </row>
    <row r="186" spans="1:9" x14ac:dyDescent="0.3">
      <c r="A186" s="2">
        <v>45768</v>
      </c>
      <c r="B186" s="3" t="s">
        <v>22</v>
      </c>
      <c r="C186" s="3">
        <v>5941</v>
      </c>
      <c r="D186" s="3">
        <v>450</v>
      </c>
      <c r="E186" s="3">
        <v>1117854</v>
      </c>
      <c r="F186" s="4">
        <v>12.414411899944</v>
      </c>
      <c r="G186" s="3">
        <v>58330</v>
      </c>
      <c r="H186" s="3" t="str">
        <f>'Task 3.1'!N209</f>
        <v>Health &amp; Fitness Awareness</v>
      </c>
      <c r="I186" s="3">
        <f>Table3_215[[#This Row],[New_Followers]]-Table3_215[[#This Row],[Unfollows]]</f>
        <v>5491</v>
      </c>
    </row>
    <row r="187" spans="1:9" x14ac:dyDescent="0.3">
      <c r="A187" s="2">
        <v>45768</v>
      </c>
      <c r="B187" s="3" t="s">
        <v>22</v>
      </c>
      <c r="C187" s="3">
        <v>7267</v>
      </c>
      <c r="D187" s="3">
        <v>842</v>
      </c>
      <c r="E187" s="3">
        <v>1124279</v>
      </c>
      <c r="F187" s="4">
        <v>2.2102165031989389</v>
      </c>
      <c r="G187" s="3">
        <v>11171</v>
      </c>
      <c r="H187" s="3" t="str">
        <f>'Task 3.1'!N210</f>
        <v>Health &amp; Fitness Awareness</v>
      </c>
      <c r="I187" s="3">
        <f>Table3_215[[#This Row],[New_Followers]]-Table3_215[[#This Row],[Unfollows]]</f>
        <v>6425</v>
      </c>
    </row>
    <row r="188" spans="1:9" x14ac:dyDescent="0.3">
      <c r="A188" s="2">
        <v>45768</v>
      </c>
      <c r="B188" s="3" t="s">
        <v>40</v>
      </c>
      <c r="C188" s="3">
        <v>8128</v>
      </c>
      <c r="D188" s="3">
        <v>1070</v>
      </c>
      <c r="E188" s="3">
        <v>1131337</v>
      </c>
      <c r="F188" s="4">
        <v>8.1114645768679008</v>
      </c>
      <c r="G188" s="3">
        <v>21918</v>
      </c>
      <c r="H188" s="3" t="str">
        <f>'Task 3.1'!N211</f>
        <v>Brand Engagement</v>
      </c>
      <c r="I188" s="3">
        <f>Table3_215[[#This Row],[New_Followers]]-Table3_215[[#This Row],[Unfollows]]</f>
        <v>7058</v>
      </c>
    </row>
    <row r="189" spans="1:9" x14ac:dyDescent="0.3">
      <c r="A189" s="2">
        <v>45768</v>
      </c>
      <c r="B189" s="3" t="s">
        <v>22</v>
      </c>
      <c r="C189" s="3">
        <v>3461</v>
      </c>
      <c r="D189" s="3">
        <v>365</v>
      </c>
      <c r="E189" s="3">
        <v>1134433</v>
      </c>
      <c r="F189" s="4">
        <v>10.23489267325616</v>
      </c>
      <c r="G189" s="3">
        <v>51903</v>
      </c>
      <c r="H189" s="3" t="str">
        <f>'Task 3.1'!N212</f>
        <v>Brand Engagement</v>
      </c>
      <c r="I189" s="3">
        <f>Table3_215[[#This Row],[New_Followers]]-Table3_215[[#This Row],[Unfollows]]</f>
        <v>3096</v>
      </c>
    </row>
    <row r="190" spans="1:9" x14ac:dyDescent="0.3">
      <c r="A190" s="2">
        <v>45775</v>
      </c>
      <c r="B190" s="3" t="s">
        <v>18</v>
      </c>
      <c r="C190" s="3">
        <v>1685</v>
      </c>
      <c r="D190" s="3">
        <v>173</v>
      </c>
      <c r="E190" s="3">
        <v>1135945</v>
      </c>
      <c r="F190" s="4">
        <v>8.7776256772995165</v>
      </c>
      <c r="G190" s="3">
        <v>49110</v>
      </c>
      <c r="H190" s="3" t="str">
        <f>'Task 3.1'!N213</f>
        <v>Product Launch</v>
      </c>
      <c r="I190" s="3">
        <f>Table3_215[[#This Row],[New_Followers]]-Table3_215[[#This Row],[Unfollows]]</f>
        <v>1512</v>
      </c>
    </row>
    <row r="191" spans="1:9" x14ac:dyDescent="0.3">
      <c r="A191" s="2">
        <v>45775</v>
      </c>
      <c r="B191" s="3" t="s">
        <v>40</v>
      </c>
      <c r="C191" s="3">
        <v>3160</v>
      </c>
      <c r="D191" s="3">
        <v>234</v>
      </c>
      <c r="E191" s="3">
        <v>1138871</v>
      </c>
      <c r="F191" s="4">
        <v>5.6959041015180816</v>
      </c>
      <c r="G191" s="3">
        <v>21929</v>
      </c>
      <c r="H191" s="3" t="str">
        <f>'Task 3.1'!N214</f>
        <v>Product Launch</v>
      </c>
      <c r="I191" s="3">
        <f>Table3_215[[#This Row],[New_Followers]]-Table3_215[[#This Row],[Unfollows]]</f>
        <v>2926</v>
      </c>
    </row>
    <row r="192" spans="1:9" x14ac:dyDescent="0.3">
      <c r="A192" s="2">
        <v>45775</v>
      </c>
      <c r="B192" s="3" t="s">
        <v>40</v>
      </c>
      <c r="C192" s="3">
        <v>8031</v>
      </c>
      <c r="D192" s="3">
        <v>476</v>
      </c>
      <c r="E192" s="3">
        <v>1146426</v>
      </c>
      <c r="F192" s="4">
        <v>11.940413075069831</v>
      </c>
      <c r="G192" s="3">
        <v>12539</v>
      </c>
      <c r="H192" s="3" t="str">
        <f>'Task 3.1'!N215</f>
        <v>Health &amp; Fitness Awareness</v>
      </c>
      <c r="I192" s="3">
        <f>Table3_215[[#This Row],[New_Followers]]-Table3_215[[#This Row],[Unfollows]]</f>
        <v>7555</v>
      </c>
    </row>
    <row r="193" spans="1:9" x14ac:dyDescent="0.3">
      <c r="A193" s="2">
        <v>45775</v>
      </c>
      <c r="B193" s="3" t="s">
        <v>40</v>
      </c>
      <c r="C193" s="3">
        <v>6341</v>
      </c>
      <c r="D193" s="3">
        <v>885</v>
      </c>
      <c r="E193" s="3">
        <v>1151882</v>
      </c>
      <c r="F193" s="4">
        <v>6.3457020771224837</v>
      </c>
      <c r="G193" s="3">
        <v>46727</v>
      </c>
      <c r="H193" s="3" t="str">
        <f>'Task 3.1'!N216</f>
        <v>Health &amp; Fitness Awareness</v>
      </c>
      <c r="I193" s="3">
        <f>Table3_215[[#This Row],[New_Followers]]-Table3_215[[#This Row],[Unfollows]]</f>
        <v>5456</v>
      </c>
    </row>
    <row r="194" spans="1:9" x14ac:dyDescent="0.3">
      <c r="A194" s="2">
        <v>45782</v>
      </c>
      <c r="B194" s="3" t="s">
        <v>18</v>
      </c>
      <c r="C194" s="3">
        <v>1038</v>
      </c>
      <c r="D194" s="3">
        <v>145</v>
      </c>
      <c r="E194" s="3">
        <v>1152775</v>
      </c>
      <c r="F194" s="4">
        <v>11.093752033137431</v>
      </c>
      <c r="G194" s="3">
        <v>55951</v>
      </c>
      <c r="H194" s="3" t="str">
        <f>'Task 3.1'!N217</f>
        <v>Sustainability Branding</v>
      </c>
      <c r="I194" s="3">
        <f>Table3_215[[#This Row],[New_Followers]]-Table3_215[[#This Row],[Unfollows]]</f>
        <v>893</v>
      </c>
    </row>
    <row r="195" spans="1:9" x14ac:dyDescent="0.3">
      <c r="A195" s="2">
        <v>45782</v>
      </c>
      <c r="B195" s="3" t="s">
        <v>13</v>
      </c>
      <c r="C195" s="3">
        <v>5875</v>
      </c>
      <c r="D195" s="3">
        <v>665</v>
      </c>
      <c r="E195" s="3">
        <v>1157985</v>
      </c>
      <c r="F195" s="4">
        <v>6.9871371390821126</v>
      </c>
      <c r="G195" s="3">
        <v>32669</v>
      </c>
      <c r="H195" s="3" t="str">
        <f>'Task 3.1'!N218</f>
        <v>Sustainability Branding</v>
      </c>
      <c r="I195" s="3">
        <f>Table3_215[[#This Row],[New_Followers]]-Table3_215[[#This Row],[Unfollows]]</f>
        <v>5210</v>
      </c>
    </row>
    <row r="196" spans="1:9" x14ac:dyDescent="0.3">
      <c r="A196" s="2">
        <v>45782</v>
      </c>
      <c r="B196" s="3" t="s">
        <v>18</v>
      </c>
      <c r="C196" s="3">
        <v>2256</v>
      </c>
      <c r="D196" s="3">
        <v>189</v>
      </c>
      <c r="E196" s="3">
        <v>1160052</v>
      </c>
      <c r="F196" s="4">
        <v>2.8935771844710412</v>
      </c>
      <c r="G196" s="3">
        <v>15432</v>
      </c>
      <c r="H196" s="3" t="str">
        <f>'Task 3.1'!N219</f>
        <v>Sustainability Branding</v>
      </c>
      <c r="I196" s="3">
        <f>Table3_215[[#This Row],[New_Followers]]-Table3_215[[#This Row],[Unfollows]]</f>
        <v>2067</v>
      </c>
    </row>
    <row r="197" spans="1:9" x14ac:dyDescent="0.3">
      <c r="A197" s="2">
        <v>45782</v>
      </c>
      <c r="B197" s="3" t="s">
        <v>22</v>
      </c>
      <c r="C197" s="3">
        <v>8697</v>
      </c>
      <c r="D197" s="3">
        <v>738</v>
      </c>
      <c r="E197" s="3">
        <v>1168011</v>
      </c>
      <c r="F197" s="4">
        <v>3.8777032065622672</v>
      </c>
      <c r="G197" s="3">
        <v>30644</v>
      </c>
      <c r="H197" s="3" t="str">
        <f>'Task 3.1'!N220</f>
        <v>Sustainability Branding</v>
      </c>
      <c r="I197" s="3">
        <f>Table3_215[[#This Row],[New_Followers]]-Table3_215[[#This Row],[Unfollows]]</f>
        <v>7959</v>
      </c>
    </row>
    <row r="198" spans="1:9" x14ac:dyDescent="0.3">
      <c r="A198" s="2">
        <v>45789</v>
      </c>
      <c r="B198" s="3" t="s">
        <v>22</v>
      </c>
      <c r="C198" s="3">
        <v>3196</v>
      </c>
      <c r="D198" s="3">
        <v>391</v>
      </c>
      <c r="E198" s="3">
        <v>1170816</v>
      </c>
      <c r="F198" s="4">
        <v>7.2439221876024931</v>
      </c>
      <c r="G198" s="3">
        <v>28745</v>
      </c>
      <c r="H198" s="3" t="str">
        <f>'Task 3.1'!N221</f>
        <v>Health &amp; Fitness Awareness</v>
      </c>
      <c r="I198" s="3">
        <f>Table3_215[[#This Row],[New_Followers]]-Table3_215[[#This Row],[Unfollows]]</f>
        <v>2805</v>
      </c>
    </row>
    <row r="199" spans="1:9" x14ac:dyDescent="0.3">
      <c r="A199" s="2">
        <v>45789</v>
      </c>
      <c r="B199" s="3" t="s">
        <v>18</v>
      </c>
      <c r="C199" s="3">
        <v>8165</v>
      </c>
      <c r="D199" s="3">
        <v>1140</v>
      </c>
      <c r="E199" s="3">
        <v>1177841</v>
      </c>
      <c r="F199" s="4">
        <v>9.095964565675672</v>
      </c>
      <c r="G199" s="3">
        <v>38228</v>
      </c>
      <c r="H199" s="3" t="str">
        <f>'Task 3.1'!N222</f>
        <v>Health &amp; Fitness Awareness</v>
      </c>
      <c r="I199" s="3">
        <f>Table3_215[[#This Row],[New_Followers]]-Table3_215[[#This Row],[Unfollows]]</f>
        <v>7025</v>
      </c>
    </row>
    <row r="200" spans="1:9" x14ac:dyDescent="0.3">
      <c r="A200" s="2">
        <v>45789</v>
      </c>
      <c r="B200" s="3" t="s">
        <v>18</v>
      </c>
      <c r="C200" s="3">
        <v>1301</v>
      </c>
      <c r="D200" s="3">
        <v>180</v>
      </c>
      <c r="E200" s="3">
        <v>1178962</v>
      </c>
      <c r="F200" s="4">
        <v>5.2275645864752214</v>
      </c>
      <c r="G200" s="3">
        <v>44521</v>
      </c>
      <c r="H200" s="3" t="str">
        <f>'Task 3.1'!N223</f>
        <v>Brand Engagement</v>
      </c>
      <c r="I200" s="3">
        <f>Table3_215[[#This Row],[New_Followers]]-Table3_215[[#This Row],[Unfollows]]</f>
        <v>1121</v>
      </c>
    </row>
    <row r="201" spans="1:9" x14ac:dyDescent="0.3">
      <c r="A201" s="2">
        <v>45789</v>
      </c>
      <c r="B201" s="3" t="s">
        <v>40</v>
      </c>
      <c r="C201" s="3">
        <v>8527</v>
      </c>
      <c r="D201" s="3">
        <v>1091</v>
      </c>
      <c r="E201" s="3">
        <v>1186398</v>
      </c>
      <c r="F201" s="4">
        <v>1.676081719625286</v>
      </c>
      <c r="G201" s="3">
        <v>41703</v>
      </c>
      <c r="H201" s="9" t="str">
        <f>'Task 3.1'!N224</f>
        <v>Health &amp; Fitness Awareness</v>
      </c>
      <c r="I201" s="9">
        <f>Table3_215[[#This Row],[New_Followers]]-Table3_215[[#This Row],[Unfollows]]</f>
        <v>7436</v>
      </c>
    </row>
  </sheetData>
  <phoneticPr fontId="4" type="noConversion"/>
  <pageMargins left="0.7" right="0.7" top="0.75" bottom="0.75" header="0.3" footer="0.3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4008B-C401-4656-8620-70D806EAC0E1}">
  <dimension ref="A1:GV201"/>
  <sheetViews>
    <sheetView topLeftCell="K1" zoomScale="83" zoomScaleNormal="68" workbookViewId="0">
      <selection activeCell="G192" sqref="G192"/>
    </sheetView>
  </sheetViews>
  <sheetFormatPr defaultRowHeight="14.4" x14ac:dyDescent="0.3"/>
  <cols>
    <col min="1" max="1" width="21.6640625" style="16" bestFit="1" customWidth="1"/>
    <col min="2" max="2" width="17.5546875" style="16" bestFit="1" customWidth="1"/>
    <col min="3" max="3" width="11.21875" style="16" bestFit="1" customWidth="1"/>
    <col min="4" max="4" width="19.109375" style="16" bestFit="1" customWidth="1"/>
    <col min="5" max="5" width="12.77734375" style="16" bestFit="1" customWidth="1"/>
    <col min="6" max="6" width="20.109375" style="16" bestFit="1" customWidth="1"/>
    <col min="7" max="7" width="23" style="16" bestFit="1" customWidth="1"/>
    <col min="8" max="8" width="12.77734375" style="16" bestFit="1" customWidth="1"/>
    <col min="9" max="9" width="26" style="16" bestFit="1" customWidth="1"/>
    <col min="10" max="10" width="11.5546875" style="16" bestFit="1" customWidth="1"/>
    <col min="11" max="12" width="8.88671875" style="16"/>
    <col min="13" max="13" width="18.77734375" style="16" bestFit="1" customWidth="1"/>
    <col min="14" max="14" width="17" style="16" bestFit="1" customWidth="1"/>
    <col min="15" max="15" width="8.44140625" style="16" bestFit="1" customWidth="1"/>
    <col min="16" max="16" width="7.88671875" style="16" bestFit="1" customWidth="1"/>
    <col min="17" max="17" width="8.77734375" style="16" bestFit="1" customWidth="1"/>
    <col min="18" max="18" width="11.21875" style="16" bestFit="1" customWidth="1"/>
    <col min="19" max="19" width="7.109375" style="16" bestFit="1" customWidth="1"/>
    <col min="20" max="20" width="8.6640625" style="16" bestFit="1" customWidth="1"/>
    <col min="21" max="21" width="14.21875" style="16" bestFit="1" customWidth="1"/>
    <col min="22" max="22" width="9.6640625" style="16" bestFit="1" customWidth="1"/>
    <col min="23" max="23" width="8.33203125" style="16" bestFit="1" customWidth="1"/>
    <col min="24" max="24" width="7" style="16" bestFit="1" customWidth="1"/>
    <col min="25" max="25" width="8.109375" style="16" bestFit="1" customWidth="1"/>
    <col min="26" max="26" width="9.6640625" style="16" bestFit="1" customWidth="1"/>
    <col min="27" max="27" width="7" style="16" bestFit="1" customWidth="1"/>
    <col min="28" max="28" width="8.6640625" style="16" bestFit="1" customWidth="1"/>
    <col min="29" max="29" width="7.109375" style="16" bestFit="1" customWidth="1"/>
    <col min="30" max="30" width="9.6640625" style="16" bestFit="1" customWidth="1"/>
    <col min="31" max="31" width="8.33203125" style="16" bestFit="1" customWidth="1"/>
    <col min="32" max="32" width="7" style="16" bestFit="1" customWidth="1"/>
    <col min="33" max="33" width="8.109375" style="16" bestFit="1" customWidth="1"/>
    <col min="34" max="34" width="12.21875" style="16" bestFit="1" customWidth="1"/>
    <col min="35" max="35" width="7" style="16" bestFit="1" customWidth="1"/>
    <col min="36" max="36" width="8.109375" style="16" bestFit="1" customWidth="1"/>
    <col min="37" max="37" width="9.6640625" style="16" bestFit="1" customWidth="1"/>
    <col min="38" max="38" width="7" style="16" bestFit="1" customWidth="1"/>
    <col min="39" max="39" width="8.6640625" style="16" bestFit="1" customWidth="1"/>
    <col min="40" max="40" width="8.109375" style="16" bestFit="1" customWidth="1"/>
    <col min="41" max="41" width="8.33203125" style="16" bestFit="1" customWidth="1"/>
    <col min="42" max="42" width="7" style="16" bestFit="1" customWidth="1"/>
    <col min="43" max="43" width="8.6640625" style="16" bestFit="1" customWidth="1"/>
    <col min="44" max="44" width="7.109375" style="16" bestFit="1" customWidth="1"/>
    <col min="45" max="45" width="8.33203125" style="16" bestFit="1" customWidth="1"/>
    <col min="46" max="46" width="7" style="16" bestFit="1" customWidth="1"/>
    <col min="47" max="47" width="8.6640625" style="16" bestFit="1" customWidth="1"/>
    <col min="48" max="48" width="8.109375" style="16" bestFit="1" customWidth="1"/>
    <col min="49" max="49" width="9.6640625" style="16" bestFit="1" customWidth="1"/>
    <col min="50" max="50" width="8.33203125" style="16" bestFit="1" customWidth="1"/>
    <col min="51" max="51" width="7" style="16" bestFit="1" customWidth="1"/>
    <col min="52" max="52" width="8.6640625" style="16" bestFit="1" customWidth="1"/>
    <col min="53" max="53" width="7.77734375" style="16" bestFit="1" customWidth="1"/>
    <col min="54" max="54" width="9.6640625" style="16" bestFit="1" customWidth="1"/>
    <col min="55" max="55" width="7" style="16" bestFit="1" customWidth="1"/>
    <col min="56" max="56" width="8.6640625" style="16" bestFit="1" customWidth="1"/>
    <col min="57" max="57" width="7.77734375" style="16" bestFit="1" customWidth="1"/>
    <col min="58" max="58" width="9.6640625" style="16" bestFit="1" customWidth="1"/>
    <col min="59" max="59" width="8.6640625" style="16" bestFit="1" customWidth="1"/>
    <col min="60" max="60" width="7.77734375" style="16" bestFit="1" customWidth="1"/>
    <col min="61" max="61" width="9.6640625" style="16" bestFit="1" customWidth="1"/>
    <col min="62" max="62" width="8.33203125" style="16" bestFit="1" customWidth="1"/>
    <col min="63" max="63" width="7" style="16" bestFit="1" customWidth="1"/>
    <col min="64" max="64" width="8.6640625" style="16" bestFit="1" customWidth="1"/>
    <col min="65" max="65" width="7.77734375" style="16" bestFit="1" customWidth="1"/>
    <col min="66" max="66" width="9.6640625" style="16" bestFit="1" customWidth="1"/>
    <col min="67" max="67" width="8.33203125" style="16" bestFit="1" customWidth="1"/>
    <col min="68" max="68" width="7" style="16" bestFit="1" customWidth="1"/>
    <col min="69" max="69" width="8.109375" style="16" bestFit="1" customWidth="1"/>
    <col min="70" max="70" width="9.6640625" style="16" bestFit="1" customWidth="1"/>
    <col min="71" max="71" width="8.33203125" style="16" bestFit="1" customWidth="1"/>
    <col min="72" max="72" width="8.6640625" style="16" bestFit="1" customWidth="1"/>
    <col min="73" max="73" width="7.77734375" style="16" bestFit="1" customWidth="1"/>
    <col min="74" max="74" width="8.33203125" style="16" bestFit="1" customWidth="1"/>
    <col min="75" max="75" width="7" style="16" bestFit="1" customWidth="1"/>
    <col min="76" max="76" width="8.6640625" style="16" bestFit="1" customWidth="1"/>
    <col min="77" max="77" width="7.77734375" style="16" bestFit="1" customWidth="1"/>
    <col min="78" max="78" width="12.21875" style="16" bestFit="1" customWidth="1"/>
    <col min="79" max="79" width="7" style="16" bestFit="1" customWidth="1"/>
    <col min="80" max="80" width="7.77734375" style="16" bestFit="1" customWidth="1"/>
    <col min="81" max="81" width="9.6640625" style="16" bestFit="1" customWidth="1"/>
    <col min="82" max="82" width="7" style="16" bestFit="1" customWidth="1"/>
    <col min="83" max="83" width="7.77734375" style="16" bestFit="1" customWidth="1"/>
    <col min="84" max="84" width="9.6640625" style="16" bestFit="1" customWidth="1"/>
    <col min="85" max="85" width="8.33203125" style="16" bestFit="1" customWidth="1"/>
    <col min="86" max="86" width="8.6640625" style="16" bestFit="1" customWidth="1"/>
    <col min="87" max="87" width="8.109375" style="16" bestFit="1" customWidth="1"/>
    <col min="88" max="88" width="12.21875" style="16" bestFit="1" customWidth="1"/>
    <col min="89" max="89" width="8.6640625" style="16" bestFit="1" customWidth="1"/>
    <col min="90" max="90" width="8.109375" style="16" bestFit="1" customWidth="1"/>
    <col min="91" max="91" width="9.6640625" style="16" bestFit="1" customWidth="1"/>
    <col min="92" max="92" width="8.6640625" style="16" bestFit="1" customWidth="1"/>
    <col min="93" max="93" width="8.109375" style="16" bestFit="1" customWidth="1"/>
    <col min="94" max="94" width="8.33203125" style="16" bestFit="1" customWidth="1"/>
    <col min="95" max="95" width="8.6640625" style="16" bestFit="1" customWidth="1"/>
    <col min="96" max="96" width="7.77734375" style="16" bestFit="1" customWidth="1"/>
    <col min="97" max="97" width="8.33203125" style="16" bestFit="1" customWidth="1"/>
    <col min="98" max="98" width="7.109375" style="16" bestFit="1" customWidth="1"/>
    <col min="99" max="99" width="8.6640625" style="16" bestFit="1" customWidth="1"/>
    <col min="100" max="100" width="8.109375" style="16" bestFit="1" customWidth="1"/>
    <col min="101" max="101" width="8.33203125" style="16" bestFit="1" customWidth="1"/>
    <col min="102" max="102" width="7.109375" style="16" bestFit="1" customWidth="1"/>
    <col min="103" max="103" width="8.6640625" style="16" bestFit="1" customWidth="1"/>
    <col min="104" max="104" width="8.109375" style="16" bestFit="1" customWidth="1"/>
    <col min="105" max="105" width="9.6640625" style="16" bestFit="1" customWidth="1"/>
    <col min="106" max="106" width="8.33203125" style="16" bestFit="1" customWidth="1"/>
    <col min="107" max="107" width="7" style="16" bestFit="1" customWidth="1"/>
    <col min="108" max="108" width="7.77734375" style="16" bestFit="1" customWidth="1"/>
    <col min="109" max="109" width="9.6640625" style="16" bestFit="1" customWidth="1"/>
    <col min="110" max="110" width="8.33203125" style="16" bestFit="1" customWidth="1"/>
    <col min="111" max="111" width="8.6640625" style="16" bestFit="1" customWidth="1"/>
    <col min="112" max="112" width="8.109375" style="16" bestFit="1" customWidth="1"/>
    <col min="113" max="113" width="9.6640625" style="16" bestFit="1" customWidth="1"/>
    <col min="114" max="114" width="8.33203125" style="16" bestFit="1" customWidth="1"/>
    <col min="115" max="115" width="8.6640625" style="16" bestFit="1" customWidth="1"/>
    <col min="116" max="116" width="7.77734375" style="16" bestFit="1" customWidth="1"/>
    <col min="117" max="117" width="9.6640625" style="16" bestFit="1" customWidth="1"/>
    <col min="118" max="118" width="8.33203125" style="16" bestFit="1" customWidth="1"/>
    <col min="119" max="119" width="7" style="16" bestFit="1" customWidth="1"/>
    <col min="120" max="120" width="8.6640625" style="16" bestFit="1" customWidth="1"/>
    <col min="121" max="121" width="7.77734375" style="16" bestFit="1" customWidth="1"/>
    <col min="122" max="122" width="9.6640625" style="16" bestFit="1" customWidth="1"/>
    <col min="123" max="123" width="8.33203125" style="16" bestFit="1" customWidth="1"/>
    <col min="124" max="124" width="7" style="16" bestFit="1" customWidth="1"/>
    <col min="125" max="125" width="7.77734375" style="16" bestFit="1" customWidth="1"/>
    <col min="126" max="126" width="9.6640625" style="16" bestFit="1" customWidth="1"/>
    <col min="127" max="127" width="8.33203125" style="16" bestFit="1" customWidth="1"/>
    <col min="128" max="128" width="8.6640625" style="16" bestFit="1" customWidth="1"/>
    <col min="129" max="129" width="8.109375" style="16" bestFit="1" customWidth="1"/>
    <col min="130" max="130" width="9.6640625" style="16" bestFit="1" customWidth="1"/>
    <col min="131" max="131" width="8.33203125" style="16" bestFit="1" customWidth="1"/>
    <col min="132" max="132" width="7" style="16" bestFit="1" customWidth="1"/>
    <col min="133" max="133" width="7.77734375" style="16" bestFit="1" customWidth="1"/>
    <col min="134" max="134" width="8.33203125" style="16" bestFit="1" customWidth="1"/>
    <col min="135" max="135" width="7" style="16" bestFit="1" customWidth="1"/>
    <col min="136" max="136" width="8.6640625" style="16" bestFit="1" customWidth="1"/>
    <col min="137" max="137" width="8.109375" style="16" bestFit="1" customWidth="1"/>
    <col min="138" max="138" width="9.6640625" style="16" bestFit="1" customWidth="1"/>
    <col min="139" max="139" width="8.33203125" style="16" bestFit="1" customWidth="1"/>
    <col min="140" max="140" width="7" style="16" bestFit="1" customWidth="1"/>
    <col min="141" max="141" width="8.6640625" style="16" bestFit="1" customWidth="1"/>
    <col min="142" max="142" width="8.109375" style="16" bestFit="1" customWidth="1"/>
    <col min="143" max="143" width="12.21875" style="16" bestFit="1" customWidth="1"/>
    <col min="144" max="144" width="8.6640625" style="16" bestFit="1" customWidth="1"/>
    <col min="145" max="145" width="8.109375" style="16" bestFit="1" customWidth="1"/>
    <col min="146" max="146" width="9.6640625" style="16" bestFit="1" customWidth="1"/>
    <col min="147" max="147" width="8.33203125" style="16" bestFit="1" customWidth="1"/>
    <col min="148" max="148" width="7.109375" style="16" bestFit="1" customWidth="1"/>
    <col min="149" max="149" width="7.77734375" style="16" bestFit="1" customWidth="1"/>
    <col min="150" max="150" width="7" style="16" bestFit="1" customWidth="1"/>
    <col min="151" max="151" width="8.6640625" style="16" bestFit="1" customWidth="1"/>
    <col min="152" max="152" width="8.109375" style="16" bestFit="1" customWidth="1"/>
    <col min="153" max="153" width="12.21875" style="16" bestFit="1" customWidth="1"/>
    <col min="154" max="154" width="7" style="16" bestFit="1" customWidth="1"/>
    <col min="155" max="155" width="7.77734375" style="16" bestFit="1" customWidth="1"/>
    <col min="156" max="156" width="9.6640625" style="16" bestFit="1" customWidth="1"/>
    <col min="157" max="157" width="8.33203125" style="16" bestFit="1" customWidth="1"/>
    <col min="158" max="158" width="7" style="16" bestFit="1" customWidth="1"/>
    <col min="159" max="159" width="8.109375" style="16" bestFit="1" customWidth="1"/>
    <col min="160" max="160" width="9.6640625" style="16" bestFit="1" customWidth="1"/>
    <col min="161" max="161" width="8.6640625" style="16" bestFit="1" customWidth="1"/>
    <col min="162" max="162" width="7.77734375" style="16" bestFit="1" customWidth="1"/>
    <col min="163" max="163" width="8.33203125" style="16" bestFit="1" customWidth="1"/>
    <col min="164" max="164" width="7" style="16" bestFit="1" customWidth="1"/>
    <col min="165" max="165" width="8.6640625" style="16" bestFit="1" customWidth="1"/>
    <col min="166" max="166" width="8.109375" style="16" bestFit="1" customWidth="1"/>
    <col min="167" max="167" width="9.6640625" style="16" bestFit="1" customWidth="1"/>
    <col min="168" max="168" width="8.33203125" style="16" bestFit="1" customWidth="1"/>
    <col min="169" max="169" width="7" style="16" bestFit="1" customWidth="1"/>
    <col min="170" max="170" width="8.6640625" style="16" bestFit="1" customWidth="1"/>
    <col min="171" max="171" width="8.109375" style="16" bestFit="1" customWidth="1"/>
    <col min="172" max="172" width="9.6640625" style="16" bestFit="1" customWidth="1"/>
    <col min="173" max="173" width="8.33203125" style="16" bestFit="1" customWidth="1"/>
    <col min="174" max="174" width="7.77734375" style="16" bestFit="1" customWidth="1"/>
    <col min="175" max="175" width="12.21875" style="16" bestFit="1" customWidth="1"/>
    <col min="176" max="176" width="8.6640625" style="16" bestFit="1" customWidth="1"/>
    <col min="177" max="177" width="7.77734375" style="16" bestFit="1" customWidth="1"/>
    <col min="178" max="178" width="9.6640625" style="16" bestFit="1" customWidth="1"/>
    <col min="179" max="179" width="8.33203125" style="16" bestFit="1" customWidth="1"/>
    <col min="180" max="180" width="7" style="16" bestFit="1" customWidth="1"/>
    <col min="181" max="181" width="8.6640625" style="16" bestFit="1" customWidth="1"/>
    <col min="182" max="182" width="8.109375" style="16" bestFit="1" customWidth="1"/>
    <col min="183" max="183" width="9.6640625" style="16" bestFit="1" customWidth="1"/>
    <col min="184" max="184" width="8.33203125" style="16" bestFit="1" customWidth="1"/>
    <col min="185" max="185" width="7" style="16" bestFit="1" customWidth="1"/>
    <col min="186" max="186" width="8.6640625" style="16" bestFit="1" customWidth="1"/>
    <col min="187" max="187" width="7.77734375" style="16" bestFit="1" customWidth="1"/>
    <col min="188" max="188" width="8.33203125" style="16" bestFit="1" customWidth="1"/>
    <col min="189" max="189" width="8.109375" style="16" bestFit="1" customWidth="1"/>
    <col min="190" max="190" width="9.6640625" style="16" bestFit="1" customWidth="1"/>
    <col min="191" max="191" width="7" style="16" bestFit="1" customWidth="1"/>
    <col min="192" max="192" width="7.77734375" style="16" bestFit="1" customWidth="1"/>
    <col min="193" max="193" width="8.33203125" style="16" bestFit="1" customWidth="1"/>
    <col min="194" max="194" width="12.21875" style="16" bestFit="1" customWidth="1"/>
    <col min="195" max="195" width="8.109375" style="16" bestFit="1" customWidth="1"/>
    <col min="196" max="196" width="9.6640625" style="16" bestFit="1" customWidth="1"/>
    <col min="197" max="197" width="8.33203125" style="16" bestFit="1" customWidth="1"/>
    <col min="198" max="198" width="8.6640625" style="16" bestFit="1" customWidth="1"/>
    <col min="199" max="199" width="8.109375" style="16" bestFit="1" customWidth="1"/>
    <col min="200" max="200" width="9.6640625" style="16" bestFit="1" customWidth="1"/>
    <col min="201" max="201" width="8.33203125" style="16" bestFit="1" customWidth="1"/>
    <col min="202" max="202" width="7" style="16" bestFit="1" customWidth="1"/>
    <col min="203" max="203" width="8.109375" style="16" bestFit="1" customWidth="1"/>
    <col min="204" max="204" width="11" style="16" bestFit="1" customWidth="1"/>
    <col min="205" max="16384" width="8.88671875" style="16"/>
  </cols>
  <sheetData>
    <row r="1" spans="1:204" ht="17.399999999999999" x14ac:dyDescent="0.45">
      <c r="A1" s="14" t="s">
        <v>337</v>
      </c>
      <c r="B1" s="14" t="s">
        <v>443</v>
      </c>
      <c r="C1" s="14" t="s">
        <v>1</v>
      </c>
      <c r="D1" s="14" t="s">
        <v>338</v>
      </c>
      <c r="E1" s="14" t="s">
        <v>339</v>
      </c>
      <c r="F1" s="14" t="s">
        <v>340</v>
      </c>
      <c r="G1" s="14" t="s">
        <v>341</v>
      </c>
      <c r="H1" s="14" t="s">
        <v>342</v>
      </c>
      <c r="I1" s="14" t="s">
        <v>11</v>
      </c>
      <c r="J1" s="49" t="s">
        <v>414</v>
      </c>
    </row>
    <row r="2" spans="1:204" x14ac:dyDescent="0.3">
      <c r="A2" s="2">
        <v>45446</v>
      </c>
      <c r="B2" s="68">
        <v>1</v>
      </c>
      <c r="C2" s="3" t="s">
        <v>22</v>
      </c>
      <c r="D2" s="3">
        <v>4138</v>
      </c>
      <c r="E2" s="3">
        <v>361</v>
      </c>
      <c r="F2" s="3">
        <v>103777</v>
      </c>
      <c r="G2" s="4">
        <v>56.637790647253247</v>
      </c>
      <c r="H2" s="3">
        <v>23944</v>
      </c>
      <c r="I2" s="49" t="str">
        <f>'Task 3.1'!N25</f>
        <v>Health &amp; Fitness Awareness</v>
      </c>
      <c r="J2" s="3">
        <f t="shared" ref="J2:J33" si="0">D2-E2</f>
        <v>3777</v>
      </c>
    </row>
    <row r="3" spans="1:204" x14ac:dyDescent="0.3">
      <c r="A3" s="2">
        <v>45446</v>
      </c>
      <c r="B3" s="68">
        <f t="shared" ref="B3:B34" si="1">IF(A3=A2,B2,B2+1)</f>
        <v>1</v>
      </c>
      <c r="C3" s="3" t="s">
        <v>40</v>
      </c>
      <c r="D3" s="3">
        <v>8693</v>
      </c>
      <c r="E3" s="3">
        <v>1261</v>
      </c>
      <c r="F3" s="3">
        <v>111209</v>
      </c>
      <c r="G3" s="4">
        <v>69.475492091467416</v>
      </c>
      <c r="H3" s="3">
        <v>29873</v>
      </c>
      <c r="I3" s="3" t="str">
        <f>'Task 3.1'!N26</f>
        <v>Health &amp; Fitness Awareness</v>
      </c>
      <c r="J3" s="3">
        <f t="shared" si="0"/>
        <v>7432</v>
      </c>
    </row>
    <row r="4" spans="1:204" x14ac:dyDescent="0.3">
      <c r="A4" s="2">
        <v>45446</v>
      </c>
      <c r="B4" s="68">
        <f t="shared" si="1"/>
        <v>1</v>
      </c>
      <c r="C4" s="3" t="s">
        <v>13</v>
      </c>
      <c r="D4" s="3">
        <v>9264</v>
      </c>
      <c r="E4" s="3">
        <v>1141</v>
      </c>
      <c r="F4" s="3">
        <v>119332</v>
      </c>
      <c r="G4" s="4">
        <v>92.312204605638044</v>
      </c>
      <c r="H4" s="3">
        <v>50372</v>
      </c>
      <c r="I4" s="3" t="str">
        <f>'Task 3.1'!N27</f>
        <v>Sustainability Branding</v>
      </c>
      <c r="J4" s="3">
        <f t="shared" si="0"/>
        <v>8123</v>
      </c>
      <c r="M4" s="30" t="s">
        <v>445</v>
      </c>
      <c r="U4" s="30" t="s">
        <v>448</v>
      </c>
    </row>
    <row r="5" spans="1:204" x14ac:dyDescent="0.3">
      <c r="A5" s="2">
        <v>45446</v>
      </c>
      <c r="B5" s="68">
        <f t="shared" si="1"/>
        <v>1</v>
      </c>
      <c r="C5" s="3" t="s">
        <v>13</v>
      </c>
      <c r="D5" s="3">
        <v>8842</v>
      </c>
      <c r="E5" s="3">
        <v>971</v>
      </c>
      <c r="F5" s="3">
        <v>127203</v>
      </c>
      <c r="G5" s="4">
        <v>16.351815601833291</v>
      </c>
      <c r="H5" s="3">
        <v>33928</v>
      </c>
      <c r="I5" s="3" t="str">
        <f>'Task 3.1'!N28</f>
        <v>Sustainability Branding</v>
      </c>
      <c r="J5" s="3">
        <f t="shared" si="0"/>
        <v>7871</v>
      </c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</row>
    <row r="6" spans="1:204" x14ac:dyDescent="0.3">
      <c r="A6" s="2">
        <v>45453</v>
      </c>
      <c r="B6" s="68">
        <f t="shared" si="1"/>
        <v>2</v>
      </c>
      <c r="C6" s="3" t="s">
        <v>22</v>
      </c>
      <c r="D6" s="3">
        <v>7721</v>
      </c>
      <c r="E6" s="3">
        <v>506</v>
      </c>
      <c r="F6" s="3">
        <v>134418</v>
      </c>
      <c r="G6" s="4">
        <v>35.577824398518047</v>
      </c>
      <c r="H6" s="3">
        <v>25379</v>
      </c>
      <c r="I6" s="3" t="str">
        <f>'Task 3.1'!N29</f>
        <v>Health &amp; Fitness Awareness</v>
      </c>
      <c r="J6" s="3">
        <f t="shared" si="0"/>
        <v>7215</v>
      </c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</row>
    <row r="7" spans="1:204" x14ac:dyDescent="0.3">
      <c r="A7" s="2">
        <v>45453</v>
      </c>
      <c r="B7" s="68">
        <f t="shared" si="1"/>
        <v>2</v>
      </c>
      <c r="C7" s="3" t="s">
        <v>13</v>
      </c>
      <c r="D7" s="3">
        <v>8002</v>
      </c>
      <c r="E7" s="3">
        <v>524</v>
      </c>
      <c r="F7" s="3">
        <v>141896</v>
      </c>
      <c r="G7" s="4">
        <v>52.064892597395271</v>
      </c>
      <c r="H7" s="3">
        <v>46751</v>
      </c>
      <c r="I7" s="3" t="str">
        <f>'Task 3.1'!N30</f>
        <v>Health &amp; Fitness Awareness</v>
      </c>
      <c r="J7" s="3">
        <f t="shared" si="0"/>
        <v>7478</v>
      </c>
      <c r="M7" s="26" t="s">
        <v>444</v>
      </c>
      <c r="N7" s="26" t="s">
        <v>425</v>
      </c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</row>
    <row r="8" spans="1:204" x14ac:dyDescent="0.3">
      <c r="A8" s="2">
        <v>45453</v>
      </c>
      <c r="B8" s="68">
        <f t="shared" si="1"/>
        <v>2</v>
      </c>
      <c r="C8" s="3" t="s">
        <v>40</v>
      </c>
      <c r="D8" s="3">
        <v>5225</v>
      </c>
      <c r="E8" s="3">
        <v>291</v>
      </c>
      <c r="F8" s="3">
        <v>146830</v>
      </c>
      <c r="G8" s="4">
        <v>19.551862698358651</v>
      </c>
      <c r="H8" s="3">
        <v>44546</v>
      </c>
      <c r="I8" s="3" t="str">
        <f>'Task 3.1'!N31</f>
        <v>Product Launch</v>
      </c>
      <c r="J8" s="3">
        <f t="shared" si="0"/>
        <v>4934</v>
      </c>
      <c r="M8" s="26" t="s">
        <v>383</v>
      </c>
      <c r="N8" t="s">
        <v>22</v>
      </c>
      <c r="O8" t="s">
        <v>18</v>
      </c>
      <c r="P8" t="s">
        <v>40</v>
      </c>
      <c r="Q8" t="s">
        <v>13</v>
      </c>
      <c r="R8" t="s">
        <v>384</v>
      </c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</row>
    <row r="9" spans="1:204" x14ac:dyDescent="0.3">
      <c r="A9" s="2">
        <v>45453</v>
      </c>
      <c r="B9" s="68">
        <f t="shared" si="1"/>
        <v>2</v>
      </c>
      <c r="C9" s="3" t="s">
        <v>40</v>
      </c>
      <c r="D9" s="3">
        <v>3978</v>
      </c>
      <c r="E9" s="3">
        <v>543</v>
      </c>
      <c r="F9" s="3">
        <v>150265</v>
      </c>
      <c r="G9" s="4">
        <v>49.159817655475329</v>
      </c>
      <c r="H9" s="3">
        <v>34286</v>
      </c>
      <c r="I9" s="3" t="str">
        <f>'Task 3.1'!N32</f>
        <v>Health &amp; Fitness Awareness</v>
      </c>
      <c r="J9" s="3">
        <f t="shared" si="0"/>
        <v>3435</v>
      </c>
      <c r="M9" s="69">
        <v>1</v>
      </c>
      <c r="N9">
        <v>3777</v>
      </c>
      <c r="O9"/>
      <c r="P9">
        <v>7432</v>
      </c>
      <c r="Q9">
        <v>15994</v>
      </c>
      <c r="R9">
        <v>27203</v>
      </c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</row>
    <row r="10" spans="1:204" x14ac:dyDescent="0.3">
      <c r="A10" s="2">
        <v>45460</v>
      </c>
      <c r="B10" s="68">
        <f t="shared" si="1"/>
        <v>3</v>
      </c>
      <c r="C10" s="3" t="s">
        <v>22</v>
      </c>
      <c r="D10" s="3">
        <v>8373</v>
      </c>
      <c r="E10" s="3">
        <v>921</v>
      </c>
      <c r="F10" s="3">
        <v>157717</v>
      </c>
      <c r="G10" s="4">
        <v>12.2263294381709</v>
      </c>
      <c r="H10" s="3">
        <v>15110</v>
      </c>
      <c r="I10" s="3" t="str">
        <f>'Task 3.1'!N33</f>
        <v>Health &amp; Fitness Awareness</v>
      </c>
      <c r="J10" s="3">
        <f t="shared" si="0"/>
        <v>7452</v>
      </c>
      <c r="M10" s="69">
        <v>2</v>
      </c>
      <c r="N10">
        <v>7215</v>
      </c>
      <c r="O10"/>
      <c r="P10">
        <v>8369</v>
      </c>
      <c r="Q10">
        <v>7478</v>
      </c>
      <c r="R10">
        <v>23062</v>
      </c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</row>
    <row r="11" spans="1:204" x14ac:dyDescent="0.3">
      <c r="A11" s="2">
        <v>45460</v>
      </c>
      <c r="B11" s="68">
        <f t="shared" si="1"/>
        <v>3</v>
      </c>
      <c r="C11" s="3" t="s">
        <v>40</v>
      </c>
      <c r="D11" s="3">
        <v>6907</v>
      </c>
      <c r="E11" s="3">
        <v>834</v>
      </c>
      <c r="F11" s="3">
        <v>163790</v>
      </c>
      <c r="G11" s="4">
        <v>54.158984064961238</v>
      </c>
      <c r="H11" s="3">
        <v>22087</v>
      </c>
      <c r="I11" s="3" t="str">
        <f>'Task 3.1'!N34</f>
        <v>Product Launch</v>
      </c>
      <c r="J11" s="3">
        <f t="shared" si="0"/>
        <v>6073</v>
      </c>
      <c r="M11" s="69">
        <v>3</v>
      </c>
      <c r="N11">
        <v>13130</v>
      </c>
      <c r="O11">
        <v>6728</v>
      </c>
      <c r="P11">
        <v>6073</v>
      </c>
      <c r="Q11"/>
      <c r="R11">
        <v>25931</v>
      </c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</row>
    <row r="12" spans="1:204" x14ac:dyDescent="0.3">
      <c r="A12" s="2">
        <v>45460</v>
      </c>
      <c r="B12" s="68">
        <f t="shared" si="1"/>
        <v>3</v>
      </c>
      <c r="C12" s="3" t="s">
        <v>18</v>
      </c>
      <c r="D12" s="3">
        <v>7097</v>
      </c>
      <c r="E12" s="3">
        <v>369</v>
      </c>
      <c r="F12" s="3">
        <v>170518</v>
      </c>
      <c r="G12" s="4">
        <v>9.2506362964613711</v>
      </c>
      <c r="H12" s="3">
        <v>33762</v>
      </c>
      <c r="I12" s="3" t="str">
        <f>'Task 3.1'!N35</f>
        <v>Brand Engagement</v>
      </c>
      <c r="J12" s="3">
        <f t="shared" si="0"/>
        <v>6728</v>
      </c>
      <c r="M12" s="69">
        <v>4</v>
      </c>
      <c r="N12">
        <v>4885</v>
      </c>
      <c r="O12"/>
      <c r="P12">
        <v>15084</v>
      </c>
      <c r="Q12">
        <v>8653</v>
      </c>
      <c r="R12">
        <v>28622</v>
      </c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</row>
    <row r="13" spans="1:204" x14ac:dyDescent="0.3">
      <c r="A13" s="2">
        <v>45460</v>
      </c>
      <c r="B13" s="68">
        <f t="shared" si="1"/>
        <v>3</v>
      </c>
      <c r="C13" s="3" t="s">
        <v>22</v>
      </c>
      <c r="D13" s="3">
        <v>6656</v>
      </c>
      <c r="E13" s="3">
        <v>978</v>
      </c>
      <c r="F13" s="3">
        <v>176196</v>
      </c>
      <c r="G13" s="4">
        <v>60.425889350496043</v>
      </c>
      <c r="H13" s="3">
        <v>27081</v>
      </c>
      <c r="I13" s="3" t="str">
        <f>'Task 3.1'!N36</f>
        <v>Brand Engagement</v>
      </c>
      <c r="J13" s="3">
        <f t="shared" si="0"/>
        <v>5678</v>
      </c>
      <c r="M13" s="69">
        <v>5</v>
      </c>
      <c r="N13">
        <v>5928</v>
      </c>
      <c r="O13">
        <v>5442</v>
      </c>
      <c r="P13">
        <v>8463</v>
      </c>
      <c r="Q13"/>
      <c r="R13">
        <v>19833</v>
      </c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</row>
    <row r="14" spans="1:204" x14ac:dyDescent="0.3">
      <c r="A14" s="2">
        <v>45467</v>
      </c>
      <c r="B14" s="68">
        <f t="shared" si="1"/>
        <v>4</v>
      </c>
      <c r="C14" s="3" t="s">
        <v>40</v>
      </c>
      <c r="D14" s="3">
        <v>9984</v>
      </c>
      <c r="E14" s="3">
        <v>1330</v>
      </c>
      <c r="F14" s="3">
        <v>184850</v>
      </c>
      <c r="G14" s="4">
        <v>57.524479307546663</v>
      </c>
      <c r="H14" s="3">
        <v>44947</v>
      </c>
      <c r="I14" s="3" t="str">
        <f>'Task 3.1'!N37</f>
        <v>Brand Engagement</v>
      </c>
      <c r="J14" s="3">
        <f t="shared" si="0"/>
        <v>8654</v>
      </c>
      <c r="M14" s="69">
        <v>6</v>
      </c>
      <c r="N14"/>
      <c r="O14">
        <v>11378</v>
      </c>
      <c r="P14">
        <v>7151</v>
      </c>
      <c r="Q14"/>
      <c r="R14">
        <v>18529</v>
      </c>
      <c r="S14"/>
      <c r="T14"/>
      <c r="U14"/>
      <c r="V14"/>
      <c r="W14"/>
      <c r="X14"/>
      <c r="Y14"/>
      <c r="Z14"/>
      <c r="AA14"/>
      <c r="AB14"/>
    </row>
    <row r="15" spans="1:204" x14ac:dyDescent="0.3">
      <c r="A15" s="2">
        <v>45467</v>
      </c>
      <c r="B15" s="68">
        <f t="shared" si="1"/>
        <v>4</v>
      </c>
      <c r="C15" s="3" t="s">
        <v>22</v>
      </c>
      <c r="D15" s="3">
        <v>5259</v>
      </c>
      <c r="E15" s="3">
        <v>374</v>
      </c>
      <c r="F15" s="3">
        <v>189735</v>
      </c>
      <c r="G15" s="4">
        <v>14.827522597306769</v>
      </c>
      <c r="H15" s="3">
        <v>19596</v>
      </c>
      <c r="I15" s="3" t="str">
        <f>'Task 3.1'!N38</f>
        <v>Brand Engagement</v>
      </c>
      <c r="J15" s="3">
        <f t="shared" si="0"/>
        <v>4885</v>
      </c>
      <c r="M15" s="69">
        <v>7</v>
      </c>
      <c r="N15">
        <v>4967</v>
      </c>
      <c r="O15"/>
      <c r="P15">
        <v>7092</v>
      </c>
      <c r="Q15">
        <v>1826</v>
      </c>
      <c r="R15">
        <v>13885</v>
      </c>
      <c r="S15"/>
      <c r="T15"/>
      <c r="U15"/>
      <c r="V15"/>
      <c r="W15"/>
      <c r="X15"/>
      <c r="Y15"/>
      <c r="Z15"/>
      <c r="AA15"/>
      <c r="AB15"/>
    </row>
    <row r="16" spans="1:204" x14ac:dyDescent="0.3">
      <c r="A16" s="2">
        <v>45467</v>
      </c>
      <c r="B16" s="68">
        <f t="shared" si="1"/>
        <v>4</v>
      </c>
      <c r="C16" s="3" t="s">
        <v>13</v>
      </c>
      <c r="D16" s="3">
        <v>9286</v>
      </c>
      <c r="E16" s="3">
        <v>633</v>
      </c>
      <c r="F16" s="3">
        <v>198388</v>
      </c>
      <c r="G16" s="4">
        <v>5.4343004617214756</v>
      </c>
      <c r="H16" s="3">
        <v>48019</v>
      </c>
      <c r="I16" s="3" t="str">
        <f>'Task 3.1'!N39</f>
        <v>Brand Engagement</v>
      </c>
      <c r="J16" s="3">
        <f t="shared" si="0"/>
        <v>8653</v>
      </c>
      <c r="M16" s="69">
        <v>8</v>
      </c>
      <c r="N16"/>
      <c r="O16">
        <v>15403</v>
      </c>
      <c r="P16">
        <v>7733</v>
      </c>
      <c r="Q16">
        <v>9082</v>
      </c>
      <c r="R16">
        <v>32218</v>
      </c>
      <c r="S16"/>
      <c r="T16"/>
      <c r="U16"/>
      <c r="V16"/>
      <c r="W16"/>
      <c r="X16"/>
      <c r="Y16"/>
      <c r="Z16"/>
      <c r="AA16"/>
      <c r="AB16"/>
    </row>
    <row r="17" spans="1:28" x14ac:dyDescent="0.3">
      <c r="A17" s="2">
        <v>45467</v>
      </c>
      <c r="B17" s="68">
        <f t="shared" si="1"/>
        <v>4</v>
      </c>
      <c r="C17" s="3" t="s">
        <v>40</v>
      </c>
      <c r="D17" s="3">
        <v>6901</v>
      </c>
      <c r="E17" s="3">
        <v>471</v>
      </c>
      <c r="F17" s="3">
        <v>204818</v>
      </c>
      <c r="G17" s="4">
        <v>60.827661631301943</v>
      </c>
      <c r="H17" s="3">
        <v>52003</v>
      </c>
      <c r="I17" s="3" t="str">
        <f>'Task 3.1'!N40</f>
        <v>Product Promotion</v>
      </c>
      <c r="J17" s="3">
        <f t="shared" si="0"/>
        <v>6430</v>
      </c>
      <c r="M17" s="69">
        <v>9</v>
      </c>
      <c r="N17"/>
      <c r="O17">
        <v>7537</v>
      </c>
      <c r="P17">
        <v>6039</v>
      </c>
      <c r="Q17">
        <v>3445</v>
      </c>
      <c r="R17">
        <v>17021</v>
      </c>
      <c r="S17"/>
      <c r="T17"/>
      <c r="U17"/>
      <c r="V17"/>
      <c r="W17"/>
      <c r="X17"/>
      <c r="Y17"/>
      <c r="Z17"/>
      <c r="AA17"/>
      <c r="AB17"/>
    </row>
    <row r="18" spans="1:28" x14ac:dyDescent="0.3">
      <c r="A18" s="2">
        <v>45474</v>
      </c>
      <c r="B18" s="68">
        <f t="shared" si="1"/>
        <v>5</v>
      </c>
      <c r="C18" s="3" t="s">
        <v>18</v>
      </c>
      <c r="D18" s="3">
        <v>5917</v>
      </c>
      <c r="E18" s="3">
        <v>475</v>
      </c>
      <c r="F18" s="3">
        <v>210260</v>
      </c>
      <c r="G18" s="4">
        <v>17.894035955483702</v>
      </c>
      <c r="H18" s="3">
        <v>28313</v>
      </c>
      <c r="I18" s="3" t="str">
        <f>'Task 3.1'!N41</f>
        <v>Product Promotion</v>
      </c>
      <c r="J18" s="3">
        <f t="shared" si="0"/>
        <v>5442</v>
      </c>
      <c r="M18" s="69">
        <v>10</v>
      </c>
      <c r="N18">
        <v>3213</v>
      </c>
      <c r="O18">
        <v>4847</v>
      </c>
      <c r="P18">
        <v>3497</v>
      </c>
      <c r="Q18">
        <v>2543</v>
      </c>
      <c r="R18">
        <v>14100</v>
      </c>
      <c r="S18"/>
      <c r="T18"/>
      <c r="U18"/>
      <c r="V18"/>
      <c r="W18"/>
      <c r="X18"/>
      <c r="Y18"/>
      <c r="Z18"/>
      <c r="AA18"/>
      <c r="AB18"/>
    </row>
    <row r="19" spans="1:28" x14ac:dyDescent="0.3">
      <c r="A19" s="2">
        <v>45474</v>
      </c>
      <c r="B19" s="68">
        <f t="shared" si="1"/>
        <v>5</v>
      </c>
      <c r="C19" s="3" t="s">
        <v>40</v>
      </c>
      <c r="D19" s="3">
        <v>9429</v>
      </c>
      <c r="E19" s="3">
        <v>966</v>
      </c>
      <c r="F19" s="3">
        <v>218723</v>
      </c>
      <c r="G19" s="4">
        <v>7.6914636320825887</v>
      </c>
      <c r="H19" s="3">
        <v>57639</v>
      </c>
      <c r="I19" s="3" t="str">
        <f>'Task 3.1'!N42</f>
        <v>Product Launch</v>
      </c>
      <c r="J19" s="3">
        <f t="shared" si="0"/>
        <v>8463</v>
      </c>
      <c r="M19" s="69">
        <v>11</v>
      </c>
      <c r="N19">
        <v>6853</v>
      </c>
      <c r="O19"/>
      <c r="P19">
        <v>12800</v>
      </c>
      <c r="Q19">
        <v>7033</v>
      </c>
      <c r="R19">
        <v>26686</v>
      </c>
      <c r="S19"/>
      <c r="T19"/>
      <c r="U19"/>
      <c r="V19"/>
      <c r="W19"/>
      <c r="X19"/>
      <c r="Y19"/>
      <c r="Z19"/>
      <c r="AA19"/>
      <c r="AB19"/>
    </row>
    <row r="20" spans="1:28" x14ac:dyDescent="0.3">
      <c r="A20" s="2">
        <v>45474</v>
      </c>
      <c r="B20" s="68">
        <f t="shared" si="1"/>
        <v>5</v>
      </c>
      <c r="C20" s="3" t="s">
        <v>22</v>
      </c>
      <c r="D20" s="3">
        <v>3530</v>
      </c>
      <c r="E20" s="3">
        <v>328</v>
      </c>
      <c r="F20" s="3">
        <v>221925</v>
      </c>
      <c r="G20" s="4">
        <v>12.8372197814577</v>
      </c>
      <c r="H20" s="3">
        <v>11013</v>
      </c>
      <c r="I20" s="3" t="str">
        <f>'Task 3.1'!N43</f>
        <v>Product Launch</v>
      </c>
      <c r="J20" s="3">
        <f t="shared" si="0"/>
        <v>3202</v>
      </c>
      <c r="M20" s="69">
        <v>12</v>
      </c>
      <c r="N20">
        <v>13835</v>
      </c>
      <c r="O20"/>
      <c r="P20"/>
      <c r="Q20">
        <v>9427</v>
      </c>
      <c r="R20">
        <v>23262</v>
      </c>
      <c r="S20"/>
      <c r="T20"/>
      <c r="U20"/>
      <c r="V20"/>
      <c r="W20"/>
      <c r="X20"/>
      <c r="Y20"/>
      <c r="Z20"/>
      <c r="AA20"/>
      <c r="AB20"/>
    </row>
    <row r="21" spans="1:28" x14ac:dyDescent="0.3">
      <c r="A21" s="2">
        <v>45474</v>
      </c>
      <c r="B21" s="68">
        <f t="shared" si="1"/>
        <v>5</v>
      </c>
      <c r="C21" s="3" t="s">
        <v>22</v>
      </c>
      <c r="D21" s="3">
        <v>2960</v>
      </c>
      <c r="E21" s="3">
        <v>234</v>
      </c>
      <c r="F21" s="3">
        <v>224651</v>
      </c>
      <c r="G21" s="4">
        <v>17.41278694508371</v>
      </c>
      <c r="H21" s="3">
        <v>59378</v>
      </c>
      <c r="I21" s="3" t="str">
        <f>'Task 3.1'!N44</f>
        <v>Sustainability Branding</v>
      </c>
      <c r="J21" s="3">
        <f t="shared" si="0"/>
        <v>2726</v>
      </c>
      <c r="M21" s="69">
        <v>13</v>
      </c>
      <c r="N21">
        <v>8231</v>
      </c>
      <c r="O21">
        <v>1513</v>
      </c>
      <c r="P21">
        <v>5753</v>
      </c>
      <c r="Q21">
        <v>5303</v>
      </c>
      <c r="R21">
        <v>20800</v>
      </c>
      <c r="S21"/>
      <c r="T21"/>
      <c r="U21"/>
      <c r="V21"/>
      <c r="W21"/>
      <c r="X21"/>
      <c r="Y21"/>
      <c r="Z21"/>
      <c r="AA21"/>
      <c r="AB21"/>
    </row>
    <row r="22" spans="1:28" x14ac:dyDescent="0.3">
      <c r="A22" s="2">
        <v>45481</v>
      </c>
      <c r="B22" s="68">
        <f t="shared" si="1"/>
        <v>6</v>
      </c>
      <c r="C22" s="3" t="s">
        <v>40</v>
      </c>
      <c r="D22" s="3">
        <v>8045</v>
      </c>
      <c r="E22" s="3">
        <v>894</v>
      </c>
      <c r="F22" s="3">
        <v>231802</v>
      </c>
      <c r="G22" s="4">
        <v>47.634187798207087</v>
      </c>
      <c r="H22" s="3">
        <v>33705</v>
      </c>
      <c r="I22" s="3" t="str">
        <f>'Task 3.1'!N45</f>
        <v>Sustainability Branding</v>
      </c>
      <c r="J22" s="3">
        <f t="shared" si="0"/>
        <v>7151</v>
      </c>
      <c r="M22" s="69">
        <v>14</v>
      </c>
      <c r="N22">
        <v>7396</v>
      </c>
      <c r="O22">
        <v>8228</v>
      </c>
      <c r="P22">
        <v>6593</v>
      </c>
      <c r="Q22"/>
      <c r="R22">
        <v>22217</v>
      </c>
      <c r="S22"/>
      <c r="T22"/>
      <c r="U22"/>
      <c r="V22"/>
      <c r="W22"/>
      <c r="X22"/>
      <c r="Y22"/>
      <c r="Z22"/>
      <c r="AA22"/>
      <c r="AB22"/>
    </row>
    <row r="23" spans="1:28" x14ac:dyDescent="0.3">
      <c r="A23" s="2">
        <v>45481</v>
      </c>
      <c r="B23" s="68">
        <f t="shared" si="1"/>
        <v>6</v>
      </c>
      <c r="C23" s="3" t="s">
        <v>18</v>
      </c>
      <c r="D23" s="3">
        <v>2048</v>
      </c>
      <c r="E23" s="3">
        <v>130</v>
      </c>
      <c r="F23" s="3">
        <v>233720</v>
      </c>
      <c r="G23" s="4">
        <v>39.284614068115687</v>
      </c>
      <c r="H23" s="3">
        <v>11828</v>
      </c>
      <c r="I23" s="3" t="str">
        <f>'Task 3.1'!N46</f>
        <v>Brand Engagement</v>
      </c>
      <c r="J23" s="3">
        <f t="shared" si="0"/>
        <v>1918</v>
      </c>
      <c r="M23" s="69">
        <v>15</v>
      </c>
      <c r="N23">
        <v>7442</v>
      </c>
      <c r="O23">
        <v>6121</v>
      </c>
      <c r="P23"/>
      <c r="Q23">
        <v>11613</v>
      </c>
      <c r="R23">
        <v>25176</v>
      </c>
      <c r="S23"/>
      <c r="T23"/>
      <c r="U23"/>
      <c r="V23"/>
      <c r="W23"/>
      <c r="X23"/>
      <c r="Y23"/>
      <c r="Z23"/>
      <c r="AA23"/>
      <c r="AB23"/>
    </row>
    <row r="24" spans="1:28" x14ac:dyDescent="0.3">
      <c r="A24" s="2">
        <v>45481</v>
      </c>
      <c r="B24" s="68">
        <f t="shared" si="1"/>
        <v>6</v>
      </c>
      <c r="C24" s="3" t="s">
        <v>18</v>
      </c>
      <c r="D24" s="3">
        <v>6772</v>
      </c>
      <c r="E24" s="3">
        <v>536</v>
      </c>
      <c r="F24" s="3">
        <v>239956</v>
      </c>
      <c r="G24" s="4">
        <v>9.8205504342462788</v>
      </c>
      <c r="H24" s="3">
        <v>17909</v>
      </c>
      <c r="I24" s="3" t="str">
        <f>'Task 3.1'!N47</f>
        <v>Brand Engagement</v>
      </c>
      <c r="J24" s="3">
        <f t="shared" si="0"/>
        <v>6236</v>
      </c>
      <c r="M24" s="69">
        <v>16</v>
      </c>
      <c r="N24"/>
      <c r="O24">
        <v>2199</v>
      </c>
      <c r="P24">
        <v>3925</v>
      </c>
      <c r="Q24">
        <v>9308</v>
      </c>
      <c r="R24">
        <v>15432</v>
      </c>
      <c r="S24"/>
      <c r="T24"/>
      <c r="U24"/>
      <c r="V24"/>
      <c r="W24"/>
      <c r="X24"/>
      <c r="Y24"/>
      <c r="Z24"/>
      <c r="AA24"/>
      <c r="AB24"/>
    </row>
    <row r="25" spans="1:28" x14ac:dyDescent="0.3">
      <c r="A25" s="2">
        <v>45481</v>
      </c>
      <c r="B25" s="68">
        <f t="shared" si="1"/>
        <v>6</v>
      </c>
      <c r="C25" s="3" t="s">
        <v>18</v>
      </c>
      <c r="D25" s="3">
        <v>3529</v>
      </c>
      <c r="E25" s="3">
        <v>305</v>
      </c>
      <c r="F25" s="3">
        <v>243180</v>
      </c>
      <c r="G25" s="4">
        <v>41.606628834608109</v>
      </c>
      <c r="H25" s="3">
        <v>48356</v>
      </c>
      <c r="I25" s="3" t="str">
        <f>'Task 3.1'!N48</f>
        <v>Brand Engagement</v>
      </c>
      <c r="J25" s="3">
        <f t="shared" si="0"/>
        <v>3224</v>
      </c>
      <c r="M25" s="69">
        <v>17</v>
      </c>
      <c r="N25">
        <v>13040</v>
      </c>
      <c r="O25"/>
      <c r="P25">
        <v>4942</v>
      </c>
      <c r="Q25"/>
      <c r="R25">
        <v>17982</v>
      </c>
      <c r="S25"/>
      <c r="T25"/>
      <c r="U25"/>
      <c r="V25"/>
      <c r="W25"/>
      <c r="X25"/>
      <c r="Y25"/>
      <c r="Z25"/>
      <c r="AA25"/>
      <c r="AB25"/>
    </row>
    <row r="26" spans="1:28" x14ac:dyDescent="0.3">
      <c r="A26" s="2">
        <v>45488</v>
      </c>
      <c r="B26" s="68">
        <f t="shared" si="1"/>
        <v>7</v>
      </c>
      <c r="C26" s="3" t="s">
        <v>22</v>
      </c>
      <c r="D26" s="3">
        <v>3964</v>
      </c>
      <c r="E26" s="3">
        <v>378</v>
      </c>
      <c r="F26" s="3">
        <v>246766</v>
      </c>
      <c r="G26" s="4">
        <v>13.6355899921383</v>
      </c>
      <c r="H26" s="3">
        <v>23109</v>
      </c>
      <c r="I26" s="3" t="str">
        <f>'Task 3.1'!N49</f>
        <v>Brand Engagement</v>
      </c>
      <c r="J26" s="3">
        <f t="shared" si="0"/>
        <v>3586</v>
      </c>
      <c r="M26" s="69">
        <v>18</v>
      </c>
      <c r="N26">
        <v>9904</v>
      </c>
      <c r="O26"/>
      <c r="P26">
        <v>8530</v>
      </c>
      <c r="Q26"/>
      <c r="R26">
        <v>18434</v>
      </c>
      <c r="S26"/>
      <c r="T26"/>
      <c r="U26"/>
      <c r="V26"/>
      <c r="W26"/>
      <c r="X26"/>
      <c r="Y26"/>
      <c r="Z26"/>
      <c r="AA26"/>
      <c r="AB26"/>
    </row>
    <row r="27" spans="1:28" x14ac:dyDescent="0.3">
      <c r="A27" s="2">
        <v>45488</v>
      </c>
      <c r="B27" s="68">
        <f t="shared" si="1"/>
        <v>7</v>
      </c>
      <c r="C27" s="3" t="s">
        <v>40</v>
      </c>
      <c r="D27" s="3">
        <v>8137</v>
      </c>
      <c r="E27" s="3">
        <v>1045</v>
      </c>
      <c r="F27" s="3">
        <v>253858</v>
      </c>
      <c r="G27" s="4">
        <v>20.47246886054408</v>
      </c>
      <c r="H27" s="3">
        <v>12023</v>
      </c>
      <c r="I27" s="3" t="str">
        <f>'Task 3.1'!N50</f>
        <v>Product Promotion</v>
      </c>
      <c r="J27" s="3">
        <f t="shared" si="0"/>
        <v>7092</v>
      </c>
      <c r="M27" s="69">
        <v>19</v>
      </c>
      <c r="N27">
        <v>4808</v>
      </c>
      <c r="O27">
        <v>2421</v>
      </c>
      <c r="P27"/>
      <c r="Q27">
        <v>10348</v>
      </c>
      <c r="R27">
        <v>17577</v>
      </c>
      <c r="S27"/>
      <c r="T27"/>
      <c r="U27"/>
      <c r="V27"/>
      <c r="W27"/>
      <c r="X27"/>
      <c r="Y27"/>
      <c r="Z27"/>
      <c r="AA27"/>
      <c r="AB27"/>
    </row>
    <row r="28" spans="1:28" x14ac:dyDescent="0.3">
      <c r="A28" s="2">
        <v>45488</v>
      </c>
      <c r="B28" s="68">
        <f t="shared" si="1"/>
        <v>7</v>
      </c>
      <c r="C28" s="3" t="s">
        <v>13</v>
      </c>
      <c r="D28" s="3">
        <v>1963</v>
      </c>
      <c r="E28" s="3">
        <v>137</v>
      </c>
      <c r="F28" s="3">
        <v>255684</v>
      </c>
      <c r="G28" s="4">
        <v>11.2083665774941</v>
      </c>
      <c r="H28" s="3">
        <v>24537</v>
      </c>
      <c r="I28" s="3" t="str">
        <f>'Task 3.1'!N51</f>
        <v>Sustainability Branding</v>
      </c>
      <c r="J28" s="3">
        <f t="shared" si="0"/>
        <v>1826</v>
      </c>
      <c r="M28" s="69">
        <v>20</v>
      </c>
      <c r="N28"/>
      <c r="O28"/>
      <c r="P28">
        <v>16256</v>
      </c>
      <c r="Q28">
        <v>7115</v>
      </c>
      <c r="R28">
        <v>23371</v>
      </c>
      <c r="S28"/>
      <c r="T28"/>
      <c r="U28"/>
      <c r="V28"/>
      <c r="W28"/>
      <c r="X28"/>
      <c r="Y28"/>
      <c r="Z28"/>
      <c r="AA28"/>
      <c r="AB28"/>
    </row>
    <row r="29" spans="1:28" x14ac:dyDescent="0.3">
      <c r="A29" s="2">
        <v>45488</v>
      </c>
      <c r="B29" s="68">
        <f t="shared" si="1"/>
        <v>7</v>
      </c>
      <c r="C29" s="3" t="s">
        <v>22</v>
      </c>
      <c r="D29" s="3">
        <v>1536</v>
      </c>
      <c r="E29" s="3">
        <v>155</v>
      </c>
      <c r="F29" s="3">
        <v>257065</v>
      </c>
      <c r="G29" s="4">
        <v>12.15762550327738</v>
      </c>
      <c r="H29" s="3">
        <v>36661</v>
      </c>
      <c r="I29" s="3" t="str">
        <f>'Task 3.1'!N52</f>
        <v>Sustainability Branding</v>
      </c>
      <c r="J29" s="3">
        <f t="shared" si="0"/>
        <v>1381</v>
      </c>
      <c r="M29" s="69">
        <v>21</v>
      </c>
      <c r="N29">
        <v>23973</v>
      </c>
      <c r="O29"/>
      <c r="P29"/>
      <c r="Q29">
        <v>6918</v>
      </c>
      <c r="R29">
        <v>30891</v>
      </c>
      <c r="S29"/>
      <c r="T29"/>
      <c r="U29"/>
      <c r="V29"/>
      <c r="W29"/>
      <c r="X29"/>
      <c r="Y29"/>
      <c r="Z29"/>
      <c r="AA29"/>
      <c r="AB29"/>
    </row>
    <row r="30" spans="1:28" x14ac:dyDescent="0.3">
      <c r="A30" s="2">
        <v>45495</v>
      </c>
      <c r="B30" s="68">
        <f t="shared" si="1"/>
        <v>8</v>
      </c>
      <c r="C30" s="3" t="s">
        <v>18</v>
      </c>
      <c r="D30" s="3">
        <v>8340</v>
      </c>
      <c r="E30" s="3">
        <v>911</v>
      </c>
      <c r="F30" s="3">
        <v>264494</v>
      </c>
      <c r="G30" s="4">
        <v>37.302925586213682</v>
      </c>
      <c r="H30" s="3">
        <v>48659</v>
      </c>
      <c r="I30" s="3" t="str">
        <f>'Task 3.1'!N53</f>
        <v>Health &amp; Fitness Awareness</v>
      </c>
      <c r="J30" s="3">
        <f t="shared" si="0"/>
        <v>7429</v>
      </c>
      <c r="M30" s="69">
        <v>22</v>
      </c>
      <c r="N30"/>
      <c r="O30">
        <v>14812</v>
      </c>
      <c r="P30"/>
      <c r="Q30">
        <v>12442</v>
      </c>
      <c r="R30">
        <v>27254</v>
      </c>
      <c r="S30"/>
      <c r="T30"/>
      <c r="U30"/>
      <c r="V30"/>
      <c r="W30"/>
      <c r="X30"/>
      <c r="Y30"/>
      <c r="Z30"/>
      <c r="AA30"/>
      <c r="AB30"/>
    </row>
    <row r="31" spans="1:28" x14ac:dyDescent="0.3">
      <c r="A31" s="2">
        <v>45495</v>
      </c>
      <c r="B31" s="68">
        <f t="shared" si="1"/>
        <v>8</v>
      </c>
      <c r="C31" s="3" t="s">
        <v>40</v>
      </c>
      <c r="D31" s="3">
        <v>8179</v>
      </c>
      <c r="E31" s="3">
        <v>446</v>
      </c>
      <c r="F31" s="3">
        <v>272227</v>
      </c>
      <c r="G31" s="4">
        <v>41.82171496581897</v>
      </c>
      <c r="H31" s="3">
        <v>43848</v>
      </c>
      <c r="I31" s="3" t="str">
        <f>'Task 3.1'!N54</f>
        <v>Health &amp; Fitness Awareness</v>
      </c>
      <c r="J31" s="3">
        <f t="shared" si="0"/>
        <v>7733</v>
      </c>
      <c r="M31" s="69">
        <v>23</v>
      </c>
      <c r="N31"/>
      <c r="O31">
        <v>4942</v>
      </c>
      <c r="P31">
        <v>8687</v>
      </c>
      <c r="Q31">
        <v>3056</v>
      </c>
      <c r="R31">
        <v>16685</v>
      </c>
      <c r="S31"/>
      <c r="T31"/>
      <c r="U31"/>
      <c r="V31"/>
      <c r="W31"/>
      <c r="X31"/>
      <c r="Y31"/>
      <c r="Z31"/>
      <c r="AA31"/>
      <c r="AB31"/>
    </row>
    <row r="32" spans="1:28" x14ac:dyDescent="0.3">
      <c r="A32" s="2">
        <v>45495</v>
      </c>
      <c r="B32" s="68">
        <f t="shared" si="1"/>
        <v>8</v>
      </c>
      <c r="C32" s="3" t="s">
        <v>18</v>
      </c>
      <c r="D32" s="3">
        <v>8967</v>
      </c>
      <c r="E32" s="3">
        <v>993</v>
      </c>
      <c r="F32" s="3">
        <v>280201</v>
      </c>
      <c r="G32" s="4">
        <v>52.792102811910027</v>
      </c>
      <c r="H32" s="3">
        <v>47804</v>
      </c>
      <c r="I32" s="3" t="str">
        <f>'Task 3.1'!N55</f>
        <v>Brand Engagement</v>
      </c>
      <c r="J32" s="3">
        <f t="shared" si="0"/>
        <v>7974</v>
      </c>
      <c r="M32" s="69">
        <v>24</v>
      </c>
      <c r="N32"/>
      <c r="O32">
        <v>4882</v>
      </c>
      <c r="P32">
        <v>9649</v>
      </c>
      <c r="Q32">
        <v>5220</v>
      </c>
      <c r="R32">
        <v>19751</v>
      </c>
      <c r="S32"/>
      <c r="T32"/>
      <c r="U32"/>
      <c r="V32"/>
      <c r="W32"/>
      <c r="X32"/>
      <c r="Y32"/>
      <c r="Z32"/>
      <c r="AA32"/>
      <c r="AB32"/>
    </row>
    <row r="33" spans="1:28" x14ac:dyDescent="0.3">
      <c r="A33" s="2">
        <v>45495</v>
      </c>
      <c r="B33" s="68">
        <f t="shared" si="1"/>
        <v>8</v>
      </c>
      <c r="C33" s="3" t="s">
        <v>13</v>
      </c>
      <c r="D33" s="3">
        <v>9734</v>
      </c>
      <c r="E33" s="3">
        <v>652</v>
      </c>
      <c r="F33" s="3">
        <v>289283</v>
      </c>
      <c r="G33" s="4">
        <v>49.647922622483861</v>
      </c>
      <c r="H33" s="3">
        <v>25379</v>
      </c>
      <c r="I33" s="3" t="str">
        <f>'Task 3.1'!N56</f>
        <v>Sustainability Branding</v>
      </c>
      <c r="J33" s="3">
        <f t="shared" si="0"/>
        <v>9082</v>
      </c>
      <c r="M33" s="69">
        <v>25</v>
      </c>
      <c r="N33">
        <v>5206</v>
      </c>
      <c r="O33">
        <v>9648</v>
      </c>
      <c r="P33">
        <v>6384</v>
      </c>
      <c r="Q33"/>
      <c r="R33">
        <v>21238</v>
      </c>
      <c r="S33"/>
      <c r="T33"/>
      <c r="U33"/>
      <c r="V33"/>
      <c r="W33"/>
      <c r="X33"/>
      <c r="Y33"/>
      <c r="Z33"/>
      <c r="AA33"/>
      <c r="AB33"/>
    </row>
    <row r="34" spans="1:28" x14ac:dyDescent="0.3">
      <c r="A34" s="2">
        <v>45502</v>
      </c>
      <c r="B34" s="68">
        <f t="shared" si="1"/>
        <v>9</v>
      </c>
      <c r="C34" s="3" t="s">
        <v>18</v>
      </c>
      <c r="D34" s="3">
        <v>1845</v>
      </c>
      <c r="E34" s="3">
        <v>104</v>
      </c>
      <c r="F34" s="3">
        <v>291024</v>
      </c>
      <c r="G34" s="4">
        <v>28.158158777282971</v>
      </c>
      <c r="H34" s="3">
        <v>37766</v>
      </c>
      <c r="I34" s="3" t="str">
        <f>'Task 3.1'!N57</f>
        <v>Sustainability Branding</v>
      </c>
      <c r="J34" s="3">
        <f t="shared" ref="J34:J65" si="2">D34-E34</f>
        <v>1741</v>
      </c>
      <c r="M34" s="69">
        <v>26</v>
      </c>
      <c r="N34">
        <v>14537</v>
      </c>
      <c r="O34">
        <v>8945</v>
      </c>
      <c r="P34"/>
      <c r="Q34">
        <v>5143</v>
      </c>
      <c r="R34">
        <v>28625</v>
      </c>
      <c r="S34"/>
      <c r="T34"/>
      <c r="U34"/>
      <c r="V34"/>
      <c r="W34"/>
      <c r="X34"/>
      <c r="Y34"/>
      <c r="Z34"/>
      <c r="AA34"/>
      <c r="AB34"/>
    </row>
    <row r="35" spans="1:28" x14ac:dyDescent="0.3">
      <c r="A35" s="2">
        <v>45502</v>
      </c>
      <c r="B35" s="68">
        <f t="shared" ref="B35:B66" si="3">IF(A35=A34,B34,B34+1)</f>
        <v>9</v>
      </c>
      <c r="C35" s="3" t="s">
        <v>18</v>
      </c>
      <c r="D35" s="3">
        <v>6777</v>
      </c>
      <c r="E35" s="3">
        <v>981</v>
      </c>
      <c r="F35" s="3">
        <v>296820</v>
      </c>
      <c r="G35" s="4">
        <v>23.920557913887201</v>
      </c>
      <c r="H35" s="3">
        <v>53590</v>
      </c>
      <c r="I35" s="3" t="str">
        <f>'Task 3.1'!N58</f>
        <v>Sustainability Branding</v>
      </c>
      <c r="J35" s="3">
        <f t="shared" si="2"/>
        <v>5796</v>
      </c>
      <c r="M35" s="69">
        <v>27</v>
      </c>
      <c r="N35">
        <v>8999</v>
      </c>
      <c r="O35">
        <v>5402</v>
      </c>
      <c r="P35"/>
      <c r="Q35">
        <v>3929</v>
      </c>
      <c r="R35">
        <v>18330</v>
      </c>
      <c r="S35"/>
      <c r="T35"/>
      <c r="U35"/>
      <c r="V35"/>
      <c r="W35"/>
      <c r="X35"/>
      <c r="Y35"/>
      <c r="Z35"/>
      <c r="AA35"/>
      <c r="AB35"/>
    </row>
    <row r="36" spans="1:28" x14ac:dyDescent="0.3">
      <c r="A36" s="2">
        <v>45502</v>
      </c>
      <c r="B36" s="68">
        <f t="shared" si="3"/>
        <v>9</v>
      </c>
      <c r="C36" s="3" t="s">
        <v>13</v>
      </c>
      <c r="D36" s="3">
        <v>4036</v>
      </c>
      <c r="E36" s="3">
        <v>591</v>
      </c>
      <c r="F36" s="3">
        <v>300265</v>
      </c>
      <c r="G36" s="4">
        <v>44.219272975538267</v>
      </c>
      <c r="H36" s="3">
        <v>12563</v>
      </c>
      <c r="I36" s="3" t="str">
        <f>'Task 3.1'!N59</f>
        <v>Sustainability Branding</v>
      </c>
      <c r="J36" s="3">
        <f t="shared" si="2"/>
        <v>3445</v>
      </c>
      <c r="M36" s="69">
        <v>28</v>
      </c>
      <c r="N36">
        <v>3461</v>
      </c>
      <c r="O36">
        <v>949</v>
      </c>
      <c r="P36">
        <v>6642</v>
      </c>
      <c r="Q36">
        <v>4790</v>
      </c>
      <c r="R36">
        <v>15842</v>
      </c>
      <c r="S36"/>
      <c r="T36"/>
      <c r="U36"/>
      <c r="V36"/>
      <c r="W36"/>
      <c r="X36"/>
      <c r="Y36"/>
      <c r="Z36"/>
      <c r="AA36"/>
      <c r="AB36"/>
    </row>
    <row r="37" spans="1:28" x14ac:dyDescent="0.3">
      <c r="A37" s="2">
        <v>45502</v>
      </c>
      <c r="B37" s="68">
        <f t="shared" si="3"/>
        <v>9</v>
      </c>
      <c r="C37" s="3" t="s">
        <v>40</v>
      </c>
      <c r="D37" s="3">
        <v>6947</v>
      </c>
      <c r="E37" s="3">
        <v>908</v>
      </c>
      <c r="F37" s="3">
        <v>306304</v>
      </c>
      <c r="G37" s="4">
        <v>14.117673944839121</v>
      </c>
      <c r="H37" s="3">
        <v>46060</v>
      </c>
      <c r="I37" s="3" t="str">
        <f>'Task 3.1'!N60</f>
        <v>Product Promotion</v>
      </c>
      <c r="J37" s="3">
        <f t="shared" si="2"/>
        <v>6039</v>
      </c>
      <c r="M37" s="69">
        <v>29</v>
      </c>
      <c r="N37">
        <v>4802</v>
      </c>
      <c r="O37">
        <v>8527</v>
      </c>
      <c r="P37">
        <v>6275</v>
      </c>
      <c r="Q37"/>
      <c r="R37">
        <v>19604</v>
      </c>
      <c r="S37"/>
      <c r="T37"/>
      <c r="U37"/>
      <c r="V37"/>
      <c r="W37"/>
      <c r="X37"/>
      <c r="Y37"/>
      <c r="Z37"/>
      <c r="AA37"/>
      <c r="AB37"/>
    </row>
    <row r="38" spans="1:28" x14ac:dyDescent="0.3">
      <c r="A38" s="2">
        <v>45509</v>
      </c>
      <c r="B38" s="68">
        <f t="shared" si="3"/>
        <v>10</v>
      </c>
      <c r="C38" s="3" t="s">
        <v>22</v>
      </c>
      <c r="D38" s="3">
        <v>3494</v>
      </c>
      <c r="E38" s="3">
        <v>281</v>
      </c>
      <c r="F38" s="3">
        <v>309517</v>
      </c>
      <c r="G38" s="4">
        <v>27.765518533715429</v>
      </c>
      <c r="H38" s="3">
        <v>39197</v>
      </c>
      <c r="I38" s="3" t="str">
        <f>'Task 3.1'!N61</f>
        <v>Brand Engagement</v>
      </c>
      <c r="J38" s="3">
        <f t="shared" si="2"/>
        <v>3213</v>
      </c>
      <c r="M38" s="69">
        <v>30</v>
      </c>
      <c r="N38">
        <v>4314</v>
      </c>
      <c r="O38">
        <v>7541</v>
      </c>
      <c r="P38"/>
      <c r="Q38">
        <v>7328</v>
      </c>
      <c r="R38">
        <v>19183</v>
      </c>
      <c r="S38"/>
      <c r="T38"/>
      <c r="U38"/>
      <c r="V38"/>
      <c r="W38"/>
      <c r="X38"/>
      <c r="Y38"/>
      <c r="Z38"/>
      <c r="AA38"/>
      <c r="AB38"/>
    </row>
    <row r="39" spans="1:28" x14ac:dyDescent="0.3">
      <c r="A39" s="2">
        <v>45509</v>
      </c>
      <c r="B39" s="68">
        <f t="shared" si="3"/>
        <v>10</v>
      </c>
      <c r="C39" s="3" t="s">
        <v>40</v>
      </c>
      <c r="D39" s="3">
        <v>3719</v>
      </c>
      <c r="E39" s="3">
        <v>222</v>
      </c>
      <c r="F39" s="3">
        <v>313014</v>
      </c>
      <c r="G39" s="4">
        <v>21.669318305251519</v>
      </c>
      <c r="H39" s="3">
        <v>13586</v>
      </c>
      <c r="I39" s="3" t="str">
        <f>'Task 3.1'!N62</f>
        <v>Brand Engagement</v>
      </c>
      <c r="J39" s="3">
        <f t="shared" si="2"/>
        <v>3497</v>
      </c>
      <c r="M39" s="69">
        <v>31</v>
      </c>
      <c r="N39">
        <v>4214</v>
      </c>
      <c r="O39">
        <v>16577</v>
      </c>
      <c r="P39">
        <v>3079</v>
      </c>
      <c r="Q39"/>
      <c r="R39">
        <v>23870</v>
      </c>
      <c r="S39"/>
      <c r="T39"/>
      <c r="U39"/>
      <c r="V39"/>
      <c r="W39"/>
      <c r="X39"/>
      <c r="Y39"/>
      <c r="Z39"/>
      <c r="AA39"/>
      <c r="AB39"/>
    </row>
    <row r="40" spans="1:28" x14ac:dyDescent="0.3">
      <c r="A40" s="2">
        <v>45509</v>
      </c>
      <c r="B40" s="68">
        <f t="shared" si="3"/>
        <v>10</v>
      </c>
      <c r="C40" s="3" t="s">
        <v>13</v>
      </c>
      <c r="D40" s="3">
        <v>2884</v>
      </c>
      <c r="E40" s="3">
        <v>341</v>
      </c>
      <c r="F40" s="3">
        <v>315557</v>
      </c>
      <c r="G40" s="4">
        <v>46.999749649033298</v>
      </c>
      <c r="H40" s="3">
        <v>26087</v>
      </c>
      <c r="I40" s="3" t="str">
        <f>'Task 3.1'!N63</f>
        <v>Product Launch</v>
      </c>
      <c r="J40" s="3">
        <f t="shared" si="2"/>
        <v>2543</v>
      </c>
      <c r="M40" s="69">
        <v>32</v>
      </c>
      <c r="N40"/>
      <c r="O40">
        <v>9254</v>
      </c>
      <c r="P40">
        <v>9202</v>
      </c>
      <c r="Q40">
        <v>8601</v>
      </c>
      <c r="R40">
        <v>27057</v>
      </c>
      <c r="S40"/>
      <c r="T40"/>
      <c r="U40"/>
      <c r="V40"/>
      <c r="W40"/>
      <c r="X40"/>
      <c r="Y40"/>
      <c r="Z40"/>
      <c r="AA40"/>
      <c r="AB40"/>
    </row>
    <row r="41" spans="1:28" x14ac:dyDescent="0.3">
      <c r="A41" s="2">
        <v>45509</v>
      </c>
      <c r="B41" s="68">
        <f t="shared" si="3"/>
        <v>10</v>
      </c>
      <c r="C41" s="3" t="s">
        <v>18</v>
      </c>
      <c r="D41" s="3">
        <v>5349</v>
      </c>
      <c r="E41" s="3">
        <v>502</v>
      </c>
      <c r="F41" s="3">
        <v>320404</v>
      </c>
      <c r="G41" s="4">
        <v>5.2152906954969351</v>
      </c>
      <c r="H41" s="3">
        <v>58868</v>
      </c>
      <c r="I41" s="3" t="str">
        <f>'Task 3.1'!N64</f>
        <v>Product Launch</v>
      </c>
      <c r="J41" s="3">
        <f t="shared" si="2"/>
        <v>4847</v>
      </c>
      <c r="M41" s="69">
        <v>33</v>
      </c>
      <c r="N41">
        <v>2919</v>
      </c>
      <c r="O41">
        <v>7471</v>
      </c>
      <c r="P41">
        <v>7346</v>
      </c>
      <c r="Q41">
        <v>1001</v>
      </c>
      <c r="R41">
        <v>18737</v>
      </c>
      <c r="S41"/>
      <c r="T41"/>
      <c r="U41"/>
      <c r="V41"/>
      <c r="W41"/>
      <c r="X41"/>
      <c r="Y41"/>
      <c r="Z41"/>
      <c r="AA41"/>
      <c r="AB41"/>
    </row>
    <row r="42" spans="1:28" x14ac:dyDescent="0.3">
      <c r="A42" s="2">
        <v>45516</v>
      </c>
      <c r="B42" s="68">
        <f t="shared" si="3"/>
        <v>11</v>
      </c>
      <c r="C42" s="3" t="s">
        <v>40</v>
      </c>
      <c r="D42" s="3">
        <v>6179</v>
      </c>
      <c r="E42" s="3">
        <v>384</v>
      </c>
      <c r="F42" s="3">
        <v>326199</v>
      </c>
      <c r="G42" s="4">
        <v>14.71218489327067</v>
      </c>
      <c r="H42" s="3">
        <v>33225</v>
      </c>
      <c r="I42" s="3" t="str">
        <f>'Task 3.1'!N65</f>
        <v>Product Promotion</v>
      </c>
      <c r="J42" s="3">
        <f t="shared" si="2"/>
        <v>5795</v>
      </c>
      <c r="M42" s="69">
        <v>34</v>
      </c>
      <c r="N42"/>
      <c r="O42"/>
      <c r="P42">
        <v>20155</v>
      </c>
      <c r="Q42">
        <v>7654</v>
      </c>
      <c r="R42">
        <v>27809</v>
      </c>
      <c r="S42"/>
      <c r="T42"/>
      <c r="U42"/>
      <c r="V42"/>
      <c r="W42"/>
      <c r="X42"/>
      <c r="Y42"/>
      <c r="Z42"/>
      <c r="AA42"/>
      <c r="AB42"/>
    </row>
    <row r="43" spans="1:28" x14ac:dyDescent="0.3">
      <c r="A43" s="2">
        <v>45516</v>
      </c>
      <c r="B43" s="68">
        <f t="shared" si="3"/>
        <v>11</v>
      </c>
      <c r="C43" s="3" t="s">
        <v>22</v>
      </c>
      <c r="D43" s="3">
        <v>7610</v>
      </c>
      <c r="E43" s="3">
        <v>757</v>
      </c>
      <c r="F43" s="3">
        <v>333052</v>
      </c>
      <c r="G43" s="4">
        <v>44.450416151231643</v>
      </c>
      <c r="H43" s="3">
        <v>39750</v>
      </c>
      <c r="I43" s="3" t="str">
        <f>'Task 3.1'!N66</f>
        <v>Product Promotion</v>
      </c>
      <c r="J43" s="3">
        <f t="shared" si="2"/>
        <v>6853</v>
      </c>
      <c r="M43" s="69">
        <v>35</v>
      </c>
      <c r="N43">
        <v>3643</v>
      </c>
      <c r="O43">
        <v>7260</v>
      </c>
      <c r="P43">
        <v>11789</v>
      </c>
      <c r="Q43"/>
      <c r="R43">
        <v>22692</v>
      </c>
      <c r="S43"/>
      <c r="T43"/>
      <c r="U43"/>
      <c r="V43"/>
      <c r="W43"/>
      <c r="X43"/>
      <c r="Y43"/>
      <c r="Z43"/>
      <c r="AA43"/>
      <c r="AB43"/>
    </row>
    <row r="44" spans="1:28" x14ac:dyDescent="0.3">
      <c r="A44" s="2">
        <v>45516</v>
      </c>
      <c r="B44" s="68">
        <f t="shared" si="3"/>
        <v>11</v>
      </c>
      <c r="C44" s="3" t="s">
        <v>13</v>
      </c>
      <c r="D44" s="3">
        <v>7430</v>
      </c>
      <c r="E44" s="3">
        <v>397</v>
      </c>
      <c r="F44" s="3">
        <v>340085</v>
      </c>
      <c r="G44" s="4">
        <v>28.065042562888689</v>
      </c>
      <c r="H44" s="3">
        <v>16643</v>
      </c>
      <c r="I44" s="3" t="str">
        <f>'Task 3.1'!N67</f>
        <v>Health &amp; Fitness Awareness</v>
      </c>
      <c r="J44" s="3">
        <f t="shared" si="2"/>
        <v>7033</v>
      </c>
      <c r="M44" s="69">
        <v>36</v>
      </c>
      <c r="N44"/>
      <c r="O44"/>
      <c r="P44">
        <v>16086</v>
      </c>
      <c r="Q44">
        <v>12447</v>
      </c>
      <c r="R44">
        <v>28533</v>
      </c>
      <c r="S44"/>
      <c r="T44"/>
      <c r="U44"/>
      <c r="V44"/>
      <c r="W44"/>
      <c r="X44"/>
      <c r="Y44"/>
      <c r="Z44"/>
      <c r="AA44"/>
      <c r="AB44"/>
    </row>
    <row r="45" spans="1:28" x14ac:dyDescent="0.3">
      <c r="A45" s="2">
        <v>45516</v>
      </c>
      <c r="B45" s="68">
        <f t="shared" si="3"/>
        <v>11</v>
      </c>
      <c r="C45" s="3" t="s">
        <v>40</v>
      </c>
      <c r="D45" s="3">
        <v>8154</v>
      </c>
      <c r="E45" s="3">
        <v>1149</v>
      </c>
      <c r="F45" s="3">
        <v>347090</v>
      </c>
      <c r="G45" s="4">
        <v>26.003918292085629</v>
      </c>
      <c r="H45" s="3">
        <v>37523</v>
      </c>
      <c r="I45" s="3" t="str">
        <f>'Task 3.1'!N68</f>
        <v>Health &amp; Fitness Awareness</v>
      </c>
      <c r="J45" s="3">
        <f t="shared" si="2"/>
        <v>7005</v>
      </c>
      <c r="M45" s="69">
        <v>37</v>
      </c>
      <c r="N45"/>
      <c r="O45">
        <v>12622</v>
      </c>
      <c r="P45">
        <v>1020</v>
      </c>
      <c r="Q45"/>
      <c r="R45">
        <v>13642</v>
      </c>
      <c r="S45"/>
      <c r="T45"/>
      <c r="U45"/>
      <c r="V45"/>
      <c r="W45"/>
      <c r="X45"/>
      <c r="Y45"/>
      <c r="Z45"/>
      <c r="AA45"/>
      <c r="AB45"/>
    </row>
    <row r="46" spans="1:28" x14ac:dyDescent="0.3">
      <c r="A46" s="2">
        <v>45523</v>
      </c>
      <c r="B46" s="68">
        <f t="shared" si="3"/>
        <v>12</v>
      </c>
      <c r="C46" s="3" t="s">
        <v>22</v>
      </c>
      <c r="D46" s="3">
        <v>7488</v>
      </c>
      <c r="E46" s="3">
        <v>568</v>
      </c>
      <c r="F46" s="3">
        <v>354010</v>
      </c>
      <c r="G46" s="4">
        <v>13.47730290104799</v>
      </c>
      <c r="H46" s="3">
        <v>46727</v>
      </c>
      <c r="I46" s="3" t="str">
        <f>'Task 3.1'!N69</f>
        <v>Product Promotion</v>
      </c>
      <c r="J46" s="3">
        <f t="shared" si="2"/>
        <v>6920</v>
      </c>
      <c r="M46" s="69">
        <v>38</v>
      </c>
      <c r="N46">
        <v>11468</v>
      </c>
      <c r="O46">
        <v>5101</v>
      </c>
      <c r="P46">
        <v>1290</v>
      </c>
      <c r="Q46"/>
      <c r="R46">
        <v>17859</v>
      </c>
      <c r="S46"/>
      <c r="T46"/>
      <c r="U46"/>
      <c r="V46"/>
      <c r="W46"/>
      <c r="X46"/>
      <c r="Y46"/>
      <c r="Z46"/>
      <c r="AA46"/>
      <c r="AB46"/>
    </row>
    <row r="47" spans="1:28" x14ac:dyDescent="0.3">
      <c r="A47" s="2">
        <v>45523</v>
      </c>
      <c r="B47" s="68">
        <f t="shared" si="3"/>
        <v>12</v>
      </c>
      <c r="C47" s="3" t="s">
        <v>13</v>
      </c>
      <c r="D47" s="3">
        <v>5737</v>
      </c>
      <c r="E47" s="3">
        <v>666</v>
      </c>
      <c r="F47" s="3">
        <v>359081</v>
      </c>
      <c r="G47" s="4">
        <v>4.6034181702735593</v>
      </c>
      <c r="H47" s="3">
        <v>21005</v>
      </c>
      <c r="I47" s="3" t="str">
        <f>'Task 3.1'!N70</f>
        <v>Product Promotion</v>
      </c>
      <c r="J47" s="3">
        <f t="shared" si="2"/>
        <v>5071</v>
      </c>
      <c r="M47" s="69">
        <v>39</v>
      </c>
      <c r="N47">
        <v>15087</v>
      </c>
      <c r="O47"/>
      <c r="P47"/>
      <c r="Q47">
        <v>15359</v>
      </c>
      <c r="R47">
        <v>30446</v>
      </c>
      <c r="S47"/>
      <c r="T47"/>
      <c r="U47"/>
      <c r="V47"/>
      <c r="W47"/>
      <c r="X47"/>
      <c r="Y47"/>
      <c r="Z47"/>
      <c r="AA47"/>
      <c r="AB47"/>
    </row>
    <row r="48" spans="1:28" x14ac:dyDescent="0.3">
      <c r="A48" s="2">
        <v>45523</v>
      </c>
      <c r="B48" s="68">
        <f t="shared" si="3"/>
        <v>12</v>
      </c>
      <c r="C48" s="3" t="s">
        <v>22</v>
      </c>
      <c r="D48" s="3">
        <v>7525</v>
      </c>
      <c r="E48" s="3">
        <v>610</v>
      </c>
      <c r="F48" s="3">
        <v>365996</v>
      </c>
      <c r="G48" s="4">
        <v>5.7694619613329108</v>
      </c>
      <c r="H48" s="3">
        <v>53543</v>
      </c>
      <c r="I48" s="3" t="str">
        <f>'Task 3.1'!N71</f>
        <v>Product Promotion</v>
      </c>
      <c r="J48" s="3">
        <f t="shared" si="2"/>
        <v>6915</v>
      </c>
      <c r="M48" s="69">
        <v>40</v>
      </c>
      <c r="N48"/>
      <c r="O48">
        <v>7432</v>
      </c>
      <c r="P48">
        <v>6326</v>
      </c>
      <c r="Q48">
        <v>6631</v>
      </c>
      <c r="R48">
        <v>20389</v>
      </c>
      <c r="S48"/>
      <c r="T48"/>
      <c r="U48"/>
      <c r="V48"/>
      <c r="W48"/>
      <c r="X48"/>
      <c r="Y48"/>
      <c r="Z48"/>
      <c r="AA48"/>
      <c r="AB48"/>
    </row>
    <row r="49" spans="1:28" x14ac:dyDescent="0.3">
      <c r="A49" s="2">
        <v>45523</v>
      </c>
      <c r="B49" s="68">
        <f t="shared" si="3"/>
        <v>12</v>
      </c>
      <c r="C49" s="3" t="s">
        <v>13</v>
      </c>
      <c r="D49" s="3">
        <v>4850</v>
      </c>
      <c r="E49" s="3">
        <v>494</v>
      </c>
      <c r="F49" s="3">
        <v>370352</v>
      </c>
      <c r="G49" s="4">
        <v>20.46539508359615</v>
      </c>
      <c r="H49" s="3">
        <v>10161</v>
      </c>
      <c r="I49" s="3" t="str">
        <f>'Task 3.1'!N72</f>
        <v>Product Promotion</v>
      </c>
      <c r="J49" s="3">
        <f t="shared" si="2"/>
        <v>4356</v>
      </c>
      <c r="M49" s="69">
        <v>41</v>
      </c>
      <c r="N49">
        <v>2994</v>
      </c>
      <c r="O49">
        <v>2535</v>
      </c>
      <c r="P49">
        <v>8723</v>
      </c>
      <c r="Q49">
        <v>3555</v>
      </c>
      <c r="R49">
        <v>17807</v>
      </c>
      <c r="S49"/>
      <c r="T49"/>
      <c r="U49"/>
      <c r="V49"/>
      <c r="W49"/>
      <c r="X49"/>
      <c r="Y49"/>
      <c r="Z49"/>
      <c r="AA49"/>
      <c r="AB49"/>
    </row>
    <row r="50" spans="1:28" x14ac:dyDescent="0.3">
      <c r="A50" s="2">
        <v>45530</v>
      </c>
      <c r="B50" s="68">
        <f t="shared" si="3"/>
        <v>13</v>
      </c>
      <c r="C50" s="3" t="s">
        <v>18</v>
      </c>
      <c r="D50" s="3">
        <v>1689</v>
      </c>
      <c r="E50" s="3">
        <v>176</v>
      </c>
      <c r="F50" s="3">
        <v>371865</v>
      </c>
      <c r="G50" s="4">
        <v>38.012181840183942</v>
      </c>
      <c r="H50" s="3">
        <v>26029</v>
      </c>
      <c r="I50" s="3" t="str">
        <f>'Task 3.1'!N73</f>
        <v>Product Launch</v>
      </c>
      <c r="J50" s="3">
        <f t="shared" si="2"/>
        <v>1513</v>
      </c>
      <c r="M50" s="69">
        <v>42</v>
      </c>
      <c r="N50">
        <v>8292</v>
      </c>
      <c r="O50">
        <v>19728</v>
      </c>
      <c r="P50"/>
      <c r="Q50"/>
      <c r="R50">
        <v>28020</v>
      </c>
      <c r="S50"/>
      <c r="T50"/>
      <c r="U50"/>
      <c r="V50"/>
      <c r="W50"/>
      <c r="X50"/>
      <c r="Y50"/>
      <c r="Z50"/>
      <c r="AA50"/>
      <c r="AB50"/>
    </row>
    <row r="51" spans="1:28" x14ac:dyDescent="0.3">
      <c r="A51" s="2">
        <v>45530</v>
      </c>
      <c r="B51" s="68">
        <f t="shared" si="3"/>
        <v>13</v>
      </c>
      <c r="C51" s="3" t="s">
        <v>40</v>
      </c>
      <c r="D51" s="3">
        <v>6175</v>
      </c>
      <c r="E51" s="3">
        <v>422</v>
      </c>
      <c r="F51" s="3">
        <v>377618</v>
      </c>
      <c r="G51" s="4">
        <v>37.86101298137271</v>
      </c>
      <c r="H51" s="3">
        <v>59745</v>
      </c>
      <c r="I51" s="3" t="str">
        <f>'Task 3.1'!N74</f>
        <v>Product Launch</v>
      </c>
      <c r="J51" s="3">
        <f t="shared" si="2"/>
        <v>5753</v>
      </c>
      <c r="M51" s="69">
        <v>43</v>
      </c>
      <c r="N51"/>
      <c r="O51">
        <v>21227</v>
      </c>
      <c r="P51"/>
      <c r="Q51">
        <v>4189</v>
      </c>
      <c r="R51">
        <v>25416</v>
      </c>
      <c r="S51"/>
      <c r="T51"/>
      <c r="U51"/>
      <c r="V51"/>
      <c r="W51"/>
      <c r="X51"/>
      <c r="Y51"/>
      <c r="Z51"/>
      <c r="AA51"/>
      <c r="AB51"/>
    </row>
    <row r="52" spans="1:28" x14ac:dyDescent="0.3">
      <c r="A52" s="2">
        <v>45530</v>
      </c>
      <c r="B52" s="68">
        <f t="shared" si="3"/>
        <v>13</v>
      </c>
      <c r="C52" s="3" t="s">
        <v>22</v>
      </c>
      <c r="D52" s="3">
        <v>9648</v>
      </c>
      <c r="E52" s="3">
        <v>1417</v>
      </c>
      <c r="F52" s="3">
        <v>385849</v>
      </c>
      <c r="G52" s="4">
        <v>3.6633501706626168</v>
      </c>
      <c r="H52" s="3">
        <v>24226</v>
      </c>
      <c r="I52" s="3" t="str">
        <f>'Task 3.1'!N75</f>
        <v>Brand Engagement</v>
      </c>
      <c r="J52" s="3">
        <f t="shared" si="2"/>
        <v>8231</v>
      </c>
      <c r="M52" s="69">
        <v>44</v>
      </c>
      <c r="N52">
        <v>6128</v>
      </c>
      <c r="O52">
        <v>1660</v>
      </c>
      <c r="P52">
        <v>6272</v>
      </c>
      <c r="Q52">
        <v>1567</v>
      </c>
      <c r="R52">
        <v>15627</v>
      </c>
      <c r="S52"/>
      <c r="T52"/>
      <c r="U52"/>
      <c r="V52"/>
      <c r="W52"/>
      <c r="X52"/>
      <c r="Y52"/>
      <c r="Z52"/>
      <c r="AA52"/>
      <c r="AB52"/>
    </row>
    <row r="53" spans="1:28" x14ac:dyDescent="0.3">
      <c r="A53" s="2">
        <v>45530</v>
      </c>
      <c r="B53" s="68">
        <f t="shared" si="3"/>
        <v>13</v>
      </c>
      <c r="C53" s="3" t="s">
        <v>13</v>
      </c>
      <c r="D53" s="3">
        <v>6078</v>
      </c>
      <c r="E53" s="3">
        <v>775</v>
      </c>
      <c r="F53" s="3">
        <v>391152</v>
      </c>
      <c r="G53" s="4">
        <v>37.760512537325639</v>
      </c>
      <c r="H53" s="3">
        <v>38731</v>
      </c>
      <c r="I53" s="3" t="str">
        <f>'Task 3.1'!N76</f>
        <v>Brand Engagement</v>
      </c>
      <c r="J53" s="3">
        <f t="shared" si="2"/>
        <v>5303</v>
      </c>
      <c r="M53" s="69">
        <v>45</v>
      </c>
      <c r="N53">
        <v>1425</v>
      </c>
      <c r="O53">
        <v>4542</v>
      </c>
      <c r="P53">
        <v>8319</v>
      </c>
      <c r="Q53">
        <v>6434</v>
      </c>
      <c r="R53">
        <v>20720</v>
      </c>
      <c r="S53"/>
      <c r="T53"/>
      <c r="U53"/>
      <c r="V53"/>
      <c r="W53"/>
      <c r="X53"/>
      <c r="Y53"/>
      <c r="Z53"/>
      <c r="AA53"/>
      <c r="AB53"/>
    </row>
    <row r="54" spans="1:28" x14ac:dyDescent="0.3">
      <c r="A54" s="2">
        <v>45537</v>
      </c>
      <c r="B54" s="68">
        <f t="shared" si="3"/>
        <v>14</v>
      </c>
      <c r="C54" s="3" t="s">
        <v>22</v>
      </c>
      <c r="D54" s="3">
        <v>6448</v>
      </c>
      <c r="E54" s="3">
        <v>928</v>
      </c>
      <c r="F54" s="3">
        <v>396672</v>
      </c>
      <c r="G54" s="4">
        <v>30.118586640851881</v>
      </c>
      <c r="H54" s="3">
        <v>53922</v>
      </c>
      <c r="I54" s="3" t="str">
        <f>'Task 3.1'!N77</f>
        <v>Product Launch</v>
      </c>
      <c r="J54" s="3">
        <f t="shared" si="2"/>
        <v>5520</v>
      </c>
      <c r="M54" s="69">
        <v>46</v>
      </c>
      <c r="N54"/>
      <c r="O54">
        <v>24995</v>
      </c>
      <c r="P54"/>
      <c r="Q54"/>
      <c r="R54">
        <v>24995</v>
      </c>
      <c r="S54"/>
      <c r="T54"/>
      <c r="U54"/>
      <c r="V54"/>
      <c r="W54"/>
      <c r="X54"/>
      <c r="Y54"/>
      <c r="Z54"/>
      <c r="AA54"/>
      <c r="AB54"/>
    </row>
    <row r="55" spans="1:28" x14ac:dyDescent="0.3">
      <c r="A55" s="2">
        <v>45537</v>
      </c>
      <c r="B55" s="68">
        <f t="shared" si="3"/>
        <v>14</v>
      </c>
      <c r="C55" s="3" t="s">
        <v>22</v>
      </c>
      <c r="D55" s="3">
        <v>2179</v>
      </c>
      <c r="E55" s="3">
        <v>303</v>
      </c>
      <c r="F55" s="3">
        <v>398548</v>
      </c>
      <c r="G55" s="4">
        <v>33.909842729106657</v>
      </c>
      <c r="H55" s="3">
        <v>54848</v>
      </c>
      <c r="I55" s="3" t="str">
        <f>'Task 3.1'!N78</f>
        <v>Product Launch</v>
      </c>
      <c r="J55" s="3">
        <f t="shared" si="2"/>
        <v>1876</v>
      </c>
      <c r="M55" s="69">
        <v>47</v>
      </c>
      <c r="N55">
        <v>15012</v>
      </c>
      <c r="O55"/>
      <c r="P55">
        <v>7058</v>
      </c>
      <c r="Q55"/>
      <c r="R55">
        <v>22070</v>
      </c>
      <c r="S55"/>
      <c r="T55"/>
      <c r="U55"/>
      <c r="V55"/>
      <c r="W55"/>
      <c r="X55"/>
      <c r="Y55"/>
      <c r="Z55"/>
      <c r="AA55"/>
      <c r="AB55"/>
    </row>
    <row r="56" spans="1:28" x14ac:dyDescent="0.3">
      <c r="A56" s="2">
        <v>45537</v>
      </c>
      <c r="B56" s="68">
        <f t="shared" si="3"/>
        <v>14</v>
      </c>
      <c r="C56" s="3" t="s">
        <v>40</v>
      </c>
      <c r="D56" s="3">
        <v>7406</v>
      </c>
      <c r="E56" s="3">
        <v>813</v>
      </c>
      <c r="F56" s="3">
        <v>405141</v>
      </c>
      <c r="G56" s="4">
        <v>24.457411123534769</v>
      </c>
      <c r="H56" s="3">
        <v>13390</v>
      </c>
      <c r="I56" s="3" t="str">
        <f>'Task 3.1'!N79</f>
        <v>Sustainability Branding</v>
      </c>
      <c r="J56" s="3">
        <f t="shared" si="2"/>
        <v>6593</v>
      </c>
      <c r="M56" s="69">
        <v>48</v>
      </c>
      <c r="N56"/>
      <c r="O56">
        <v>1512</v>
      </c>
      <c r="P56">
        <v>15937</v>
      </c>
      <c r="Q56"/>
      <c r="R56">
        <v>17449</v>
      </c>
      <c r="S56"/>
      <c r="T56"/>
      <c r="U56"/>
      <c r="V56"/>
      <c r="W56"/>
      <c r="X56"/>
      <c r="Y56"/>
      <c r="Z56"/>
      <c r="AA56"/>
      <c r="AB56"/>
    </row>
    <row r="57" spans="1:28" x14ac:dyDescent="0.3">
      <c r="A57" s="2">
        <v>45537</v>
      </c>
      <c r="B57" s="68">
        <f t="shared" si="3"/>
        <v>14</v>
      </c>
      <c r="C57" s="3" t="s">
        <v>18</v>
      </c>
      <c r="D57" s="3">
        <v>9591</v>
      </c>
      <c r="E57" s="3">
        <v>1363</v>
      </c>
      <c r="F57" s="3">
        <v>413369</v>
      </c>
      <c r="G57" s="4">
        <v>10.494255737609739</v>
      </c>
      <c r="H57" s="3">
        <v>15997</v>
      </c>
      <c r="I57" s="3" t="str">
        <f>'Task 3.1'!N80</f>
        <v>Sustainability Branding</v>
      </c>
      <c r="J57" s="3">
        <f t="shared" si="2"/>
        <v>8228</v>
      </c>
      <c r="M57" s="69">
        <v>49</v>
      </c>
      <c r="N57">
        <v>7959</v>
      </c>
      <c r="O57">
        <v>2960</v>
      </c>
      <c r="P57"/>
      <c r="Q57">
        <v>5210</v>
      </c>
      <c r="R57">
        <v>16129</v>
      </c>
      <c r="S57"/>
      <c r="T57"/>
      <c r="U57"/>
      <c r="V57"/>
      <c r="W57"/>
      <c r="X57"/>
      <c r="Y57"/>
      <c r="Z57"/>
      <c r="AA57"/>
      <c r="AB57"/>
    </row>
    <row r="58" spans="1:28" x14ac:dyDescent="0.3">
      <c r="A58" s="2">
        <v>45544</v>
      </c>
      <c r="B58" s="68">
        <f t="shared" si="3"/>
        <v>15</v>
      </c>
      <c r="C58" s="3" t="s">
        <v>22</v>
      </c>
      <c r="D58" s="3">
        <v>7907</v>
      </c>
      <c r="E58" s="3">
        <v>465</v>
      </c>
      <c r="F58" s="3">
        <v>420811</v>
      </c>
      <c r="G58" s="4">
        <v>33.257448118038738</v>
      </c>
      <c r="H58" s="3">
        <v>22693</v>
      </c>
      <c r="I58" s="3" t="str">
        <f>'Task 3.1'!N81</f>
        <v>Health &amp; Fitness Awareness</v>
      </c>
      <c r="J58" s="3">
        <f t="shared" si="2"/>
        <v>7442</v>
      </c>
      <c r="M58" s="69">
        <v>50</v>
      </c>
      <c r="N58">
        <v>2805</v>
      </c>
      <c r="O58">
        <v>8146</v>
      </c>
      <c r="P58">
        <v>7436</v>
      </c>
      <c r="Q58"/>
      <c r="R58">
        <v>18387</v>
      </c>
      <c r="S58"/>
      <c r="T58"/>
      <c r="U58"/>
      <c r="V58"/>
      <c r="W58"/>
      <c r="X58"/>
      <c r="Y58"/>
      <c r="Z58"/>
      <c r="AA58"/>
      <c r="AB58"/>
    </row>
    <row r="59" spans="1:28" x14ac:dyDescent="0.3">
      <c r="A59" s="2">
        <v>45544</v>
      </c>
      <c r="B59" s="68">
        <f t="shared" si="3"/>
        <v>15</v>
      </c>
      <c r="C59" s="3" t="s">
        <v>13</v>
      </c>
      <c r="D59" s="3">
        <v>9800</v>
      </c>
      <c r="E59" s="3">
        <v>682</v>
      </c>
      <c r="F59" s="3">
        <v>429929</v>
      </c>
      <c r="G59" s="4">
        <v>6.2966210699906267</v>
      </c>
      <c r="H59" s="3">
        <v>59815</v>
      </c>
      <c r="I59" s="3" t="str">
        <f>'Task 3.1'!N82</f>
        <v>Health &amp; Fitness Awareness</v>
      </c>
      <c r="J59" s="3">
        <f t="shared" si="2"/>
        <v>9118</v>
      </c>
      <c r="M59" s="69" t="s">
        <v>384</v>
      </c>
      <c r="N59">
        <v>261862</v>
      </c>
      <c r="O59">
        <v>290487</v>
      </c>
      <c r="P59">
        <v>303407</v>
      </c>
      <c r="Q59">
        <v>230642</v>
      </c>
      <c r="R59">
        <v>1086398</v>
      </c>
      <c r="S59"/>
      <c r="T59"/>
      <c r="U59"/>
      <c r="V59"/>
      <c r="W59"/>
      <c r="X59"/>
      <c r="Y59"/>
      <c r="Z59"/>
      <c r="AA59"/>
      <c r="AB59"/>
    </row>
    <row r="60" spans="1:28" x14ac:dyDescent="0.3">
      <c r="A60" s="2">
        <v>45544</v>
      </c>
      <c r="B60" s="68">
        <f t="shared" si="3"/>
        <v>15</v>
      </c>
      <c r="C60" s="3" t="s">
        <v>13</v>
      </c>
      <c r="D60" s="3">
        <v>2638</v>
      </c>
      <c r="E60" s="3">
        <v>143</v>
      </c>
      <c r="F60" s="3">
        <v>432424</v>
      </c>
      <c r="G60" s="4">
        <v>6.9547481175882924</v>
      </c>
      <c r="H60" s="3">
        <v>52092</v>
      </c>
      <c r="I60" s="3" t="str">
        <f>'Task 3.1'!N83</f>
        <v>Product Promotion</v>
      </c>
      <c r="J60" s="3">
        <f t="shared" si="2"/>
        <v>2495</v>
      </c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</row>
    <row r="61" spans="1:28" x14ac:dyDescent="0.3">
      <c r="A61" s="2">
        <v>45544</v>
      </c>
      <c r="B61" s="68">
        <f t="shared" si="3"/>
        <v>15</v>
      </c>
      <c r="C61" s="3" t="s">
        <v>18</v>
      </c>
      <c r="D61" s="3">
        <v>6671</v>
      </c>
      <c r="E61" s="3">
        <v>550</v>
      </c>
      <c r="F61" s="3">
        <v>438545</v>
      </c>
      <c r="G61" s="4">
        <v>17.750287883797562</v>
      </c>
      <c r="H61" s="3">
        <v>10541</v>
      </c>
      <c r="I61" s="3" t="str">
        <f>'Task 3.1'!N84</f>
        <v>Product Promotion</v>
      </c>
      <c r="J61" s="3">
        <f t="shared" si="2"/>
        <v>6121</v>
      </c>
      <c r="M61"/>
      <c r="N61"/>
      <c r="O61"/>
      <c r="P61"/>
      <c r="Q61"/>
      <c r="R61"/>
    </row>
    <row r="62" spans="1:28" x14ac:dyDescent="0.3">
      <c r="A62" s="2">
        <v>45551</v>
      </c>
      <c r="B62" s="68">
        <f t="shared" si="3"/>
        <v>16</v>
      </c>
      <c r="C62" s="3" t="s">
        <v>13</v>
      </c>
      <c r="D62" s="3">
        <v>7928</v>
      </c>
      <c r="E62" s="3">
        <v>704</v>
      </c>
      <c r="F62" s="3">
        <v>445769</v>
      </c>
      <c r="G62" s="4">
        <v>11.194362999670229</v>
      </c>
      <c r="H62" s="3">
        <v>31817</v>
      </c>
      <c r="I62" s="3" t="str">
        <f>'Task 3.1'!N85</f>
        <v>Product Promotion</v>
      </c>
      <c r="J62" s="3">
        <f t="shared" si="2"/>
        <v>7224</v>
      </c>
      <c r="M62"/>
      <c r="N62"/>
      <c r="O62"/>
      <c r="P62"/>
      <c r="Q62"/>
      <c r="R62"/>
    </row>
    <row r="63" spans="1:28" x14ac:dyDescent="0.3">
      <c r="A63" s="2">
        <v>45551</v>
      </c>
      <c r="B63" s="68">
        <f t="shared" si="3"/>
        <v>16</v>
      </c>
      <c r="C63" s="3" t="s">
        <v>18</v>
      </c>
      <c r="D63" s="3">
        <v>2382</v>
      </c>
      <c r="E63" s="3">
        <v>183</v>
      </c>
      <c r="F63" s="3">
        <v>447968</v>
      </c>
      <c r="G63" s="4">
        <v>4.7335970426459033</v>
      </c>
      <c r="H63" s="3">
        <v>47861</v>
      </c>
      <c r="I63" s="3" t="str">
        <f>'Task 3.1'!N86</f>
        <v>Product Promotion</v>
      </c>
      <c r="J63" s="3">
        <f t="shared" si="2"/>
        <v>2199</v>
      </c>
      <c r="M63"/>
      <c r="N63"/>
      <c r="O63"/>
      <c r="P63"/>
      <c r="Q63"/>
      <c r="R63"/>
    </row>
    <row r="64" spans="1:28" x14ac:dyDescent="0.3">
      <c r="A64" s="2">
        <v>45551</v>
      </c>
      <c r="B64" s="68">
        <f t="shared" si="3"/>
        <v>16</v>
      </c>
      <c r="C64" s="3" t="s">
        <v>13</v>
      </c>
      <c r="D64" s="3">
        <v>2403</v>
      </c>
      <c r="E64" s="3">
        <v>319</v>
      </c>
      <c r="F64" s="3">
        <v>450052</v>
      </c>
      <c r="G64" s="4">
        <v>29.92120910472568</v>
      </c>
      <c r="H64" s="3">
        <v>23428</v>
      </c>
      <c r="I64" s="3" t="str">
        <f>'Task 3.1'!N87</f>
        <v>Health &amp; Fitness Awareness</v>
      </c>
      <c r="J64" s="3">
        <f t="shared" si="2"/>
        <v>2084</v>
      </c>
      <c r="M64"/>
      <c r="N64"/>
      <c r="O64"/>
      <c r="P64"/>
      <c r="Q64"/>
      <c r="R64"/>
    </row>
    <row r="65" spans="1:18" x14ac:dyDescent="0.3">
      <c r="A65" s="2">
        <v>45551</v>
      </c>
      <c r="B65" s="68">
        <f t="shared" si="3"/>
        <v>16</v>
      </c>
      <c r="C65" s="3" t="s">
        <v>40</v>
      </c>
      <c r="D65" s="3">
        <v>4292</v>
      </c>
      <c r="E65" s="3">
        <v>367</v>
      </c>
      <c r="F65" s="3">
        <v>453977</v>
      </c>
      <c r="G65" s="4">
        <v>3.5037017293827661</v>
      </c>
      <c r="H65" s="3">
        <v>53934</v>
      </c>
      <c r="I65" s="3" t="str">
        <f>'Task 3.1'!N88</f>
        <v>Health &amp; Fitness Awareness</v>
      </c>
      <c r="J65" s="3">
        <f t="shared" si="2"/>
        <v>3925</v>
      </c>
      <c r="M65"/>
      <c r="N65"/>
      <c r="O65"/>
      <c r="P65"/>
      <c r="Q65"/>
      <c r="R65"/>
    </row>
    <row r="66" spans="1:18" x14ac:dyDescent="0.3">
      <c r="A66" s="2">
        <v>45558</v>
      </c>
      <c r="B66" s="68">
        <f t="shared" si="3"/>
        <v>17</v>
      </c>
      <c r="C66" s="3" t="s">
        <v>22</v>
      </c>
      <c r="D66" s="3">
        <v>1419</v>
      </c>
      <c r="E66" s="3">
        <v>110</v>
      </c>
      <c r="F66" s="3">
        <v>455286</v>
      </c>
      <c r="G66" s="4">
        <v>31.554451487636339</v>
      </c>
      <c r="H66" s="3">
        <v>58831</v>
      </c>
      <c r="I66" s="3" t="str">
        <f>'Task 3.1'!N89</f>
        <v>Brand Engagement</v>
      </c>
      <c r="J66" s="3">
        <f t="shared" ref="J66:J97" si="4">D66-E66</f>
        <v>1309</v>
      </c>
      <c r="M66"/>
      <c r="N66"/>
      <c r="O66"/>
      <c r="P66"/>
      <c r="Q66"/>
      <c r="R66"/>
    </row>
    <row r="67" spans="1:18" x14ac:dyDescent="0.3">
      <c r="A67" s="2">
        <v>45558</v>
      </c>
      <c r="B67" s="68">
        <f t="shared" ref="B67:B98" si="5">IF(A67=A66,B66,B66+1)</f>
        <v>17</v>
      </c>
      <c r="C67" s="3" t="s">
        <v>40</v>
      </c>
      <c r="D67" s="3">
        <v>5517</v>
      </c>
      <c r="E67" s="3">
        <v>575</v>
      </c>
      <c r="F67" s="3">
        <v>460228</v>
      </c>
      <c r="G67" s="4">
        <v>29.45844233727631</v>
      </c>
      <c r="H67" s="3">
        <v>20258</v>
      </c>
      <c r="I67" s="3" t="str">
        <f>'Task 3.1'!N90</f>
        <v>Brand Engagement</v>
      </c>
      <c r="J67" s="3">
        <f t="shared" si="4"/>
        <v>4942</v>
      </c>
      <c r="M67"/>
      <c r="N67"/>
      <c r="O67"/>
      <c r="P67"/>
      <c r="Q67"/>
      <c r="R67"/>
    </row>
    <row r="68" spans="1:18" x14ac:dyDescent="0.3">
      <c r="A68" s="2">
        <v>45558</v>
      </c>
      <c r="B68" s="68">
        <f t="shared" si="5"/>
        <v>17</v>
      </c>
      <c r="C68" s="3" t="s">
        <v>22</v>
      </c>
      <c r="D68" s="3">
        <v>4302</v>
      </c>
      <c r="E68" s="3">
        <v>275</v>
      </c>
      <c r="F68" s="3">
        <v>464255</v>
      </c>
      <c r="G68" s="4">
        <v>15.72131694865968</v>
      </c>
      <c r="H68" s="3">
        <v>26044</v>
      </c>
      <c r="I68" s="3" t="str">
        <f>'Task 3.1'!N91</f>
        <v>Sustainability Branding</v>
      </c>
      <c r="J68" s="3">
        <f t="shared" si="4"/>
        <v>4027</v>
      </c>
      <c r="M68"/>
      <c r="N68"/>
      <c r="O68"/>
      <c r="P68"/>
      <c r="Q68"/>
      <c r="R68"/>
    </row>
    <row r="69" spans="1:18" x14ac:dyDescent="0.3">
      <c r="A69" s="2">
        <v>45558</v>
      </c>
      <c r="B69" s="68">
        <f t="shared" si="5"/>
        <v>17</v>
      </c>
      <c r="C69" s="3" t="s">
        <v>22</v>
      </c>
      <c r="D69" s="3">
        <v>8857</v>
      </c>
      <c r="E69" s="3">
        <v>1153</v>
      </c>
      <c r="F69" s="3">
        <v>471959</v>
      </c>
      <c r="G69" s="4">
        <v>19.214592793018038</v>
      </c>
      <c r="H69" s="3">
        <v>39411</v>
      </c>
      <c r="I69" s="3" t="str">
        <f>'Task 3.1'!N92</f>
        <v>Sustainability Branding</v>
      </c>
      <c r="J69" s="3">
        <f t="shared" si="4"/>
        <v>7704</v>
      </c>
      <c r="M69"/>
      <c r="N69"/>
      <c r="O69"/>
      <c r="P69"/>
      <c r="Q69"/>
      <c r="R69"/>
    </row>
    <row r="70" spans="1:18" x14ac:dyDescent="0.3">
      <c r="A70" s="2">
        <v>45565</v>
      </c>
      <c r="B70" s="68">
        <f t="shared" si="5"/>
        <v>18</v>
      </c>
      <c r="C70" s="3" t="s">
        <v>22</v>
      </c>
      <c r="D70" s="3">
        <v>8870</v>
      </c>
      <c r="E70" s="3">
        <v>509</v>
      </c>
      <c r="F70" s="3">
        <v>480320</v>
      </c>
      <c r="G70" s="4">
        <v>25.077864756828781</v>
      </c>
      <c r="H70" s="3">
        <v>15469</v>
      </c>
      <c r="I70" s="3" t="str">
        <f>'Task 3.1'!N93</f>
        <v>Product Promotion</v>
      </c>
      <c r="J70" s="3">
        <f t="shared" si="4"/>
        <v>8361</v>
      </c>
      <c r="M70"/>
      <c r="N70"/>
      <c r="O70"/>
      <c r="P70"/>
      <c r="Q70"/>
      <c r="R70"/>
    </row>
    <row r="71" spans="1:18" x14ac:dyDescent="0.3">
      <c r="A71" s="2">
        <v>45565</v>
      </c>
      <c r="B71" s="68">
        <f t="shared" si="5"/>
        <v>18</v>
      </c>
      <c r="C71" s="3" t="s">
        <v>40</v>
      </c>
      <c r="D71" s="3">
        <v>6693</v>
      </c>
      <c r="E71" s="3">
        <v>995</v>
      </c>
      <c r="F71" s="3">
        <v>486018</v>
      </c>
      <c r="G71" s="4">
        <v>23.761877132122681</v>
      </c>
      <c r="H71" s="3">
        <v>38854</v>
      </c>
      <c r="I71" s="3" t="str">
        <f>'Task 3.1'!N94</f>
        <v>Product Promotion</v>
      </c>
      <c r="J71" s="3">
        <f t="shared" si="4"/>
        <v>5698</v>
      </c>
      <c r="M71"/>
      <c r="N71"/>
      <c r="O71"/>
      <c r="P71"/>
      <c r="Q71"/>
      <c r="R71"/>
    </row>
    <row r="72" spans="1:18" x14ac:dyDescent="0.3">
      <c r="A72" s="2">
        <v>45565</v>
      </c>
      <c r="B72" s="68">
        <f t="shared" si="5"/>
        <v>18</v>
      </c>
      <c r="C72" s="3" t="s">
        <v>22</v>
      </c>
      <c r="D72" s="3">
        <v>1767</v>
      </c>
      <c r="E72" s="3">
        <v>224</v>
      </c>
      <c r="F72" s="3">
        <v>487561</v>
      </c>
      <c r="G72" s="4">
        <v>13.208603641390511</v>
      </c>
      <c r="H72" s="3">
        <v>16256</v>
      </c>
      <c r="I72" s="3" t="str">
        <f>'Task 3.1'!N95</f>
        <v>Sustainability Branding</v>
      </c>
      <c r="J72" s="3">
        <f t="shared" si="4"/>
        <v>1543</v>
      </c>
      <c r="M72"/>
      <c r="N72"/>
      <c r="O72"/>
      <c r="P72"/>
      <c r="Q72"/>
      <c r="R72"/>
    </row>
    <row r="73" spans="1:18" x14ac:dyDescent="0.3">
      <c r="A73" s="2">
        <v>45565</v>
      </c>
      <c r="B73" s="68">
        <f t="shared" si="5"/>
        <v>18</v>
      </c>
      <c r="C73" s="3" t="s">
        <v>40</v>
      </c>
      <c r="D73" s="3">
        <v>3044</v>
      </c>
      <c r="E73" s="3">
        <v>212</v>
      </c>
      <c r="F73" s="3">
        <v>490393</v>
      </c>
      <c r="G73" s="4">
        <v>8.5343795690395261</v>
      </c>
      <c r="H73" s="3">
        <v>20720</v>
      </c>
      <c r="I73" s="3" t="str">
        <f>'Task 3.1'!N96</f>
        <v>Sustainability Branding</v>
      </c>
      <c r="J73" s="3">
        <f t="shared" si="4"/>
        <v>2832</v>
      </c>
      <c r="M73"/>
      <c r="N73"/>
      <c r="O73"/>
      <c r="P73"/>
      <c r="Q73"/>
      <c r="R73"/>
    </row>
    <row r="74" spans="1:18" x14ac:dyDescent="0.3">
      <c r="A74" s="2">
        <v>45572</v>
      </c>
      <c r="B74" s="68">
        <f t="shared" si="5"/>
        <v>19</v>
      </c>
      <c r="C74" s="3" t="s">
        <v>18</v>
      </c>
      <c r="D74" s="3">
        <v>2549</v>
      </c>
      <c r="E74" s="3">
        <v>128</v>
      </c>
      <c r="F74" s="3">
        <v>492814</v>
      </c>
      <c r="G74" s="4">
        <v>12.734216154573531</v>
      </c>
      <c r="H74" s="3">
        <v>43937</v>
      </c>
      <c r="I74" s="3" t="str">
        <f>'Task 3.1'!N97</f>
        <v>Health &amp; Fitness Awareness</v>
      </c>
      <c r="J74" s="3">
        <f t="shared" si="4"/>
        <v>2421</v>
      </c>
      <c r="M74"/>
      <c r="N74"/>
      <c r="O74"/>
      <c r="P74"/>
      <c r="Q74"/>
      <c r="R74"/>
    </row>
    <row r="75" spans="1:18" x14ac:dyDescent="0.3">
      <c r="A75" s="2">
        <v>45572</v>
      </c>
      <c r="B75" s="68">
        <f t="shared" si="5"/>
        <v>19</v>
      </c>
      <c r="C75" s="3" t="s">
        <v>13</v>
      </c>
      <c r="D75" s="3">
        <v>7140</v>
      </c>
      <c r="E75" s="3">
        <v>939</v>
      </c>
      <c r="F75" s="3">
        <v>499015</v>
      </c>
      <c r="G75" s="4">
        <v>25.120888149654821</v>
      </c>
      <c r="H75" s="3">
        <v>43598</v>
      </c>
      <c r="I75" s="3" t="str">
        <f>'Task 3.1'!N98</f>
        <v>Health &amp; Fitness Awareness</v>
      </c>
      <c r="J75" s="3">
        <f t="shared" si="4"/>
        <v>6201</v>
      </c>
      <c r="M75"/>
      <c r="N75"/>
      <c r="O75"/>
      <c r="P75"/>
      <c r="Q75"/>
      <c r="R75"/>
    </row>
    <row r="76" spans="1:18" x14ac:dyDescent="0.3">
      <c r="A76" s="2">
        <v>45572</v>
      </c>
      <c r="B76" s="68">
        <f t="shared" si="5"/>
        <v>19</v>
      </c>
      <c r="C76" s="3" t="s">
        <v>13</v>
      </c>
      <c r="D76" s="3">
        <v>4716</v>
      </c>
      <c r="E76" s="3">
        <v>569</v>
      </c>
      <c r="F76" s="3">
        <v>503162</v>
      </c>
      <c r="G76" s="4">
        <v>25.64820077827817</v>
      </c>
      <c r="H76" s="3">
        <v>11651</v>
      </c>
      <c r="I76" s="3" t="str">
        <f>'Task 3.1'!N99</f>
        <v>Sustainability Branding</v>
      </c>
      <c r="J76" s="3">
        <f t="shared" si="4"/>
        <v>4147</v>
      </c>
      <c r="M76"/>
      <c r="N76"/>
      <c r="O76"/>
      <c r="P76"/>
      <c r="Q76"/>
      <c r="R76"/>
    </row>
    <row r="77" spans="1:18" x14ac:dyDescent="0.3">
      <c r="A77" s="2">
        <v>45572</v>
      </c>
      <c r="B77" s="68">
        <f t="shared" si="5"/>
        <v>19</v>
      </c>
      <c r="C77" s="3" t="s">
        <v>22</v>
      </c>
      <c r="D77" s="3">
        <v>5481</v>
      </c>
      <c r="E77" s="3">
        <v>673</v>
      </c>
      <c r="F77" s="3">
        <v>507970</v>
      </c>
      <c r="G77" s="4">
        <v>13.08758391243577</v>
      </c>
      <c r="H77" s="3">
        <v>29194</v>
      </c>
      <c r="I77" s="3" t="str">
        <f>'Task 3.1'!N100</f>
        <v>Sustainability Branding</v>
      </c>
      <c r="J77" s="3">
        <f t="shared" si="4"/>
        <v>4808</v>
      </c>
      <c r="M77"/>
      <c r="N77"/>
      <c r="O77"/>
      <c r="P77"/>
      <c r="Q77"/>
      <c r="R77"/>
    </row>
    <row r="78" spans="1:18" x14ac:dyDescent="0.3">
      <c r="A78" s="2">
        <v>45579</v>
      </c>
      <c r="B78" s="68">
        <f t="shared" si="5"/>
        <v>20</v>
      </c>
      <c r="C78" s="3" t="s">
        <v>40</v>
      </c>
      <c r="D78" s="3">
        <v>8898</v>
      </c>
      <c r="E78" s="3">
        <v>1131</v>
      </c>
      <c r="F78" s="3">
        <v>515737</v>
      </c>
      <c r="G78" s="4">
        <v>2.1877429775253669</v>
      </c>
      <c r="H78" s="3">
        <v>35051</v>
      </c>
      <c r="I78" s="3" t="str">
        <f>'Task 3.1'!N101</f>
        <v>Brand Engagement</v>
      </c>
      <c r="J78" s="3">
        <f t="shared" si="4"/>
        <v>7767</v>
      </c>
      <c r="M78"/>
      <c r="N78"/>
      <c r="O78"/>
      <c r="P78"/>
      <c r="Q78"/>
      <c r="R78"/>
    </row>
    <row r="79" spans="1:18" x14ac:dyDescent="0.3">
      <c r="A79" s="2">
        <v>45579</v>
      </c>
      <c r="B79" s="68">
        <f t="shared" si="5"/>
        <v>20</v>
      </c>
      <c r="C79" s="3" t="s">
        <v>13</v>
      </c>
      <c r="D79" s="3">
        <v>7548</v>
      </c>
      <c r="E79" s="3">
        <v>433</v>
      </c>
      <c r="F79" s="3">
        <v>522852</v>
      </c>
      <c r="G79" s="4">
        <v>8.3562843787534522</v>
      </c>
      <c r="H79" s="3">
        <v>37386</v>
      </c>
      <c r="I79" s="3" t="str">
        <f>'Task 3.1'!N102</f>
        <v>Brand Engagement</v>
      </c>
      <c r="J79" s="3">
        <f t="shared" si="4"/>
        <v>7115</v>
      </c>
      <c r="M79"/>
      <c r="N79"/>
      <c r="O79"/>
      <c r="P79"/>
      <c r="Q79"/>
      <c r="R79"/>
    </row>
    <row r="80" spans="1:18" x14ac:dyDescent="0.3">
      <c r="A80" s="2">
        <v>45579</v>
      </c>
      <c r="B80" s="68">
        <f t="shared" si="5"/>
        <v>20</v>
      </c>
      <c r="C80" s="3" t="s">
        <v>40</v>
      </c>
      <c r="D80" s="3">
        <v>3293</v>
      </c>
      <c r="E80" s="3">
        <v>282</v>
      </c>
      <c r="F80" s="3">
        <v>525863</v>
      </c>
      <c r="G80" s="4">
        <v>27.040693108281051</v>
      </c>
      <c r="H80" s="3">
        <v>19518</v>
      </c>
      <c r="I80" s="3" t="str">
        <f>'Task 3.1'!N103</f>
        <v>Health &amp; Fitness Awareness</v>
      </c>
      <c r="J80" s="3">
        <f t="shared" si="4"/>
        <v>3011</v>
      </c>
      <c r="M80"/>
      <c r="N80"/>
      <c r="O80"/>
      <c r="P80"/>
      <c r="Q80"/>
      <c r="R80"/>
    </row>
    <row r="81" spans="1:18" x14ac:dyDescent="0.3">
      <c r="A81" s="2">
        <v>45579</v>
      </c>
      <c r="B81" s="68">
        <f t="shared" si="5"/>
        <v>20</v>
      </c>
      <c r="C81" s="3" t="s">
        <v>40</v>
      </c>
      <c r="D81" s="3">
        <v>5837</v>
      </c>
      <c r="E81" s="3">
        <v>359</v>
      </c>
      <c r="F81" s="3">
        <v>531341</v>
      </c>
      <c r="G81" s="4">
        <v>6.8073045370110723</v>
      </c>
      <c r="H81" s="3">
        <v>56026</v>
      </c>
      <c r="I81" s="3" t="str">
        <f>'Task 3.1'!N104</f>
        <v>Health &amp; Fitness Awareness</v>
      </c>
      <c r="J81" s="3">
        <f t="shared" si="4"/>
        <v>5478</v>
      </c>
      <c r="M81"/>
      <c r="N81"/>
      <c r="O81"/>
      <c r="P81"/>
      <c r="Q81"/>
      <c r="R81"/>
    </row>
    <row r="82" spans="1:18" x14ac:dyDescent="0.3">
      <c r="A82" s="2">
        <v>45586</v>
      </c>
      <c r="B82" s="68">
        <f t="shared" si="5"/>
        <v>21</v>
      </c>
      <c r="C82" s="3" t="s">
        <v>22</v>
      </c>
      <c r="D82" s="3">
        <v>8758</v>
      </c>
      <c r="E82" s="3">
        <v>1193</v>
      </c>
      <c r="F82" s="3">
        <v>538906</v>
      </c>
      <c r="G82" s="4">
        <v>3.4213758985797149</v>
      </c>
      <c r="H82" s="3">
        <v>26184</v>
      </c>
      <c r="I82" s="3" t="str">
        <f>'Task 3.1'!N105</f>
        <v>Health &amp; Fitness Awareness</v>
      </c>
      <c r="J82" s="3">
        <f t="shared" si="4"/>
        <v>7565</v>
      </c>
      <c r="M82"/>
      <c r="N82"/>
      <c r="O82"/>
      <c r="P82"/>
      <c r="Q82"/>
      <c r="R82"/>
    </row>
    <row r="83" spans="1:18" x14ac:dyDescent="0.3">
      <c r="A83" s="2">
        <v>45586</v>
      </c>
      <c r="B83" s="68">
        <f t="shared" si="5"/>
        <v>21</v>
      </c>
      <c r="C83" s="3" t="s">
        <v>13</v>
      </c>
      <c r="D83" s="3">
        <v>7793</v>
      </c>
      <c r="E83" s="3">
        <v>875</v>
      </c>
      <c r="F83" s="3">
        <v>545824</v>
      </c>
      <c r="G83" s="4">
        <v>5.5136820660139527</v>
      </c>
      <c r="H83" s="3">
        <v>43787</v>
      </c>
      <c r="I83" s="3" t="str">
        <f>'Task 3.1'!N106</f>
        <v>Sustainability Branding</v>
      </c>
      <c r="J83" s="3">
        <f t="shared" si="4"/>
        <v>6918</v>
      </c>
      <c r="M83"/>
      <c r="N83"/>
      <c r="O83"/>
      <c r="P83"/>
      <c r="Q83"/>
      <c r="R83"/>
    </row>
    <row r="84" spans="1:18" x14ac:dyDescent="0.3">
      <c r="A84" s="2">
        <v>45586</v>
      </c>
      <c r="B84" s="68">
        <f t="shared" si="5"/>
        <v>21</v>
      </c>
      <c r="C84" s="3" t="s">
        <v>22</v>
      </c>
      <c r="D84" s="3">
        <v>8638</v>
      </c>
      <c r="E84" s="3">
        <v>717</v>
      </c>
      <c r="F84" s="3">
        <v>553745</v>
      </c>
      <c r="G84" s="4">
        <v>26.921416897669499</v>
      </c>
      <c r="H84" s="3">
        <v>31621</v>
      </c>
      <c r="I84" s="3" t="str">
        <f>'Task 3.1'!N107</f>
        <v>Sustainability Branding</v>
      </c>
      <c r="J84" s="3">
        <f t="shared" si="4"/>
        <v>7921</v>
      </c>
      <c r="M84"/>
      <c r="N84"/>
      <c r="O84"/>
      <c r="P84"/>
      <c r="Q84"/>
      <c r="R84"/>
    </row>
    <row r="85" spans="1:18" x14ac:dyDescent="0.3">
      <c r="A85" s="2">
        <v>45586</v>
      </c>
      <c r="B85" s="68">
        <f t="shared" si="5"/>
        <v>21</v>
      </c>
      <c r="C85" s="3" t="s">
        <v>22</v>
      </c>
      <c r="D85" s="3">
        <v>8993</v>
      </c>
      <c r="E85" s="3">
        <v>506</v>
      </c>
      <c r="F85" s="3">
        <v>562232</v>
      </c>
      <c r="G85" s="4">
        <v>3.5131404829323132</v>
      </c>
      <c r="H85" s="3">
        <v>20028</v>
      </c>
      <c r="I85" s="3" t="str">
        <f>'Task 3.1'!N108</f>
        <v>Product Launch</v>
      </c>
      <c r="J85" s="3">
        <f t="shared" si="4"/>
        <v>8487</v>
      </c>
      <c r="M85"/>
      <c r="N85"/>
      <c r="O85"/>
      <c r="P85"/>
      <c r="Q85"/>
      <c r="R85"/>
    </row>
    <row r="86" spans="1:18" x14ac:dyDescent="0.3">
      <c r="A86" s="2">
        <v>45593</v>
      </c>
      <c r="B86" s="68">
        <f t="shared" si="5"/>
        <v>22</v>
      </c>
      <c r="C86" s="3" t="s">
        <v>13</v>
      </c>
      <c r="D86" s="3">
        <v>7007</v>
      </c>
      <c r="E86" s="3">
        <v>568</v>
      </c>
      <c r="F86" s="3">
        <v>568671</v>
      </c>
      <c r="G86" s="4">
        <v>11.50507059442103</v>
      </c>
      <c r="H86" s="3">
        <v>22448</v>
      </c>
      <c r="I86" s="3" t="str">
        <f>'Task 3.1'!N109</f>
        <v>Product Launch</v>
      </c>
      <c r="J86" s="3">
        <f t="shared" si="4"/>
        <v>6439</v>
      </c>
      <c r="M86"/>
      <c r="N86"/>
      <c r="O86"/>
      <c r="P86"/>
      <c r="Q86"/>
      <c r="R86"/>
    </row>
    <row r="87" spans="1:18" x14ac:dyDescent="0.3">
      <c r="A87" s="2">
        <v>45593</v>
      </c>
      <c r="B87" s="68">
        <f t="shared" si="5"/>
        <v>22</v>
      </c>
      <c r="C87" s="3" t="s">
        <v>13</v>
      </c>
      <c r="D87" s="3">
        <v>6542</v>
      </c>
      <c r="E87" s="3">
        <v>539</v>
      </c>
      <c r="F87" s="3">
        <v>574674</v>
      </c>
      <c r="G87" s="4">
        <v>6.4069368024305948</v>
      </c>
      <c r="H87" s="3">
        <v>55253</v>
      </c>
      <c r="I87" s="3" t="str">
        <f>'Task 3.1'!N110</f>
        <v>Health &amp; Fitness Awareness</v>
      </c>
      <c r="J87" s="3">
        <f t="shared" si="4"/>
        <v>6003</v>
      </c>
      <c r="M87"/>
      <c r="N87"/>
      <c r="O87"/>
      <c r="P87"/>
      <c r="Q87"/>
      <c r="R87"/>
    </row>
    <row r="88" spans="1:18" x14ac:dyDescent="0.3">
      <c r="A88" s="2">
        <v>45593</v>
      </c>
      <c r="B88" s="68">
        <f t="shared" si="5"/>
        <v>22</v>
      </c>
      <c r="C88" s="3" t="s">
        <v>18</v>
      </c>
      <c r="D88" s="3">
        <v>7356</v>
      </c>
      <c r="E88" s="3">
        <v>904</v>
      </c>
      <c r="F88" s="3">
        <v>581126</v>
      </c>
      <c r="G88" s="4">
        <v>17.560907617280929</v>
      </c>
      <c r="H88" s="3">
        <v>44051</v>
      </c>
      <c r="I88" s="3" t="str">
        <f>'Task 3.1'!N111</f>
        <v>Health &amp; Fitness Awareness</v>
      </c>
      <c r="J88" s="3">
        <f t="shared" si="4"/>
        <v>6452</v>
      </c>
      <c r="M88"/>
      <c r="N88"/>
      <c r="O88"/>
      <c r="P88"/>
      <c r="Q88"/>
      <c r="R88"/>
    </row>
    <row r="89" spans="1:18" x14ac:dyDescent="0.3">
      <c r="A89" s="2">
        <v>45593</v>
      </c>
      <c r="B89" s="68">
        <f t="shared" si="5"/>
        <v>22</v>
      </c>
      <c r="C89" s="3" t="s">
        <v>18</v>
      </c>
      <c r="D89" s="3">
        <v>9433</v>
      </c>
      <c r="E89" s="3">
        <v>1073</v>
      </c>
      <c r="F89" s="3">
        <v>589486</v>
      </c>
      <c r="G89" s="4">
        <v>7.2934726185185053</v>
      </c>
      <c r="H89" s="3">
        <v>59811</v>
      </c>
      <c r="I89" s="3" t="str">
        <f>'Task 3.1'!N112</f>
        <v>Brand Engagement</v>
      </c>
      <c r="J89" s="3">
        <f t="shared" si="4"/>
        <v>8360</v>
      </c>
      <c r="M89"/>
      <c r="N89"/>
      <c r="O89"/>
      <c r="P89"/>
      <c r="Q89"/>
      <c r="R89"/>
    </row>
    <row r="90" spans="1:18" x14ac:dyDescent="0.3">
      <c r="A90" s="2">
        <v>45600</v>
      </c>
      <c r="B90" s="68">
        <f t="shared" si="5"/>
        <v>23</v>
      </c>
      <c r="C90" s="3" t="s">
        <v>40</v>
      </c>
      <c r="D90" s="3">
        <v>8380</v>
      </c>
      <c r="E90" s="3">
        <v>1162</v>
      </c>
      <c r="F90" s="3">
        <v>596704</v>
      </c>
      <c r="G90" s="4">
        <v>18.05853488496809</v>
      </c>
      <c r="H90" s="3">
        <v>40447</v>
      </c>
      <c r="I90" s="3" t="str">
        <f>'Task 3.1'!N113</f>
        <v>Brand Engagement</v>
      </c>
      <c r="J90" s="3">
        <f t="shared" si="4"/>
        <v>7218</v>
      </c>
      <c r="M90"/>
      <c r="N90"/>
      <c r="O90"/>
      <c r="P90"/>
      <c r="Q90"/>
      <c r="R90"/>
    </row>
    <row r="91" spans="1:18" x14ac:dyDescent="0.3">
      <c r="A91" s="2">
        <v>45600</v>
      </c>
      <c r="B91" s="68">
        <f t="shared" si="5"/>
        <v>23</v>
      </c>
      <c r="C91" s="3" t="s">
        <v>13</v>
      </c>
      <c r="D91" s="3">
        <v>3385</v>
      </c>
      <c r="E91" s="3">
        <v>329</v>
      </c>
      <c r="F91" s="3">
        <v>599760</v>
      </c>
      <c r="G91" s="4">
        <v>17.61788048552755</v>
      </c>
      <c r="H91" s="3">
        <v>28394</v>
      </c>
      <c r="I91" s="3" t="str">
        <f>'Task 3.1'!N114</f>
        <v>Product Launch</v>
      </c>
      <c r="J91" s="3">
        <f t="shared" si="4"/>
        <v>3056</v>
      </c>
      <c r="M91"/>
      <c r="N91"/>
      <c r="O91"/>
      <c r="P91"/>
      <c r="Q91"/>
      <c r="R91"/>
    </row>
    <row r="92" spans="1:18" x14ac:dyDescent="0.3">
      <c r="A92" s="2">
        <v>45600</v>
      </c>
      <c r="B92" s="68">
        <f t="shared" si="5"/>
        <v>23</v>
      </c>
      <c r="C92" s="3" t="s">
        <v>18</v>
      </c>
      <c r="D92" s="3">
        <v>5268</v>
      </c>
      <c r="E92" s="3">
        <v>326</v>
      </c>
      <c r="F92" s="3">
        <v>604702</v>
      </c>
      <c r="G92" s="4">
        <v>23.435841125050029</v>
      </c>
      <c r="H92" s="3">
        <v>44501</v>
      </c>
      <c r="I92" s="3" t="str">
        <f>'Task 3.1'!N115</f>
        <v>Product Launch</v>
      </c>
      <c r="J92" s="3">
        <f t="shared" si="4"/>
        <v>4942</v>
      </c>
      <c r="M92"/>
      <c r="N92"/>
      <c r="O92"/>
      <c r="P92"/>
      <c r="Q92"/>
      <c r="R92"/>
    </row>
    <row r="93" spans="1:18" x14ac:dyDescent="0.3">
      <c r="A93" s="2">
        <v>45600</v>
      </c>
      <c r="B93" s="68">
        <f t="shared" si="5"/>
        <v>23</v>
      </c>
      <c r="C93" s="3" t="s">
        <v>40</v>
      </c>
      <c r="D93" s="3">
        <v>1671</v>
      </c>
      <c r="E93" s="3">
        <v>202</v>
      </c>
      <c r="F93" s="3">
        <v>606171</v>
      </c>
      <c r="G93" s="4">
        <v>15.150015424690389</v>
      </c>
      <c r="H93" s="3">
        <v>40254</v>
      </c>
      <c r="I93" s="3" t="str">
        <f>'Task 3.1'!N116</f>
        <v>Health &amp; Fitness Awareness</v>
      </c>
      <c r="J93" s="3">
        <f t="shared" si="4"/>
        <v>1469</v>
      </c>
      <c r="M93"/>
      <c r="N93"/>
      <c r="O93"/>
      <c r="P93"/>
      <c r="Q93"/>
      <c r="R93"/>
    </row>
    <row r="94" spans="1:18" x14ac:dyDescent="0.3">
      <c r="A94" s="2">
        <v>45607</v>
      </c>
      <c r="B94" s="68">
        <f t="shared" si="5"/>
        <v>24</v>
      </c>
      <c r="C94" s="3" t="s">
        <v>40</v>
      </c>
      <c r="D94" s="3">
        <v>1163</v>
      </c>
      <c r="E94" s="3">
        <v>146</v>
      </c>
      <c r="F94" s="3">
        <v>607188</v>
      </c>
      <c r="G94" s="4">
        <v>21.77776899411715</v>
      </c>
      <c r="H94" s="3">
        <v>28509</v>
      </c>
      <c r="I94" s="3" t="str">
        <f>'Task 3.1'!N117</f>
        <v>Health &amp; Fitness Awareness</v>
      </c>
      <c r="J94" s="3">
        <f t="shared" si="4"/>
        <v>1017</v>
      </c>
      <c r="M94"/>
      <c r="N94"/>
      <c r="O94"/>
      <c r="P94"/>
      <c r="Q94"/>
      <c r="R94"/>
    </row>
    <row r="95" spans="1:18" x14ac:dyDescent="0.3">
      <c r="A95" s="2">
        <v>45607</v>
      </c>
      <c r="B95" s="68">
        <f t="shared" si="5"/>
        <v>24</v>
      </c>
      <c r="C95" s="3" t="s">
        <v>40</v>
      </c>
      <c r="D95" s="3">
        <v>9656</v>
      </c>
      <c r="E95" s="3">
        <v>1024</v>
      </c>
      <c r="F95" s="3">
        <v>615820</v>
      </c>
      <c r="G95" s="4">
        <v>8.7252768666168681</v>
      </c>
      <c r="H95" s="3">
        <v>58998</v>
      </c>
      <c r="I95" s="3" t="str">
        <f>'Task 3.1'!N118</f>
        <v>Product Promotion</v>
      </c>
      <c r="J95" s="3">
        <f t="shared" si="4"/>
        <v>8632</v>
      </c>
      <c r="M95"/>
      <c r="N95"/>
      <c r="O95"/>
      <c r="P95"/>
      <c r="Q95"/>
      <c r="R95"/>
    </row>
    <row r="96" spans="1:18" x14ac:dyDescent="0.3">
      <c r="A96" s="2">
        <v>45607</v>
      </c>
      <c r="B96" s="68">
        <f t="shared" si="5"/>
        <v>24</v>
      </c>
      <c r="C96" s="3" t="s">
        <v>18</v>
      </c>
      <c r="D96" s="3">
        <v>5592</v>
      </c>
      <c r="E96" s="3">
        <v>710</v>
      </c>
      <c r="F96" s="3">
        <v>620702</v>
      </c>
      <c r="G96" s="4">
        <v>9.07118069540617</v>
      </c>
      <c r="H96" s="3">
        <v>24472</v>
      </c>
      <c r="I96" s="3" t="str">
        <f>'Task 3.1'!N119</f>
        <v>Product Promotion</v>
      </c>
      <c r="J96" s="3">
        <f t="shared" si="4"/>
        <v>4882</v>
      </c>
      <c r="M96"/>
      <c r="N96"/>
      <c r="O96"/>
      <c r="P96"/>
      <c r="Q96"/>
      <c r="R96"/>
    </row>
    <row r="97" spans="1:18" x14ac:dyDescent="0.3">
      <c r="A97" s="2">
        <v>45607</v>
      </c>
      <c r="B97" s="68">
        <f t="shared" si="5"/>
        <v>24</v>
      </c>
      <c r="C97" s="3" t="s">
        <v>13</v>
      </c>
      <c r="D97" s="3">
        <v>5795</v>
      </c>
      <c r="E97" s="3">
        <v>575</v>
      </c>
      <c r="F97" s="3">
        <v>625922</v>
      </c>
      <c r="G97" s="4">
        <v>3.0908004511744269</v>
      </c>
      <c r="H97" s="3">
        <v>55657</v>
      </c>
      <c r="I97" s="3" t="str">
        <f>'Task 3.1'!N120</f>
        <v>Product Launch</v>
      </c>
      <c r="J97" s="3">
        <f t="shared" si="4"/>
        <v>5220</v>
      </c>
      <c r="M97"/>
      <c r="N97"/>
      <c r="O97"/>
      <c r="P97"/>
      <c r="Q97"/>
      <c r="R97"/>
    </row>
    <row r="98" spans="1:18" x14ac:dyDescent="0.3">
      <c r="A98" s="2">
        <v>45614</v>
      </c>
      <c r="B98" s="68">
        <f t="shared" si="5"/>
        <v>25</v>
      </c>
      <c r="C98" s="3" t="s">
        <v>22</v>
      </c>
      <c r="D98" s="3">
        <v>5798</v>
      </c>
      <c r="E98" s="3">
        <v>592</v>
      </c>
      <c r="F98" s="3">
        <v>631128</v>
      </c>
      <c r="G98" s="4">
        <v>1.6774727155188811</v>
      </c>
      <c r="H98" s="3">
        <v>13471</v>
      </c>
      <c r="I98" s="3" t="str">
        <f>'Task 3.1'!N121</f>
        <v>Product Launch</v>
      </c>
      <c r="J98" s="3">
        <f t="shared" ref="J98:J129" si="6">D98-E98</f>
        <v>5206</v>
      </c>
      <c r="M98"/>
      <c r="N98"/>
      <c r="O98"/>
      <c r="P98"/>
      <c r="Q98"/>
      <c r="R98"/>
    </row>
    <row r="99" spans="1:18" x14ac:dyDescent="0.3">
      <c r="A99" s="2">
        <v>45614</v>
      </c>
      <c r="B99" s="68">
        <f t="shared" ref="B99:B130" si="7">IF(A99=A98,B98,B98+1)</f>
        <v>25</v>
      </c>
      <c r="C99" s="3" t="s">
        <v>40</v>
      </c>
      <c r="D99" s="3">
        <v>7036</v>
      </c>
      <c r="E99" s="3">
        <v>652</v>
      </c>
      <c r="F99" s="3">
        <v>637512</v>
      </c>
      <c r="G99" s="4">
        <v>3.5705994553828009</v>
      </c>
      <c r="H99" s="3">
        <v>51796</v>
      </c>
      <c r="I99" s="3" t="str">
        <f>'Task 3.1'!N122</f>
        <v>Brand Engagement</v>
      </c>
      <c r="J99" s="3">
        <f t="shared" si="6"/>
        <v>6384</v>
      </c>
      <c r="M99"/>
      <c r="N99"/>
      <c r="O99"/>
      <c r="P99"/>
      <c r="Q99"/>
      <c r="R99"/>
    </row>
    <row r="100" spans="1:18" x14ac:dyDescent="0.3">
      <c r="A100" s="2">
        <v>45614</v>
      </c>
      <c r="B100" s="68">
        <f t="shared" si="7"/>
        <v>25</v>
      </c>
      <c r="C100" s="3" t="s">
        <v>18</v>
      </c>
      <c r="D100" s="3">
        <v>3355</v>
      </c>
      <c r="E100" s="3">
        <v>176</v>
      </c>
      <c r="F100" s="3">
        <v>640691</v>
      </c>
      <c r="G100" s="4">
        <v>12.426427091999111</v>
      </c>
      <c r="H100" s="3">
        <v>40268</v>
      </c>
      <c r="I100" s="3" t="str">
        <f>'Task 3.1'!N123</f>
        <v>Brand Engagement</v>
      </c>
      <c r="J100" s="3">
        <f t="shared" si="6"/>
        <v>3179</v>
      </c>
      <c r="M100"/>
      <c r="N100"/>
      <c r="O100"/>
      <c r="P100"/>
      <c r="Q100"/>
      <c r="R100"/>
    </row>
    <row r="101" spans="1:18" x14ac:dyDescent="0.3">
      <c r="A101" s="2">
        <v>45614</v>
      </c>
      <c r="B101" s="68">
        <f t="shared" si="7"/>
        <v>25</v>
      </c>
      <c r="C101" s="3" t="s">
        <v>18</v>
      </c>
      <c r="D101" s="3">
        <v>6887</v>
      </c>
      <c r="E101" s="3">
        <v>418</v>
      </c>
      <c r="F101" s="3">
        <v>647160</v>
      </c>
      <c r="G101" s="4">
        <v>20.240280610668151</v>
      </c>
      <c r="H101" s="3">
        <v>18329</v>
      </c>
      <c r="I101" s="3" t="str">
        <f>'Task 3.1'!N124</f>
        <v>Brand Engagement</v>
      </c>
      <c r="J101" s="3">
        <f t="shared" si="6"/>
        <v>6469</v>
      </c>
      <c r="M101"/>
      <c r="N101"/>
      <c r="O101"/>
      <c r="P101"/>
      <c r="Q101"/>
      <c r="R101"/>
    </row>
    <row r="102" spans="1:18" x14ac:dyDescent="0.3">
      <c r="A102" s="2">
        <v>45621</v>
      </c>
      <c r="B102" s="68">
        <f t="shared" si="7"/>
        <v>26</v>
      </c>
      <c r="C102" s="3" t="s">
        <v>22</v>
      </c>
      <c r="D102" s="3">
        <v>8961</v>
      </c>
      <c r="E102" s="3">
        <v>476</v>
      </c>
      <c r="F102" s="3">
        <v>655645</v>
      </c>
      <c r="G102" s="4">
        <v>15.458517947974901</v>
      </c>
      <c r="H102" s="3">
        <v>44865</v>
      </c>
      <c r="I102" s="3" t="str">
        <f>'Task 3.1'!N125</f>
        <v>Brand Engagement</v>
      </c>
      <c r="J102" s="3">
        <f t="shared" si="6"/>
        <v>8485</v>
      </c>
      <c r="M102"/>
      <c r="N102"/>
      <c r="O102"/>
      <c r="P102"/>
      <c r="Q102"/>
      <c r="R102"/>
    </row>
    <row r="103" spans="1:18" x14ac:dyDescent="0.3">
      <c r="A103" s="2">
        <v>45621</v>
      </c>
      <c r="B103" s="68">
        <f t="shared" si="7"/>
        <v>26</v>
      </c>
      <c r="C103" s="3" t="s">
        <v>22</v>
      </c>
      <c r="D103" s="3">
        <v>6827</v>
      </c>
      <c r="E103" s="3">
        <v>775</v>
      </c>
      <c r="F103" s="3">
        <v>661697</v>
      </c>
      <c r="G103" s="4">
        <v>15.96622018839439</v>
      </c>
      <c r="H103" s="3">
        <v>56850</v>
      </c>
      <c r="I103" s="3" t="str">
        <f>'Task 3.1'!N126</f>
        <v>Health &amp; Fitness Awareness</v>
      </c>
      <c r="J103" s="3">
        <f t="shared" si="6"/>
        <v>6052</v>
      </c>
      <c r="M103"/>
      <c r="N103"/>
      <c r="O103"/>
      <c r="P103"/>
      <c r="Q103"/>
      <c r="R103"/>
    </row>
    <row r="104" spans="1:18" x14ac:dyDescent="0.3">
      <c r="A104" s="2">
        <v>45621</v>
      </c>
      <c r="B104" s="68">
        <f t="shared" si="7"/>
        <v>26</v>
      </c>
      <c r="C104" s="3" t="s">
        <v>18</v>
      </c>
      <c r="D104" s="3">
        <v>9737</v>
      </c>
      <c r="E104" s="3">
        <v>792</v>
      </c>
      <c r="F104" s="3">
        <v>670642</v>
      </c>
      <c r="G104" s="4">
        <v>5.301785453341723</v>
      </c>
      <c r="H104" s="3">
        <v>56698</v>
      </c>
      <c r="I104" s="3" t="str">
        <f>'Task 3.1'!N127</f>
        <v>Health &amp; Fitness Awareness</v>
      </c>
      <c r="J104" s="3">
        <f t="shared" si="6"/>
        <v>8945</v>
      </c>
      <c r="M104"/>
      <c r="N104"/>
      <c r="O104"/>
      <c r="P104"/>
      <c r="Q104"/>
      <c r="R104"/>
    </row>
    <row r="105" spans="1:18" x14ac:dyDescent="0.3">
      <c r="A105" s="2">
        <v>45621</v>
      </c>
      <c r="B105" s="68">
        <f t="shared" si="7"/>
        <v>26</v>
      </c>
      <c r="C105" s="3" t="s">
        <v>13</v>
      </c>
      <c r="D105" s="3">
        <v>5719</v>
      </c>
      <c r="E105" s="3">
        <v>576</v>
      </c>
      <c r="F105" s="3">
        <v>675785</v>
      </c>
      <c r="G105" s="4">
        <v>10.21656296011305</v>
      </c>
      <c r="H105" s="3">
        <v>38272</v>
      </c>
      <c r="I105" s="3" t="str">
        <f>'Task 3.1'!N128</f>
        <v>Sustainability Branding</v>
      </c>
      <c r="J105" s="3">
        <f t="shared" si="6"/>
        <v>5143</v>
      </c>
      <c r="M105"/>
      <c r="N105"/>
      <c r="O105"/>
      <c r="P105"/>
      <c r="Q105"/>
      <c r="R105"/>
    </row>
    <row r="106" spans="1:18" x14ac:dyDescent="0.3">
      <c r="A106" s="2">
        <v>45628</v>
      </c>
      <c r="B106" s="68">
        <f t="shared" si="7"/>
        <v>27</v>
      </c>
      <c r="C106" s="3" t="s">
        <v>22</v>
      </c>
      <c r="D106" s="3">
        <v>1593</v>
      </c>
      <c r="E106" s="3">
        <v>224</v>
      </c>
      <c r="F106" s="3">
        <v>677154</v>
      </c>
      <c r="G106" s="4">
        <v>4.1495730660972248</v>
      </c>
      <c r="H106" s="3">
        <v>52845</v>
      </c>
      <c r="I106" s="3" t="str">
        <f>'Task 3.1'!N129</f>
        <v>Sustainability Branding</v>
      </c>
      <c r="J106" s="3">
        <f t="shared" si="6"/>
        <v>1369</v>
      </c>
      <c r="M106"/>
      <c r="N106"/>
      <c r="O106"/>
      <c r="P106"/>
      <c r="Q106"/>
      <c r="R106"/>
    </row>
    <row r="107" spans="1:18" x14ac:dyDescent="0.3">
      <c r="A107" s="2">
        <v>45628</v>
      </c>
      <c r="B107" s="68">
        <f t="shared" si="7"/>
        <v>27</v>
      </c>
      <c r="C107" s="3" t="s">
        <v>18</v>
      </c>
      <c r="D107" s="3">
        <v>5839</v>
      </c>
      <c r="E107" s="3">
        <v>437</v>
      </c>
      <c r="F107" s="3">
        <v>682556</v>
      </c>
      <c r="G107" s="4">
        <v>17.44750613869045</v>
      </c>
      <c r="H107" s="3">
        <v>16397</v>
      </c>
      <c r="I107" s="3" t="str">
        <f>'Task 3.1'!N130</f>
        <v>Brand Engagement</v>
      </c>
      <c r="J107" s="3">
        <f t="shared" si="6"/>
        <v>5402</v>
      </c>
      <c r="M107"/>
      <c r="N107"/>
      <c r="O107"/>
      <c r="P107"/>
      <c r="Q107"/>
      <c r="R107"/>
    </row>
    <row r="108" spans="1:18" x14ac:dyDescent="0.3">
      <c r="A108" s="2">
        <v>45628</v>
      </c>
      <c r="B108" s="68">
        <f t="shared" si="7"/>
        <v>27</v>
      </c>
      <c r="C108" s="3" t="s">
        <v>22</v>
      </c>
      <c r="D108" s="3">
        <v>8394</v>
      </c>
      <c r="E108" s="3">
        <v>764</v>
      </c>
      <c r="F108" s="3">
        <v>690186</v>
      </c>
      <c r="G108" s="4">
        <v>6.3556780346167558</v>
      </c>
      <c r="H108" s="3">
        <v>42373</v>
      </c>
      <c r="I108" s="3" t="str">
        <f>'Task 3.1'!N131</f>
        <v>Brand Engagement</v>
      </c>
      <c r="J108" s="3">
        <f t="shared" si="6"/>
        <v>7630</v>
      </c>
      <c r="M108"/>
      <c r="N108"/>
    </row>
    <row r="109" spans="1:18" x14ac:dyDescent="0.3">
      <c r="A109" s="2">
        <v>45628</v>
      </c>
      <c r="B109" s="68">
        <f t="shared" si="7"/>
        <v>27</v>
      </c>
      <c r="C109" s="3" t="s">
        <v>13</v>
      </c>
      <c r="D109" s="3">
        <v>4493</v>
      </c>
      <c r="E109" s="3">
        <v>564</v>
      </c>
      <c r="F109" s="3">
        <v>694115</v>
      </c>
      <c r="G109" s="4">
        <v>16.625487131094989</v>
      </c>
      <c r="H109" s="3">
        <v>45525</v>
      </c>
      <c r="I109" s="3" t="str">
        <f>'Task 3.1'!N132</f>
        <v>Product Promotion</v>
      </c>
      <c r="J109" s="3">
        <f t="shared" si="6"/>
        <v>3929</v>
      </c>
      <c r="M109"/>
      <c r="N109"/>
    </row>
    <row r="110" spans="1:18" x14ac:dyDescent="0.3">
      <c r="A110" s="2">
        <v>45635</v>
      </c>
      <c r="B110" s="68">
        <f t="shared" si="7"/>
        <v>28</v>
      </c>
      <c r="C110" s="3" t="s">
        <v>40</v>
      </c>
      <c r="D110" s="3">
        <v>7164</v>
      </c>
      <c r="E110" s="3">
        <v>522</v>
      </c>
      <c r="F110" s="3">
        <v>700757</v>
      </c>
      <c r="G110" s="4">
        <v>13.449169969047761</v>
      </c>
      <c r="H110" s="3">
        <v>34570</v>
      </c>
      <c r="I110" s="3" t="str">
        <f>'Task 3.1'!N133</f>
        <v>Product Promotion</v>
      </c>
      <c r="J110" s="3">
        <f t="shared" si="6"/>
        <v>6642</v>
      </c>
      <c r="M110"/>
      <c r="N110"/>
    </row>
    <row r="111" spans="1:18" x14ac:dyDescent="0.3">
      <c r="A111" s="2">
        <v>45635</v>
      </c>
      <c r="B111" s="68">
        <f t="shared" si="7"/>
        <v>28</v>
      </c>
      <c r="C111" s="3" t="s">
        <v>22</v>
      </c>
      <c r="D111" s="3">
        <v>3672</v>
      </c>
      <c r="E111" s="3">
        <v>211</v>
      </c>
      <c r="F111" s="3">
        <v>704218</v>
      </c>
      <c r="G111" s="4">
        <v>12.35057894004413</v>
      </c>
      <c r="H111" s="3">
        <v>28284</v>
      </c>
      <c r="I111" s="3" t="str">
        <f>'Task 3.1'!N134</f>
        <v>Product Launch</v>
      </c>
      <c r="J111" s="3">
        <f t="shared" si="6"/>
        <v>3461</v>
      </c>
      <c r="M111"/>
      <c r="N111"/>
    </row>
    <row r="112" spans="1:18" x14ac:dyDescent="0.3">
      <c r="A112" s="2">
        <v>45635</v>
      </c>
      <c r="B112" s="68">
        <f t="shared" si="7"/>
        <v>28</v>
      </c>
      <c r="C112" s="3" t="s">
        <v>13</v>
      </c>
      <c r="D112" s="3">
        <v>5200</v>
      </c>
      <c r="E112" s="3">
        <v>410</v>
      </c>
      <c r="F112" s="3">
        <v>709008</v>
      </c>
      <c r="G112" s="4">
        <v>12.913394489201821</v>
      </c>
      <c r="H112" s="3">
        <v>28994</v>
      </c>
      <c r="I112" s="3" t="str">
        <f>'Task 3.1'!N135</f>
        <v>Product Launch</v>
      </c>
      <c r="J112" s="3">
        <f t="shared" si="6"/>
        <v>4790</v>
      </c>
      <c r="M112"/>
      <c r="N112"/>
    </row>
    <row r="113" spans="1:14" x14ac:dyDescent="0.3">
      <c r="A113" s="2">
        <v>45635</v>
      </c>
      <c r="B113" s="68">
        <f t="shared" si="7"/>
        <v>28</v>
      </c>
      <c r="C113" s="3" t="s">
        <v>18</v>
      </c>
      <c r="D113" s="3">
        <v>1016</v>
      </c>
      <c r="E113" s="3">
        <v>67</v>
      </c>
      <c r="F113" s="3">
        <v>709957</v>
      </c>
      <c r="G113" s="4">
        <v>20.774215903216671</v>
      </c>
      <c r="H113" s="3">
        <v>33284</v>
      </c>
      <c r="I113" s="3" t="str">
        <f>'Task 3.1'!N136</f>
        <v>Product Launch</v>
      </c>
      <c r="J113" s="3">
        <f t="shared" si="6"/>
        <v>949</v>
      </c>
      <c r="M113"/>
      <c r="N113"/>
    </row>
    <row r="114" spans="1:14" x14ac:dyDescent="0.3">
      <c r="A114" s="2">
        <v>45642</v>
      </c>
      <c r="B114" s="68">
        <f t="shared" si="7"/>
        <v>29</v>
      </c>
      <c r="C114" s="3" t="s">
        <v>22</v>
      </c>
      <c r="D114" s="3">
        <v>4191</v>
      </c>
      <c r="E114" s="3">
        <v>599</v>
      </c>
      <c r="F114" s="3">
        <v>713549</v>
      </c>
      <c r="G114" s="4">
        <v>11.56416728213479</v>
      </c>
      <c r="H114" s="3">
        <v>27833</v>
      </c>
      <c r="I114" s="3" t="str">
        <f>'Task 3.1'!N137</f>
        <v>Product Promotion</v>
      </c>
      <c r="J114" s="3">
        <f t="shared" si="6"/>
        <v>3592</v>
      </c>
      <c r="M114"/>
      <c r="N114"/>
    </row>
    <row r="115" spans="1:14" x14ac:dyDescent="0.3">
      <c r="A115" s="2">
        <v>45642</v>
      </c>
      <c r="B115" s="68">
        <f t="shared" si="7"/>
        <v>29</v>
      </c>
      <c r="C115" s="3" t="s">
        <v>22</v>
      </c>
      <c r="D115" s="3">
        <v>1392</v>
      </c>
      <c r="E115" s="3">
        <v>182</v>
      </c>
      <c r="F115" s="3">
        <v>714759</v>
      </c>
      <c r="G115" s="4">
        <v>5.9603306848881932</v>
      </c>
      <c r="H115" s="3">
        <v>35122</v>
      </c>
      <c r="I115" s="3" t="str">
        <f>'Task 3.1'!N138</f>
        <v>Product Promotion</v>
      </c>
      <c r="J115" s="3">
        <f t="shared" si="6"/>
        <v>1210</v>
      </c>
      <c r="M115"/>
      <c r="N115"/>
    </row>
    <row r="116" spans="1:14" x14ac:dyDescent="0.3">
      <c r="A116" s="2">
        <v>45642</v>
      </c>
      <c r="B116" s="68">
        <f t="shared" si="7"/>
        <v>29</v>
      </c>
      <c r="C116" s="3" t="s">
        <v>18</v>
      </c>
      <c r="D116" s="3">
        <v>9616</v>
      </c>
      <c r="E116" s="3">
        <v>1089</v>
      </c>
      <c r="F116" s="3">
        <v>723286</v>
      </c>
      <c r="G116" s="4">
        <v>19.25863351426683</v>
      </c>
      <c r="H116" s="3">
        <v>15017</v>
      </c>
      <c r="I116" s="3" t="str">
        <f>'Task 3.1'!N139</f>
        <v>Brand Engagement</v>
      </c>
      <c r="J116" s="3">
        <f t="shared" si="6"/>
        <v>8527</v>
      </c>
      <c r="M116"/>
      <c r="N116"/>
    </row>
    <row r="117" spans="1:14" x14ac:dyDescent="0.3">
      <c r="A117" s="2">
        <v>45642</v>
      </c>
      <c r="B117" s="68">
        <f t="shared" si="7"/>
        <v>29</v>
      </c>
      <c r="C117" s="3" t="s">
        <v>40</v>
      </c>
      <c r="D117" s="3">
        <v>7272</v>
      </c>
      <c r="E117" s="3">
        <v>997</v>
      </c>
      <c r="F117" s="3">
        <v>729561</v>
      </c>
      <c r="G117" s="4">
        <v>13.428486445958599</v>
      </c>
      <c r="H117" s="3">
        <v>26370</v>
      </c>
      <c r="I117" s="3" t="str">
        <f>'Task 3.1'!N140</f>
        <v>Brand Engagement</v>
      </c>
      <c r="J117" s="3">
        <f t="shared" si="6"/>
        <v>6275</v>
      </c>
      <c r="M117"/>
      <c r="N117"/>
    </row>
    <row r="118" spans="1:14" x14ac:dyDescent="0.3">
      <c r="A118" s="2">
        <v>45649</v>
      </c>
      <c r="B118" s="68">
        <f t="shared" si="7"/>
        <v>30</v>
      </c>
      <c r="C118" s="3" t="s">
        <v>18</v>
      </c>
      <c r="D118" s="3">
        <v>1571</v>
      </c>
      <c r="E118" s="3">
        <v>204</v>
      </c>
      <c r="F118" s="3">
        <v>730928</v>
      </c>
      <c r="G118" s="4">
        <v>19.449384891535139</v>
      </c>
      <c r="H118" s="3">
        <v>39252</v>
      </c>
      <c r="I118" s="3" t="str">
        <f>'Task 3.1'!N141</f>
        <v>Health &amp; Fitness Awareness</v>
      </c>
      <c r="J118" s="3">
        <f t="shared" si="6"/>
        <v>1367</v>
      </c>
      <c r="M118"/>
      <c r="N118"/>
    </row>
    <row r="119" spans="1:14" x14ac:dyDescent="0.3">
      <c r="A119" s="2">
        <v>45649</v>
      </c>
      <c r="B119" s="68">
        <f t="shared" si="7"/>
        <v>30</v>
      </c>
      <c r="C119" s="3" t="s">
        <v>22</v>
      </c>
      <c r="D119" s="3">
        <v>4631</v>
      </c>
      <c r="E119" s="3">
        <v>317</v>
      </c>
      <c r="F119" s="3">
        <v>735242</v>
      </c>
      <c r="G119" s="4">
        <v>1.381177897889402</v>
      </c>
      <c r="H119" s="3">
        <v>17999</v>
      </c>
      <c r="I119" s="3" t="str">
        <f>'Task 3.1'!N142</f>
        <v>Health &amp; Fitness Awareness</v>
      </c>
      <c r="J119" s="3">
        <f t="shared" si="6"/>
        <v>4314</v>
      </c>
      <c r="M119"/>
      <c r="N119"/>
    </row>
    <row r="120" spans="1:14" x14ac:dyDescent="0.3">
      <c r="A120" s="2">
        <v>45649</v>
      </c>
      <c r="B120" s="68">
        <f t="shared" si="7"/>
        <v>30</v>
      </c>
      <c r="C120" s="3" t="s">
        <v>18</v>
      </c>
      <c r="D120" s="3">
        <v>7172</v>
      </c>
      <c r="E120" s="3">
        <v>998</v>
      </c>
      <c r="F120" s="3">
        <v>741416</v>
      </c>
      <c r="G120" s="4">
        <v>18.0667803230575</v>
      </c>
      <c r="H120" s="3">
        <v>32436</v>
      </c>
      <c r="I120" s="3" t="str">
        <f>'Task 3.1'!N143</f>
        <v>Health &amp; Fitness Awareness</v>
      </c>
      <c r="J120" s="3">
        <f t="shared" si="6"/>
        <v>6174</v>
      </c>
      <c r="M120"/>
      <c r="N120"/>
    </row>
    <row r="121" spans="1:14" x14ac:dyDescent="0.3">
      <c r="A121" s="2">
        <v>45649</v>
      </c>
      <c r="B121" s="68">
        <f t="shared" si="7"/>
        <v>30</v>
      </c>
      <c r="C121" s="3" t="s">
        <v>13</v>
      </c>
      <c r="D121" s="3">
        <v>8177</v>
      </c>
      <c r="E121" s="3">
        <v>849</v>
      </c>
      <c r="F121" s="3">
        <v>748744</v>
      </c>
      <c r="G121" s="4">
        <v>10.34986590877523</v>
      </c>
      <c r="H121" s="3">
        <v>52963</v>
      </c>
      <c r="I121" s="3" t="str">
        <f>'Task 3.1'!N144</f>
        <v>Health &amp; Fitness Awareness</v>
      </c>
      <c r="J121" s="3">
        <f t="shared" si="6"/>
        <v>7328</v>
      </c>
      <c r="M121"/>
      <c r="N121"/>
    </row>
    <row r="122" spans="1:14" x14ac:dyDescent="0.3">
      <c r="A122" s="2">
        <v>45656</v>
      </c>
      <c r="B122" s="68">
        <f t="shared" si="7"/>
        <v>31</v>
      </c>
      <c r="C122" s="3" t="s">
        <v>18</v>
      </c>
      <c r="D122" s="3">
        <v>9433</v>
      </c>
      <c r="E122" s="3">
        <v>1233</v>
      </c>
      <c r="F122" s="3">
        <v>756944</v>
      </c>
      <c r="G122" s="4">
        <v>11.391727789638329</v>
      </c>
      <c r="H122" s="3">
        <v>12096</v>
      </c>
      <c r="I122" s="3" t="str">
        <f>'Task 3.1'!N145</f>
        <v>Brand Engagement</v>
      </c>
      <c r="J122" s="3">
        <f t="shared" si="6"/>
        <v>8200</v>
      </c>
      <c r="M122"/>
      <c r="N122"/>
    </row>
    <row r="123" spans="1:14" x14ac:dyDescent="0.3">
      <c r="A123" s="2">
        <v>45656</v>
      </c>
      <c r="B123" s="68">
        <f t="shared" si="7"/>
        <v>31</v>
      </c>
      <c r="C123" s="3" t="s">
        <v>22</v>
      </c>
      <c r="D123" s="3">
        <v>4897</v>
      </c>
      <c r="E123" s="3">
        <v>683</v>
      </c>
      <c r="F123" s="3">
        <v>761158</v>
      </c>
      <c r="G123" s="4">
        <v>15.06231294947961</v>
      </c>
      <c r="H123" s="3">
        <v>58201</v>
      </c>
      <c r="I123" s="3" t="str">
        <f>'Task 3.1'!N146</f>
        <v>Brand Engagement</v>
      </c>
      <c r="J123" s="3">
        <f t="shared" si="6"/>
        <v>4214</v>
      </c>
      <c r="M123"/>
      <c r="N123"/>
    </row>
    <row r="124" spans="1:14" x14ac:dyDescent="0.3">
      <c r="A124" s="2">
        <v>45656</v>
      </c>
      <c r="B124" s="68">
        <f t="shared" si="7"/>
        <v>31</v>
      </c>
      <c r="C124" s="3" t="s">
        <v>18</v>
      </c>
      <c r="D124" s="3">
        <v>9123</v>
      </c>
      <c r="E124" s="3">
        <v>746</v>
      </c>
      <c r="F124" s="3">
        <v>769535</v>
      </c>
      <c r="G124" s="4">
        <v>6.3086149427901264</v>
      </c>
      <c r="H124" s="3">
        <v>35279</v>
      </c>
      <c r="I124" s="3" t="str">
        <f>'Task 3.1'!N147</f>
        <v>Brand Engagement</v>
      </c>
      <c r="J124" s="3">
        <f t="shared" si="6"/>
        <v>8377</v>
      </c>
      <c r="M124"/>
      <c r="N124"/>
    </row>
    <row r="125" spans="1:14" x14ac:dyDescent="0.3">
      <c r="A125" s="2">
        <v>45656</v>
      </c>
      <c r="B125" s="68">
        <f t="shared" si="7"/>
        <v>31</v>
      </c>
      <c r="C125" s="3" t="s">
        <v>40</v>
      </c>
      <c r="D125" s="3">
        <v>3279</v>
      </c>
      <c r="E125" s="3">
        <v>200</v>
      </c>
      <c r="F125" s="3">
        <v>772614</v>
      </c>
      <c r="G125" s="4">
        <v>5.0212654702089274</v>
      </c>
      <c r="H125" s="3">
        <v>53363</v>
      </c>
      <c r="I125" s="3" t="str">
        <f>'Task 3.1'!N148</f>
        <v>Brand Engagement</v>
      </c>
      <c r="J125" s="3">
        <f t="shared" si="6"/>
        <v>3079</v>
      </c>
      <c r="M125"/>
      <c r="N125"/>
    </row>
    <row r="126" spans="1:14" x14ac:dyDescent="0.3">
      <c r="A126" s="2">
        <v>45663</v>
      </c>
      <c r="B126" s="68">
        <f t="shared" si="7"/>
        <v>32</v>
      </c>
      <c r="C126" s="3" t="s">
        <v>18</v>
      </c>
      <c r="D126" s="3">
        <v>9980</v>
      </c>
      <c r="E126" s="3">
        <v>726</v>
      </c>
      <c r="F126" s="3">
        <v>781868</v>
      </c>
      <c r="G126" s="4">
        <v>4.0220344099003924</v>
      </c>
      <c r="H126" s="3">
        <v>58709</v>
      </c>
      <c r="I126" s="3" t="str">
        <f>'Task 3.1'!N149</f>
        <v>Product Launch</v>
      </c>
      <c r="J126" s="3">
        <f t="shared" si="6"/>
        <v>9254</v>
      </c>
      <c r="M126"/>
      <c r="N126"/>
    </row>
    <row r="127" spans="1:14" x14ac:dyDescent="0.3">
      <c r="A127" s="2">
        <v>45663</v>
      </c>
      <c r="B127" s="68">
        <f t="shared" si="7"/>
        <v>32</v>
      </c>
      <c r="C127" s="3" t="s">
        <v>40</v>
      </c>
      <c r="D127" s="3">
        <v>8451</v>
      </c>
      <c r="E127" s="3">
        <v>783</v>
      </c>
      <c r="F127" s="3">
        <v>789536</v>
      </c>
      <c r="G127" s="4">
        <v>12.407287318121019</v>
      </c>
      <c r="H127" s="3">
        <v>36201</v>
      </c>
      <c r="I127" s="3" t="str">
        <f>'Task 3.1'!N150</f>
        <v>Product Launch</v>
      </c>
      <c r="J127" s="3">
        <f t="shared" si="6"/>
        <v>7668</v>
      </c>
      <c r="M127"/>
      <c r="N127"/>
    </row>
    <row r="128" spans="1:14" x14ac:dyDescent="0.3">
      <c r="A128" s="2">
        <v>45663</v>
      </c>
      <c r="B128" s="68">
        <f t="shared" si="7"/>
        <v>32</v>
      </c>
      <c r="C128" s="3" t="s">
        <v>13</v>
      </c>
      <c r="D128" s="3">
        <v>9906</v>
      </c>
      <c r="E128" s="3">
        <v>1305</v>
      </c>
      <c r="F128" s="3">
        <v>798137</v>
      </c>
      <c r="G128" s="4">
        <v>9.1811305577864442</v>
      </c>
      <c r="H128" s="3">
        <v>29715</v>
      </c>
      <c r="I128" s="3" t="str">
        <f>'Task 3.1'!N151</f>
        <v>Brand Engagement</v>
      </c>
      <c r="J128" s="3">
        <f t="shared" si="6"/>
        <v>8601</v>
      </c>
      <c r="M128"/>
      <c r="N128"/>
    </row>
    <row r="129" spans="1:14" x14ac:dyDescent="0.3">
      <c r="A129" s="2">
        <v>45663</v>
      </c>
      <c r="B129" s="68">
        <f t="shared" si="7"/>
        <v>32</v>
      </c>
      <c r="C129" s="3" t="s">
        <v>40</v>
      </c>
      <c r="D129" s="3">
        <v>1775</v>
      </c>
      <c r="E129" s="3">
        <v>241</v>
      </c>
      <c r="F129" s="3">
        <v>799671</v>
      </c>
      <c r="G129" s="4">
        <v>8.1379717408784362</v>
      </c>
      <c r="H129" s="3">
        <v>39309</v>
      </c>
      <c r="I129" s="3" t="str">
        <f>'Task 3.1'!N152</f>
        <v>Brand Engagement</v>
      </c>
      <c r="J129" s="3">
        <f t="shared" si="6"/>
        <v>1534</v>
      </c>
      <c r="M129"/>
      <c r="N129"/>
    </row>
    <row r="130" spans="1:14" x14ac:dyDescent="0.3">
      <c r="A130" s="2">
        <v>45670</v>
      </c>
      <c r="B130" s="68">
        <f t="shared" si="7"/>
        <v>33</v>
      </c>
      <c r="C130" s="3" t="s">
        <v>18</v>
      </c>
      <c r="D130" s="3">
        <v>7869</v>
      </c>
      <c r="E130" s="3">
        <v>398</v>
      </c>
      <c r="F130" s="3">
        <v>807142</v>
      </c>
      <c r="G130" s="4">
        <v>15.211945357818079</v>
      </c>
      <c r="H130" s="3">
        <v>25078</v>
      </c>
      <c r="I130" s="3" t="str">
        <f>'Task 3.1'!N153</f>
        <v>Sustainability Branding</v>
      </c>
      <c r="J130" s="3">
        <f t="shared" ref="J130:J161" si="8">D130-E130</f>
        <v>7471</v>
      </c>
      <c r="M130"/>
      <c r="N130"/>
    </row>
    <row r="131" spans="1:14" x14ac:dyDescent="0.3">
      <c r="A131" s="2">
        <v>45670</v>
      </c>
      <c r="B131" s="68">
        <f t="shared" ref="B131:B162" si="9">IF(A131=A130,B130,B130+1)</f>
        <v>33</v>
      </c>
      <c r="C131" s="3" t="s">
        <v>22</v>
      </c>
      <c r="D131" s="3">
        <v>3247</v>
      </c>
      <c r="E131" s="3">
        <v>328</v>
      </c>
      <c r="F131" s="3">
        <v>810061</v>
      </c>
      <c r="G131" s="4">
        <v>13.941172331466399</v>
      </c>
      <c r="H131" s="3">
        <v>15105</v>
      </c>
      <c r="I131" s="3" t="str">
        <f>'Task 3.1'!N154</f>
        <v>Sustainability Branding</v>
      </c>
      <c r="J131" s="3">
        <f t="shared" si="8"/>
        <v>2919</v>
      </c>
      <c r="M131"/>
      <c r="N131"/>
    </row>
    <row r="132" spans="1:14" x14ac:dyDescent="0.3">
      <c r="A132" s="2">
        <v>45670</v>
      </c>
      <c r="B132" s="68">
        <f t="shared" si="9"/>
        <v>33</v>
      </c>
      <c r="C132" s="3" t="s">
        <v>40</v>
      </c>
      <c r="D132" s="3">
        <v>8088</v>
      </c>
      <c r="E132" s="3">
        <v>742</v>
      </c>
      <c r="F132" s="3">
        <v>817407</v>
      </c>
      <c r="G132" s="4">
        <v>14.664542877660701</v>
      </c>
      <c r="H132" s="3">
        <v>39312</v>
      </c>
      <c r="I132" s="3" t="str">
        <f>'Task 3.1'!N155</f>
        <v>Product Launch</v>
      </c>
      <c r="J132" s="3">
        <f t="shared" si="8"/>
        <v>7346</v>
      </c>
      <c r="M132"/>
      <c r="N132"/>
    </row>
    <row r="133" spans="1:14" x14ac:dyDescent="0.3">
      <c r="A133" s="2">
        <v>45670</v>
      </c>
      <c r="B133" s="68">
        <f t="shared" si="9"/>
        <v>33</v>
      </c>
      <c r="C133" s="3" t="s">
        <v>13</v>
      </c>
      <c r="D133" s="3">
        <v>1078</v>
      </c>
      <c r="E133" s="3">
        <v>77</v>
      </c>
      <c r="F133" s="3">
        <v>818408</v>
      </c>
      <c r="G133" s="4">
        <v>18.236747441373989</v>
      </c>
      <c r="H133" s="3">
        <v>12839</v>
      </c>
      <c r="I133" s="3" t="str">
        <f>'Task 3.1'!N156</f>
        <v>Product Launch</v>
      </c>
      <c r="J133" s="3">
        <f t="shared" si="8"/>
        <v>1001</v>
      </c>
      <c r="M133"/>
      <c r="N133"/>
    </row>
    <row r="134" spans="1:14" x14ac:dyDescent="0.3">
      <c r="A134" s="2">
        <v>45677</v>
      </c>
      <c r="B134" s="68">
        <f t="shared" si="9"/>
        <v>34</v>
      </c>
      <c r="C134" s="3" t="s">
        <v>40</v>
      </c>
      <c r="D134" s="3">
        <v>9080</v>
      </c>
      <c r="E134" s="3">
        <v>562</v>
      </c>
      <c r="F134" s="3">
        <v>826926</v>
      </c>
      <c r="G134" s="4">
        <v>7.1083748727213809</v>
      </c>
      <c r="H134" s="3">
        <v>13384</v>
      </c>
      <c r="I134" s="3" t="str">
        <f>'Task 3.1'!N157</f>
        <v>Brand Engagement</v>
      </c>
      <c r="J134" s="3">
        <f t="shared" si="8"/>
        <v>8518</v>
      </c>
      <c r="M134"/>
      <c r="N134"/>
    </row>
    <row r="135" spans="1:14" x14ac:dyDescent="0.3">
      <c r="A135" s="2">
        <v>45677</v>
      </c>
      <c r="B135" s="68">
        <f t="shared" si="9"/>
        <v>34</v>
      </c>
      <c r="C135" s="3" t="s">
        <v>40</v>
      </c>
      <c r="D135" s="3">
        <v>8099</v>
      </c>
      <c r="E135" s="3">
        <v>678</v>
      </c>
      <c r="F135" s="3">
        <v>834347</v>
      </c>
      <c r="G135" s="4">
        <v>7.6464588474579518</v>
      </c>
      <c r="H135" s="3">
        <v>53619</v>
      </c>
      <c r="I135" s="3" t="str">
        <f>'Task 3.1'!N158</f>
        <v>Brand Engagement</v>
      </c>
      <c r="J135" s="3">
        <f t="shared" si="8"/>
        <v>7421</v>
      </c>
      <c r="M135"/>
      <c r="N135"/>
    </row>
    <row r="136" spans="1:14" x14ac:dyDescent="0.3">
      <c r="A136" s="2">
        <v>45677</v>
      </c>
      <c r="B136" s="68">
        <f t="shared" si="9"/>
        <v>34</v>
      </c>
      <c r="C136" s="3" t="s">
        <v>40</v>
      </c>
      <c r="D136" s="3">
        <v>4926</v>
      </c>
      <c r="E136" s="3">
        <v>710</v>
      </c>
      <c r="F136" s="3">
        <v>838563</v>
      </c>
      <c r="G136" s="4">
        <v>12.96217457722318</v>
      </c>
      <c r="H136" s="3">
        <v>52821</v>
      </c>
      <c r="I136" s="3" t="str">
        <f>'Task 3.1'!N159</f>
        <v>Product Launch</v>
      </c>
      <c r="J136" s="3">
        <f t="shared" si="8"/>
        <v>4216</v>
      </c>
      <c r="M136"/>
      <c r="N136"/>
    </row>
    <row r="137" spans="1:14" x14ac:dyDescent="0.3">
      <c r="A137" s="2">
        <v>45677</v>
      </c>
      <c r="B137" s="68">
        <f t="shared" si="9"/>
        <v>34</v>
      </c>
      <c r="C137" s="3" t="s">
        <v>13</v>
      </c>
      <c r="D137" s="3">
        <v>8340</v>
      </c>
      <c r="E137" s="3">
        <v>686</v>
      </c>
      <c r="F137" s="3">
        <v>846217</v>
      </c>
      <c r="G137" s="4">
        <v>7.201344336027284</v>
      </c>
      <c r="H137" s="3">
        <v>23493</v>
      </c>
      <c r="I137" s="3" t="str">
        <f>'Task 3.1'!N160</f>
        <v>Product Launch</v>
      </c>
      <c r="J137" s="3">
        <f t="shared" si="8"/>
        <v>7654</v>
      </c>
      <c r="M137"/>
      <c r="N137"/>
    </row>
    <row r="138" spans="1:14" x14ac:dyDescent="0.3">
      <c r="A138" s="2">
        <v>45684</v>
      </c>
      <c r="B138" s="68">
        <f t="shared" si="9"/>
        <v>35</v>
      </c>
      <c r="C138" s="3" t="s">
        <v>18</v>
      </c>
      <c r="D138" s="3">
        <v>8083</v>
      </c>
      <c r="E138" s="3">
        <v>823</v>
      </c>
      <c r="F138" s="3">
        <v>853477</v>
      </c>
      <c r="G138" s="4">
        <v>4.6300017457998282</v>
      </c>
      <c r="H138" s="3">
        <v>27069</v>
      </c>
      <c r="I138" s="3" t="str">
        <f>'Task 3.1'!N161</f>
        <v>Product Promotion</v>
      </c>
      <c r="J138" s="3">
        <f t="shared" si="8"/>
        <v>7260</v>
      </c>
      <c r="M138"/>
      <c r="N138"/>
    </row>
    <row r="139" spans="1:14" x14ac:dyDescent="0.3">
      <c r="A139" s="2">
        <v>45684</v>
      </c>
      <c r="B139" s="68">
        <f t="shared" si="9"/>
        <v>35</v>
      </c>
      <c r="C139" s="3" t="s">
        <v>40</v>
      </c>
      <c r="D139" s="3">
        <v>7230</v>
      </c>
      <c r="E139" s="3">
        <v>869</v>
      </c>
      <c r="F139" s="3">
        <v>859838</v>
      </c>
      <c r="G139" s="4">
        <v>7.0117859410726204</v>
      </c>
      <c r="H139" s="3">
        <v>56907</v>
      </c>
      <c r="I139" s="3" t="str">
        <f>'Task 3.1'!N162</f>
        <v>Product Promotion</v>
      </c>
      <c r="J139" s="3">
        <f t="shared" si="8"/>
        <v>6361</v>
      </c>
      <c r="M139"/>
      <c r="N139"/>
    </row>
    <row r="140" spans="1:14" x14ac:dyDescent="0.3">
      <c r="A140" s="2">
        <v>45684</v>
      </c>
      <c r="B140" s="68">
        <f t="shared" si="9"/>
        <v>35</v>
      </c>
      <c r="C140" s="3" t="s">
        <v>40</v>
      </c>
      <c r="D140" s="3">
        <v>5940</v>
      </c>
      <c r="E140" s="3">
        <v>512</v>
      </c>
      <c r="F140" s="3">
        <v>865266</v>
      </c>
      <c r="G140" s="4">
        <v>15.7972230504839</v>
      </c>
      <c r="H140" s="3">
        <v>17531</v>
      </c>
      <c r="I140" s="3" t="str">
        <f>'Task 3.1'!N163</f>
        <v>Brand Engagement</v>
      </c>
      <c r="J140" s="3">
        <f t="shared" si="8"/>
        <v>5428</v>
      </c>
      <c r="M140"/>
      <c r="N140"/>
    </row>
    <row r="141" spans="1:14" x14ac:dyDescent="0.3">
      <c r="A141" s="2">
        <v>45684</v>
      </c>
      <c r="B141" s="68">
        <f t="shared" si="9"/>
        <v>35</v>
      </c>
      <c r="C141" s="3" t="s">
        <v>22</v>
      </c>
      <c r="D141" s="3">
        <v>4271</v>
      </c>
      <c r="E141" s="3">
        <v>628</v>
      </c>
      <c r="F141" s="3">
        <v>868909</v>
      </c>
      <c r="G141" s="4">
        <v>11.124410036033691</v>
      </c>
      <c r="H141" s="3">
        <v>47051</v>
      </c>
      <c r="I141" s="3" t="str">
        <f>'Task 3.1'!N164</f>
        <v>Brand Engagement</v>
      </c>
      <c r="J141" s="3">
        <f t="shared" si="8"/>
        <v>3643</v>
      </c>
      <c r="M141"/>
      <c r="N141"/>
    </row>
    <row r="142" spans="1:14" x14ac:dyDescent="0.3">
      <c r="A142" s="2">
        <v>45691</v>
      </c>
      <c r="B142" s="68">
        <f t="shared" si="9"/>
        <v>36</v>
      </c>
      <c r="C142" s="3" t="s">
        <v>13</v>
      </c>
      <c r="D142" s="3">
        <v>4456</v>
      </c>
      <c r="E142" s="3">
        <v>651</v>
      </c>
      <c r="F142" s="3">
        <v>872714</v>
      </c>
      <c r="G142" s="4">
        <v>9.5052903929580594</v>
      </c>
      <c r="H142" s="3">
        <v>17736</v>
      </c>
      <c r="I142" s="3" t="str">
        <f>'Task 3.1'!N165</f>
        <v>Health &amp; Fitness Awareness</v>
      </c>
      <c r="J142" s="3">
        <f t="shared" si="8"/>
        <v>3805</v>
      </c>
      <c r="M142"/>
      <c r="N142"/>
    </row>
    <row r="143" spans="1:14" x14ac:dyDescent="0.3">
      <c r="A143" s="2">
        <v>45691</v>
      </c>
      <c r="B143" s="68">
        <f t="shared" si="9"/>
        <v>36</v>
      </c>
      <c r="C143" s="3" t="s">
        <v>40</v>
      </c>
      <c r="D143" s="3">
        <v>8788</v>
      </c>
      <c r="E143" s="3">
        <v>660</v>
      </c>
      <c r="F143" s="3">
        <v>880842</v>
      </c>
      <c r="G143" s="4">
        <v>3.7175793161543158</v>
      </c>
      <c r="H143" s="3">
        <v>17710</v>
      </c>
      <c r="I143" s="3" t="str">
        <f>'Task 3.1'!N166</f>
        <v>Health &amp; Fitness Awareness</v>
      </c>
      <c r="J143" s="3">
        <f t="shared" si="8"/>
        <v>8128</v>
      </c>
      <c r="M143"/>
      <c r="N143"/>
    </row>
    <row r="144" spans="1:14" x14ac:dyDescent="0.3">
      <c r="A144" s="2">
        <v>45691</v>
      </c>
      <c r="B144" s="68">
        <f t="shared" si="9"/>
        <v>36</v>
      </c>
      <c r="C144" s="3" t="s">
        <v>13</v>
      </c>
      <c r="D144" s="3">
        <v>9599</v>
      </c>
      <c r="E144" s="3">
        <v>957</v>
      </c>
      <c r="F144" s="3">
        <v>889484</v>
      </c>
      <c r="G144" s="4">
        <v>8.768004820772493</v>
      </c>
      <c r="H144" s="3">
        <v>11619</v>
      </c>
      <c r="I144" s="3" t="str">
        <f>'Task 3.1'!N167</f>
        <v>Brand Engagement</v>
      </c>
      <c r="J144" s="3">
        <f t="shared" si="8"/>
        <v>8642</v>
      </c>
      <c r="M144"/>
      <c r="N144"/>
    </row>
    <row r="145" spans="1:14" x14ac:dyDescent="0.3">
      <c r="A145" s="2">
        <v>45691</v>
      </c>
      <c r="B145" s="68">
        <f t="shared" si="9"/>
        <v>36</v>
      </c>
      <c r="C145" s="3" t="s">
        <v>40</v>
      </c>
      <c r="D145" s="3">
        <v>8650</v>
      </c>
      <c r="E145" s="3">
        <v>692</v>
      </c>
      <c r="F145" s="3">
        <v>897442</v>
      </c>
      <c r="G145" s="4">
        <v>7.6673478620345374</v>
      </c>
      <c r="H145" s="3">
        <v>23975</v>
      </c>
      <c r="I145" s="3" t="str">
        <f>'Task 3.1'!N168</f>
        <v>Brand Engagement</v>
      </c>
      <c r="J145" s="3">
        <f t="shared" si="8"/>
        <v>7958</v>
      </c>
      <c r="M145"/>
      <c r="N145"/>
    </row>
    <row r="146" spans="1:14" x14ac:dyDescent="0.3">
      <c r="A146" s="2">
        <v>45698</v>
      </c>
      <c r="B146" s="68">
        <f t="shared" si="9"/>
        <v>37</v>
      </c>
      <c r="C146" s="3" t="s">
        <v>18</v>
      </c>
      <c r="D146" s="3">
        <v>3711</v>
      </c>
      <c r="E146" s="3">
        <v>291</v>
      </c>
      <c r="F146" s="3">
        <v>900862</v>
      </c>
      <c r="G146" s="4">
        <v>14.24879726306582</v>
      </c>
      <c r="H146" s="3">
        <v>55603</v>
      </c>
      <c r="I146" s="3" t="str">
        <f>'Task 3.1'!N169</f>
        <v>Health &amp; Fitness Awareness</v>
      </c>
      <c r="J146" s="3">
        <f t="shared" si="8"/>
        <v>3420</v>
      </c>
      <c r="M146"/>
      <c r="N146"/>
    </row>
    <row r="147" spans="1:14" x14ac:dyDescent="0.3">
      <c r="A147" s="2">
        <v>45698</v>
      </c>
      <c r="B147" s="68">
        <f t="shared" si="9"/>
        <v>37</v>
      </c>
      <c r="C147" s="3" t="s">
        <v>18</v>
      </c>
      <c r="D147" s="3">
        <v>2668</v>
      </c>
      <c r="E147" s="3">
        <v>143</v>
      </c>
      <c r="F147" s="3">
        <v>903387</v>
      </c>
      <c r="G147" s="4">
        <v>15.903372530266649</v>
      </c>
      <c r="H147" s="3">
        <v>33252</v>
      </c>
      <c r="I147" s="3" t="str">
        <f>'Task 3.1'!N170</f>
        <v>Health &amp; Fitness Awareness</v>
      </c>
      <c r="J147" s="3">
        <f t="shared" si="8"/>
        <v>2525</v>
      </c>
      <c r="M147"/>
      <c r="N147"/>
    </row>
    <row r="148" spans="1:14" x14ac:dyDescent="0.3">
      <c r="A148" s="2">
        <v>45698</v>
      </c>
      <c r="B148" s="68">
        <f t="shared" si="9"/>
        <v>37</v>
      </c>
      <c r="C148" s="3" t="s">
        <v>40</v>
      </c>
      <c r="D148" s="3">
        <v>1147</v>
      </c>
      <c r="E148" s="3">
        <v>127</v>
      </c>
      <c r="F148" s="3">
        <v>904407</v>
      </c>
      <c r="G148" s="4">
        <v>1.3997016829812241</v>
      </c>
      <c r="H148" s="3">
        <v>25261</v>
      </c>
      <c r="I148" s="3" t="str">
        <f>'Task 3.1'!N171</f>
        <v>Sustainability Branding</v>
      </c>
      <c r="J148" s="3">
        <f t="shared" si="8"/>
        <v>1020</v>
      </c>
      <c r="M148"/>
      <c r="N148"/>
    </row>
    <row r="149" spans="1:14" x14ac:dyDescent="0.3">
      <c r="A149" s="2">
        <v>45698</v>
      </c>
      <c r="B149" s="68">
        <f t="shared" si="9"/>
        <v>37</v>
      </c>
      <c r="C149" s="3" t="s">
        <v>18</v>
      </c>
      <c r="D149" s="3">
        <v>7420</v>
      </c>
      <c r="E149" s="3">
        <v>743</v>
      </c>
      <c r="F149" s="3">
        <v>911084</v>
      </c>
      <c r="G149" s="4">
        <v>10.593534734448189</v>
      </c>
      <c r="H149" s="3">
        <v>11431</v>
      </c>
      <c r="I149" s="3" t="str">
        <f>'Task 3.1'!N172</f>
        <v>Sustainability Branding</v>
      </c>
      <c r="J149" s="3">
        <f t="shared" si="8"/>
        <v>6677</v>
      </c>
      <c r="M149"/>
      <c r="N149"/>
    </row>
    <row r="150" spans="1:14" x14ac:dyDescent="0.3">
      <c r="A150" s="2">
        <v>45705</v>
      </c>
      <c r="B150" s="68">
        <f t="shared" si="9"/>
        <v>38</v>
      </c>
      <c r="C150" s="3" t="s">
        <v>40</v>
      </c>
      <c r="D150" s="3">
        <v>1365</v>
      </c>
      <c r="E150" s="3">
        <v>75</v>
      </c>
      <c r="F150" s="3">
        <v>912374</v>
      </c>
      <c r="G150" s="4">
        <v>9.2688963078737441</v>
      </c>
      <c r="H150" s="3">
        <v>19067</v>
      </c>
      <c r="I150" s="3" t="str">
        <f>'Task 3.1'!N173</f>
        <v>Health &amp; Fitness Awareness</v>
      </c>
      <c r="J150" s="3">
        <f t="shared" si="8"/>
        <v>1290</v>
      </c>
      <c r="M150"/>
      <c r="N150"/>
    </row>
    <row r="151" spans="1:14" x14ac:dyDescent="0.3">
      <c r="A151" s="2">
        <v>45705</v>
      </c>
      <c r="B151" s="68">
        <f t="shared" si="9"/>
        <v>38</v>
      </c>
      <c r="C151" s="3" t="s">
        <v>18</v>
      </c>
      <c r="D151" s="3">
        <v>5531</v>
      </c>
      <c r="E151" s="3">
        <v>430</v>
      </c>
      <c r="F151" s="3">
        <v>917475</v>
      </c>
      <c r="G151" s="4">
        <v>2.7289026948963189</v>
      </c>
      <c r="H151" s="3">
        <v>47481</v>
      </c>
      <c r="I151" s="3" t="str">
        <f>'Task 3.1'!N174</f>
        <v>Health &amp; Fitness Awareness</v>
      </c>
      <c r="J151" s="3">
        <f t="shared" si="8"/>
        <v>5101</v>
      </c>
    </row>
    <row r="152" spans="1:14" x14ac:dyDescent="0.3">
      <c r="A152" s="2">
        <v>45705</v>
      </c>
      <c r="B152" s="68">
        <f t="shared" si="9"/>
        <v>38</v>
      </c>
      <c r="C152" s="3" t="s">
        <v>22</v>
      </c>
      <c r="D152" s="3">
        <v>6330</v>
      </c>
      <c r="E152" s="3">
        <v>891</v>
      </c>
      <c r="F152" s="3">
        <v>922914</v>
      </c>
      <c r="G152" s="4">
        <v>14.789893749580139</v>
      </c>
      <c r="H152" s="3">
        <v>37037</v>
      </c>
      <c r="I152" s="3" t="str">
        <f>'Task 3.1'!N175</f>
        <v>Product Promotion</v>
      </c>
      <c r="J152" s="3">
        <f t="shared" si="8"/>
        <v>5439</v>
      </c>
    </row>
    <row r="153" spans="1:14" x14ac:dyDescent="0.3">
      <c r="A153" s="2">
        <v>45705</v>
      </c>
      <c r="B153" s="68">
        <f t="shared" si="9"/>
        <v>38</v>
      </c>
      <c r="C153" s="3" t="s">
        <v>22</v>
      </c>
      <c r="D153" s="3">
        <v>6510</v>
      </c>
      <c r="E153" s="3">
        <v>481</v>
      </c>
      <c r="F153" s="3">
        <v>928943</v>
      </c>
      <c r="G153" s="4">
        <v>2.3800168578696428</v>
      </c>
      <c r="H153" s="3">
        <v>19557</v>
      </c>
      <c r="I153" s="3" t="str">
        <f>'Task 3.1'!N176</f>
        <v>Product Promotion</v>
      </c>
      <c r="J153" s="3">
        <f t="shared" si="8"/>
        <v>6029</v>
      </c>
    </row>
    <row r="154" spans="1:14" x14ac:dyDescent="0.3">
      <c r="A154" s="2">
        <v>45712</v>
      </c>
      <c r="B154" s="68">
        <f t="shared" si="9"/>
        <v>39</v>
      </c>
      <c r="C154" s="3" t="s">
        <v>22</v>
      </c>
      <c r="D154" s="3">
        <v>9754</v>
      </c>
      <c r="E154" s="3">
        <v>629</v>
      </c>
      <c r="F154" s="3">
        <v>938068</v>
      </c>
      <c r="G154" s="4">
        <v>3.4123325814333292</v>
      </c>
      <c r="H154" s="3">
        <v>19435</v>
      </c>
      <c r="I154" s="3" t="str">
        <f>'Task 3.1'!N177</f>
        <v>Product Promotion</v>
      </c>
      <c r="J154" s="3">
        <f t="shared" si="8"/>
        <v>9125</v>
      </c>
    </row>
    <row r="155" spans="1:14" x14ac:dyDescent="0.3">
      <c r="A155" s="2">
        <v>45712</v>
      </c>
      <c r="B155" s="68">
        <f t="shared" si="9"/>
        <v>39</v>
      </c>
      <c r="C155" s="3" t="s">
        <v>13</v>
      </c>
      <c r="D155" s="3">
        <v>9964</v>
      </c>
      <c r="E155" s="3">
        <v>985</v>
      </c>
      <c r="F155" s="3">
        <v>947047</v>
      </c>
      <c r="G155" s="4">
        <v>1.9837452629066989</v>
      </c>
      <c r="H155" s="3">
        <v>47766</v>
      </c>
      <c r="I155" s="3" t="str">
        <f>'Task 3.1'!N178</f>
        <v>Product Promotion</v>
      </c>
      <c r="J155" s="3">
        <f t="shared" si="8"/>
        <v>8979</v>
      </c>
    </row>
    <row r="156" spans="1:14" x14ac:dyDescent="0.3">
      <c r="A156" s="2">
        <v>45712</v>
      </c>
      <c r="B156" s="68">
        <f t="shared" si="9"/>
        <v>39</v>
      </c>
      <c r="C156" s="3" t="s">
        <v>13</v>
      </c>
      <c r="D156" s="3">
        <v>7493</v>
      </c>
      <c r="E156" s="3">
        <v>1113</v>
      </c>
      <c r="F156" s="3">
        <v>953427</v>
      </c>
      <c r="G156" s="4">
        <v>15.684892498324469</v>
      </c>
      <c r="H156" s="3">
        <v>10162</v>
      </c>
      <c r="I156" s="3" t="str">
        <f>'Task 3.1'!N179</f>
        <v>Product Launch</v>
      </c>
      <c r="J156" s="3">
        <f t="shared" si="8"/>
        <v>6380</v>
      </c>
    </row>
    <row r="157" spans="1:14" x14ac:dyDescent="0.3">
      <c r="A157" s="2">
        <v>45712</v>
      </c>
      <c r="B157" s="68">
        <f t="shared" si="9"/>
        <v>39</v>
      </c>
      <c r="C157" s="3" t="s">
        <v>22</v>
      </c>
      <c r="D157" s="3">
        <v>6439</v>
      </c>
      <c r="E157" s="3">
        <v>477</v>
      </c>
      <c r="F157" s="3">
        <v>959389</v>
      </c>
      <c r="G157" s="4">
        <v>7.4744446725989153</v>
      </c>
      <c r="H157" s="3">
        <v>44742</v>
      </c>
      <c r="I157" s="3" t="str">
        <f>'Task 3.1'!N180</f>
        <v>Product Launch</v>
      </c>
      <c r="J157" s="3">
        <f t="shared" si="8"/>
        <v>5962</v>
      </c>
    </row>
    <row r="158" spans="1:14" x14ac:dyDescent="0.3">
      <c r="A158" s="2">
        <v>45719</v>
      </c>
      <c r="B158" s="68">
        <f t="shared" si="9"/>
        <v>40</v>
      </c>
      <c r="C158" s="3" t="s">
        <v>13</v>
      </c>
      <c r="D158" s="3">
        <v>7511</v>
      </c>
      <c r="E158" s="3">
        <v>880</v>
      </c>
      <c r="F158" s="3">
        <v>966020</v>
      </c>
      <c r="G158" s="4">
        <v>4.6083932009689246</v>
      </c>
      <c r="H158" s="3">
        <v>29675</v>
      </c>
      <c r="I158" s="3" t="str">
        <f>'Task 3.1'!N181</f>
        <v>Brand Engagement</v>
      </c>
      <c r="J158" s="3">
        <f t="shared" si="8"/>
        <v>6631</v>
      </c>
    </row>
    <row r="159" spans="1:14" x14ac:dyDescent="0.3">
      <c r="A159" s="2">
        <v>45719</v>
      </c>
      <c r="B159" s="68">
        <f t="shared" si="9"/>
        <v>40</v>
      </c>
      <c r="C159" s="3" t="s">
        <v>18</v>
      </c>
      <c r="D159" s="3">
        <v>8504</v>
      </c>
      <c r="E159" s="3">
        <v>1072</v>
      </c>
      <c r="F159" s="3">
        <v>973452</v>
      </c>
      <c r="G159" s="4">
        <v>6.5651927367759271</v>
      </c>
      <c r="H159" s="3">
        <v>18461</v>
      </c>
      <c r="I159" s="3" t="str">
        <f>'Task 3.1'!N182</f>
        <v>Product Launch</v>
      </c>
      <c r="J159" s="3">
        <f t="shared" si="8"/>
        <v>7432</v>
      </c>
    </row>
    <row r="160" spans="1:14" x14ac:dyDescent="0.3">
      <c r="A160" s="2">
        <v>45719</v>
      </c>
      <c r="B160" s="68">
        <f t="shared" si="9"/>
        <v>40</v>
      </c>
      <c r="C160" s="3" t="s">
        <v>40</v>
      </c>
      <c r="D160" s="3">
        <v>2246</v>
      </c>
      <c r="E160" s="3">
        <v>165</v>
      </c>
      <c r="F160" s="3">
        <v>975533</v>
      </c>
      <c r="G160" s="4">
        <v>2.9062061457685191</v>
      </c>
      <c r="H160" s="3">
        <v>27015</v>
      </c>
      <c r="I160" s="3" t="str">
        <f>'Task 3.1'!N183</f>
        <v>Product Launch</v>
      </c>
      <c r="J160" s="3">
        <f t="shared" si="8"/>
        <v>2081</v>
      </c>
    </row>
    <row r="161" spans="1:10" x14ac:dyDescent="0.3">
      <c r="A161" s="2">
        <v>45719</v>
      </c>
      <c r="B161" s="68">
        <f t="shared" si="9"/>
        <v>40</v>
      </c>
      <c r="C161" s="3" t="s">
        <v>40</v>
      </c>
      <c r="D161" s="3">
        <v>4839</v>
      </c>
      <c r="E161" s="3">
        <v>594</v>
      </c>
      <c r="F161" s="3">
        <v>979778</v>
      </c>
      <c r="G161" s="4">
        <v>2.5803804535313102</v>
      </c>
      <c r="H161" s="3">
        <v>42591</v>
      </c>
      <c r="I161" s="3" t="str">
        <f>'Task 3.1'!N184</f>
        <v>Health &amp; Fitness Awareness</v>
      </c>
      <c r="J161" s="3">
        <f t="shared" si="8"/>
        <v>4245</v>
      </c>
    </row>
    <row r="162" spans="1:10" x14ac:dyDescent="0.3">
      <c r="A162" s="2">
        <v>45726</v>
      </c>
      <c r="B162" s="68">
        <f t="shared" si="9"/>
        <v>41</v>
      </c>
      <c r="C162" s="3" t="s">
        <v>40</v>
      </c>
      <c r="D162" s="3">
        <v>9551</v>
      </c>
      <c r="E162" s="3">
        <v>828</v>
      </c>
      <c r="F162" s="3">
        <v>988501</v>
      </c>
      <c r="G162" s="4">
        <v>1.525036393488727</v>
      </c>
      <c r="H162" s="3">
        <v>38047</v>
      </c>
      <c r="I162" s="3" t="str">
        <f>'Task 3.1'!N185</f>
        <v>Health &amp; Fitness Awareness</v>
      </c>
      <c r="J162" s="3">
        <f t="shared" ref="J162:J193" si="10">D162-E162</f>
        <v>8723</v>
      </c>
    </row>
    <row r="163" spans="1:10" x14ac:dyDescent="0.3">
      <c r="A163" s="2">
        <v>45726</v>
      </c>
      <c r="B163" s="68">
        <f t="shared" ref="B163:B194" si="11">IF(A163=A162,B162,B162+1)</f>
        <v>41</v>
      </c>
      <c r="C163" s="3" t="s">
        <v>22</v>
      </c>
      <c r="D163" s="3">
        <v>3376</v>
      </c>
      <c r="E163" s="3">
        <v>382</v>
      </c>
      <c r="F163" s="3">
        <v>991495</v>
      </c>
      <c r="G163" s="4">
        <v>3.8694093263203548</v>
      </c>
      <c r="H163" s="3">
        <v>44782</v>
      </c>
      <c r="I163" s="3" t="str">
        <f>'Task 3.1'!N186</f>
        <v>Product Launch</v>
      </c>
      <c r="J163" s="3">
        <f t="shared" si="10"/>
        <v>2994</v>
      </c>
    </row>
    <row r="164" spans="1:10" x14ac:dyDescent="0.3">
      <c r="A164" s="2">
        <v>45726</v>
      </c>
      <c r="B164" s="68">
        <f t="shared" si="11"/>
        <v>41</v>
      </c>
      <c r="C164" s="3" t="s">
        <v>13</v>
      </c>
      <c r="D164" s="3">
        <v>4009</v>
      </c>
      <c r="E164" s="3">
        <v>454</v>
      </c>
      <c r="F164" s="3">
        <v>995050</v>
      </c>
      <c r="G164" s="4">
        <v>2.1106477061454201</v>
      </c>
      <c r="H164" s="3">
        <v>19833</v>
      </c>
      <c r="I164" s="3" t="str">
        <f>'Task 3.1'!N187</f>
        <v>Product Launch</v>
      </c>
      <c r="J164" s="3">
        <f t="shared" si="10"/>
        <v>3555</v>
      </c>
    </row>
    <row r="165" spans="1:10" x14ac:dyDescent="0.3">
      <c r="A165" s="2">
        <v>45726</v>
      </c>
      <c r="B165" s="68">
        <f t="shared" si="11"/>
        <v>41</v>
      </c>
      <c r="C165" s="3" t="s">
        <v>18</v>
      </c>
      <c r="D165" s="3">
        <v>2827</v>
      </c>
      <c r="E165" s="3">
        <v>292</v>
      </c>
      <c r="F165" s="3">
        <v>997585</v>
      </c>
      <c r="G165" s="4">
        <v>2.4004972007397871</v>
      </c>
      <c r="H165" s="3">
        <v>17896</v>
      </c>
      <c r="I165" s="3" t="str">
        <f>'Task 3.1'!N188</f>
        <v>Product Launch</v>
      </c>
      <c r="J165" s="3">
        <f t="shared" si="10"/>
        <v>2535</v>
      </c>
    </row>
    <row r="166" spans="1:10" x14ac:dyDescent="0.3">
      <c r="A166" s="2">
        <v>45733</v>
      </c>
      <c r="B166" s="68">
        <f t="shared" si="11"/>
        <v>42</v>
      </c>
      <c r="C166" s="3" t="s">
        <v>18</v>
      </c>
      <c r="D166" s="3">
        <v>7979</v>
      </c>
      <c r="E166" s="3">
        <v>470</v>
      </c>
      <c r="F166" s="3">
        <v>1005094</v>
      </c>
      <c r="G166" s="4">
        <v>10.43086517280971</v>
      </c>
      <c r="H166" s="3">
        <v>42972</v>
      </c>
      <c r="I166" s="3" t="str">
        <f>'Task 3.1'!N189</f>
        <v>Product Launch</v>
      </c>
      <c r="J166" s="3">
        <f t="shared" si="10"/>
        <v>7509</v>
      </c>
    </row>
    <row r="167" spans="1:10" x14ac:dyDescent="0.3">
      <c r="A167" s="2">
        <v>45733</v>
      </c>
      <c r="B167" s="68">
        <f t="shared" si="11"/>
        <v>42</v>
      </c>
      <c r="C167" s="3" t="s">
        <v>22</v>
      </c>
      <c r="D167" s="3">
        <v>9569</v>
      </c>
      <c r="E167" s="3">
        <v>1277</v>
      </c>
      <c r="F167" s="3">
        <v>1013386</v>
      </c>
      <c r="G167" s="4">
        <v>12.45517502708741</v>
      </c>
      <c r="H167" s="3">
        <v>59733</v>
      </c>
      <c r="I167" s="3" t="str">
        <f>'Task 3.1'!N190</f>
        <v>Product Launch</v>
      </c>
      <c r="J167" s="3">
        <f t="shared" si="10"/>
        <v>8292</v>
      </c>
    </row>
    <row r="168" spans="1:10" x14ac:dyDescent="0.3">
      <c r="A168" s="2">
        <v>45733</v>
      </c>
      <c r="B168" s="68">
        <f t="shared" si="11"/>
        <v>42</v>
      </c>
      <c r="C168" s="3" t="s">
        <v>18</v>
      </c>
      <c r="D168" s="3">
        <v>5285</v>
      </c>
      <c r="E168" s="3">
        <v>433</v>
      </c>
      <c r="F168" s="3">
        <v>1018238</v>
      </c>
      <c r="G168" s="4">
        <v>8.7022876773406619</v>
      </c>
      <c r="H168" s="3">
        <v>51800</v>
      </c>
      <c r="I168" s="3" t="str">
        <f>'Task 3.1'!N191</f>
        <v>Product Launch</v>
      </c>
      <c r="J168" s="3">
        <f t="shared" si="10"/>
        <v>4852</v>
      </c>
    </row>
    <row r="169" spans="1:10" x14ac:dyDescent="0.3">
      <c r="A169" s="2">
        <v>45733</v>
      </c>
      <c r="B169" s="68">
        <f t="shared" si="11"/>
        <v>42</v>
      </c>
      <c r="C169" s="3" t="s">
        <v>18</v>
      </c>
      <c r="D169" s="3">
        <v>7910</v>
      </c>
      <c r="E169" s="3">
        <v>543</v>
      </c>
      <c r="F169" s="3">
        <v>1025605</v>
      </c>
      <c r="G169" s="4">
        <v>6.0590578244060822</v>
      </c>
      <c r="H169" s="3">
        <v>40508</v>
      </c>
      <c r="I169" s="3" t="str">
        <f>'Task 3.1'!N192</f>
        <v>Sustainability Branding</v>
      </c>
      <c r="J169" s="3">
        <f t="shared" si="10"/>
        <v>7367</v>
      </c>
    </row>
    <row r="170" spans="1:10" x14ac:dyDescent="0.3">
      <c r="A170" s="2">
        <v>45740</v>
      </c>
      <c r="B170" s="68">
        <f t="shared" si="11"/>
        <v>43</v>
      </c>
      <c r="C170" s="3" t="s">
        <v>18</v>
      </c>
      <c r="D170" s="3">
        <v>9561</v>
      </c>
      <c r="E170" s="3">
        <v>517</v>
      </c>
      <c r="F170" s="3">
        <v>1034649</v>
      </c>
      <c r="G170" s="4">
        <v>6.4086467971263694</v>
      </c>
      <c r="H170" s="3">
        <v>15347</v>
      </c>
      <c r="I170" s="3" t="str">
        <f>'Task 3.1'!N193</f>
        <v>Sustainability Branding</v>
      </c>
      <c r="J170" s="3">
        <f t="shared" si="10"/>
        <v>9044</v>
      </c>
    </row>
    <row r="171" spans="1:10" x14ac:dyDescent="0.3">
      <c r="A171" s="2">
        <v>45740</v>
      </c>
      <c r="B171" s="68">
        <f t="shared" si="11"/>
        <v>43</v>
      </c>
      <c r="C171" s="3" t="s">
        <v>18</v>
      </c>
      <c r="D171" s="3">
        <v>3196</v>
      </c>
      <c r="E171" s="3">
        <v>348</v>
      </c>
      <c r="F171" s="3">
        <v>1037497</v>
      </c>
      <c r="G171" s="4">
        <v>14.03040201562029</v>
      </c>
      <c r="H171" s="3">
        <v>40314</v>
      </c>
      <c r="I171" s="3" t="str">
        <f>'Task 3.1'!N194</f>
        <v>Sustainability Branding</v>
      </c>
      <c r="J171" s="3">
        <f t="shared" si="10"/>
        <v>2848</v>
      </c>
    </row>
    <row r="172" spans="1:10" x14ac:dyDescent="0.3">
      <c r="A172" s="2">
        <v>45740</v>
      </c>
      <c r="B172" s="68">
        <f t="shared" si="11"/>
        <v>43</v>
      </c>
      <c r="C172" s="3" t="s">
        <v>13</v>
      </c>
      <c r="D172" s="3">
        <v>4747</v>
      </c>
      <c r="E172" s="3">
        <v>558</v>
      </c>
      <c r="F172" s="3">
        <v>1041686</v>
      </c>
      <c r="G172" s="4">
        <v>5.7680529449373434</v>
      </c>
      <c r="H172" s="3">
        <v>12643</v>
      </c>
      <c r="I172" s="3" t="str">
        <f>'Task 3.1'!N195</f>
        <v>Sustainability Branding</v>
      </c>
      <c r="J172" s="3">
        <f t="shared" si="10"/>
        <v>4189</v>
      </c>
    </row>
    <row r="173" spans="1:10" x14ac:dyDescent="0.3">
      <c r="A173" s="2">
        <v>45740</v>
      </c>
      <c r="B173" s="68">
        <f t="shared" si="11"/>
        <v>43</v>
      </c>
      <c r="C173" s="3" t="s">
        <v>18</v>
      </c>
      <c r="D173" s="3">
        <v>9843</v>
      </c>
      <c r="E173" s="3">
        <v>508</v>
      </c>
      <c r="F173" s="3">
        <v>1051021</v>
      </c>
      <c r="G173" s="4">
        <v>4.2080986012648651</v>
      </c>
      <c r="H173" s="3">
        <v>50785</v>
      </c>
      <c r="I173" s="3" t="str">
        <f>'Task 3.1'!N196</f>
        <v>Brand Engagement</v>
      </c>
      <c r="J173" s="3">
        <f t="shared" si="10"/>
        <v>9335</v>
      </c>
    </row>
    <row r="174" spans="1:10" x14ac:dyDescent="0.3">
      <c r="A174" s="2">
        <v>45747</v>
      </c>
      <c r="B174" s="68">
        <f t="shared" si="11"/>
        <v>44</v>
      </c>
      <c r="C174" s="3" t="s">
        <v>40</v>
      </c>
      <c r="D174" s="3">
        <v>6978</v>
      </c>
      <c r="E174" s="3">
        <v>706</v>
      </c>
      <c r="F174" s="3">
        <v>1057293</v>
      </c>
      <c r="G174" s="4">
        <v>5.057443868445171</v>
      </c>
      <c r="H174" s="3">
        <v>28681</v>
      </c>
      <c r="I174" s="3" t="str">
        <f>'Task 3.1'!N197</f>
        <v>Brand Engagement</v>
      </c>
      <c r="J174" s="3">
        <f t="shared" si="10"/>
        <v>6272</v>
      </c>
    </row>
    <row r="175" spans="1:10" x14ac:dyDescent="0.3">
      <c r="A175" s="2">
        <v>45747</v>
      </c>
      <c r="B175" s="68">
        <f t="shared" si="11"/>
        <v>44</v>
      </c>
      <c r="C175" s="3" t="s">
        <v>22</v>
      </c>
      <c r="D175" s="3">
        <v>6607</v>
      </c>
      <c r="E175" s="3">
        <v>479</v>
      </c>
      <c r="F175" s="3">
        <v>1063421</v>
      </c>
      <c r="G175" s="4">
        <v>5.5892257158735816</v>
      </c>
      <c r="H175" s="3">
        <v>48328</v>
      </c>
      <c r="I175" s="3" t="str">
        <f>'Task 3.1'!N198</f>
        <v>Product Launch</v>
      </c>
      <c r="J175" s="3">
        <f t="shared" si="10"/>
        <v>6128</v>
      </c>
    </row>
    <row r="176" spans="1:10" x14ac:dyDescent="0.3">
      <c r="A176" s="2">
        <v>45747</v>
      </c>
      <c r="B176" s="68">
        <f t="shared" si="11"/>
        <v>44</v>
      </c>
      <c r="C176" s="3" t="s">
        <v>13</v>
      </c>
      <c r="D176" s="3">
        <v>1769</v>
      </c>
      <c r="E176" s="3">
        <v>202</v>
      </c>
      <c r="F176" s="3">
        <v>1064988</v>
      </c>
      <c r="G176" s="4">
        <v>6.5457075572682513</v>
      </c>
      <c r="H176" s="3">
        <v>25892</v>
      </c>
      <c r="I176" s="3" t="str">
        <f>'Task 3.1'!N199</f>
        <v>Product Launch</v>
      </c>
      <c r="J176" s="3">
        <f t="shared" si="10"/>
        <v>1567</v>
      </c>
    </row>
    <row r="177" spans="1:10" x14ac:dyDescent="0.3">
      <c r="A177" s="2">
        <v>45747</v>
      </c>
      <c r="B177" s="68">
        <f t="shared" si="11"/>
        <v>44</v>
      </c>
      <c r="C177" s="3" t="s">
        <v>18</v>
      </c>
      <c r="D177" s="3">
        <v>1780</v>
      </c>
      <c r="E177" s="3">
        <v>120</v>
      </c>
      <c r="F177" s="3">
        <v>1066648</v>
      </c>
      <c r="G177" s="4">
        <v>13.86474263299608</v>
      </c>
      <c r="H177" s="3">
        <v>57299</v>
      </c>
      <c r="I177" s="3" t="str">
        <f>'Task 3.1'!N200</f>
        <v>Health &amp; Fitness Awareness</v>
      </c>
      <c r="J177" s="3">
        <f t="shared" si="10"/>
        <v>1660</v>
      </c>
    </row>
    <row r="178" spans="1:10" x14ac:dyDescent="0.3">
      <c r="A178" s="2">
        <v>45754</v>
      </c>
      <c r="B178" s="68">
        <f t="shared" si="11"/>
        <v>45</v>
      </c>
      <c r="C178" s="3" t="s">
        <v>13</v>
      </c>
      <c r="D178" s="3">
        <v>7303</v>
      </c>
      <c r="E178" s="3">
        <v>869</v>
      </c>
      <c r="F178" s="3">
        <v>1073082</v>
      </c>
      <c r="G178" s="4">
        <v>8.1237966902808925</v>
      </c>
      <c r="H178" s="3">
        <v>27073</v>
      </c>
      <c r="I178" s="3" t="str">
        <f>'Task 3.1'!N201</f>
        <v>Health &amp; Fitness Awareness</v>
      </c>
      <c r="J178" s="3">
        <f t="shared" si="10"/>
        <v>6434</v>
      </c>
    </row>
    <row r="179" spans="1:10" x14ac:dyDescent="0.3">
      <c r="A179" s="2">
        <v>45754</v>
      </c>
      <c r="B179" s="68">
        <f t="shared" si="11"/>
        <v>45</v>
      </c>
      <c r="C179" s="3" t="s">
        <v>18</v>
      </c>
      <c r="D179" s="3">
        <v>4983</v>
      </c>
      <c r="E179" s="3">
        <v>441</v>
      </c>
      <c r="F179" s="3">
        <v>1077624</v>
      </c>
      <c r="G179" s="4">
        <v>6.8954477628560609</v>
      </c>
      <c r="H179" s="3">
        <v>46768</v>
      </c>
      <c r="I179" s="3" t="str">
        <f>'Task 3.1'!N202</f>
        <v>Product Launch</v>
      </c>
      <c r="J179" s="3">
        <f t="shared" si="10"/>
        <v>4542</v>
      </c>
    </row>
    <row r="180" spans="1:10" x14ac:dyDescent="0.3">
      <c r="A180" s="2">
        <v>45754</v>
      </c>
      <c r="B180" s="68">
        <f t="shared" si="11"/>
        <v>45</v>
      </c>
      <c r="C180" s="3" t="s">
        <v>40</v>
      </c>
      <c r="D180" s="3">
        <v>9714</v>
      </c>
      <c r="E180" s="3">
        <v>1395</v>
      </c>
      <c r="F180" s="3">
        <v>1085943</v>
      </c>
      <c r="G180" s="4">
        <v>5.2243073531483697</v>
      </c>
      <c r="H180" s="3">
        <v>40682</v>
      </c>
      <c r="I180" s="3" t="str">
        <f>'Task 3.1'!N203</f>
        <v>Product Launch</v>
      </c>
      <c r="J180" s="3">
        <f t="shared" si="10"/>
        <v>8319</v>
      </c>
    </row>
    <row r="181" spans="1:10" x14ac:dyDescent="0.3">
      <c r="A181" s="2">
        <v>45754</v>
      </c>
      <c r="B181" s="68">
        <f t="shared" si="11"/>
        <v>45</v>
      </c>
      <c r="C181" s="3" t="s">
        <v>22</v>
      </c>
      <c r="D181" s="3">
        <v>1521</v>
      </c>
      <c r="E181" s="3">
        <v>96</v>
      </c>
      <c r="F181" s="3">
        <v>1087368</v>
      </c>
      <c r="G181" s="4">
        <v>12.709772588488899</v>
      </c>
      <c r="H181" s="3">
        <v>42262</v>
      </c>
      <c r="I181" s="3" t="str">
        <f>'Task 3.1'!N204</f>
        <v>Sustainability Branding</v>
      </c>
      <c r="J181" s="3">
        <f t="shared" si="10"/>
        <v>1425</v>
      </c>
    </row>
    <row r="182" spans="1:10" x14ac:dyDescent="0.3">
      <c r="A182" s="2">
        <v>45761</v>
      </c>
      <c r="B182" s="68">
        <f t="shared" si="11"/>
        <v>46</v>
      </c>
      <c r="C182" s="3" t="s">
        <v>18</v>
      </c>
      <c r="D182" s="3">
        <v>8569</v>
      </c>
      <c r="E182" s="3">
        <v>720</v>
      </c>
      <c r="F182" s="3">
        <v>1095217</v>
      </c>
      <c r="G182" s="4">
        <v>9.589697749395782</v>
      </c>
      <c r="H182" s="3">
        <v>41358</v>
      </c>
      <c r="I182" s="3" t="str">
        <f>'Task 3.1'!N205</f>
        <v>Product Promotion</v>
      </c>
      <c r="J182" s="3">
        <f t="shared" si="10"/>
        <v>7849</v>
      </c>
    </row>
    <row r="183" spans="1:10" x14ac:dyDescent="0.3">
      <c r="A183" s="2">
        <v>45761</v>
      </c>
      <c r="B183" s="68">
        <f t="shared" si="11"/>
        <v>46</v>
      </c>
      <c r="C183" s="3" t="s">
        <v>18</v>
      </c>
      <c r="D183" s="3">
        <v>6784</v>
      </c>
      <c r="E183" s="3">
        <v>416</v>
      </c>
      <c r="F183" s="3">
        <v>1101585</v>
      </c>
      <c r="G183" s="4">
        <v>9.3041390360253633</v>
      </c>
      <c r="H183" s="3">
        <v>24289</v>
      </c>
      <c r="I183" s="3" t="str">
        <f>'Task 3.1'!N206</f>
        <v>Product Promotion</v>
      </c>
      <c r="J183" s="3">
        <f t="shared" si="10"/>
        <v>6368</v>
      </c>
    </row>
    <row r="184" spans="1:10" x14ac:dyDescent="0.3">
      <c r="A184" s="2">
        <v>45761</v>
      </c>
      <c r="B184" s="68">
        <f t="shared" si="11"/>
        <v>46</v>
      </c>
      <c r="C184" s="3" t="s">
        <v>18</v>
      </c>
      <c r="D184" s="3">
        <v>5583</v>
      </c>
      <c r="E184" s="3">
        <v>795</v>
      </c>
      <c r="F184" s="3">
        <v>1106373</v>
      </c>
      <c r="G184" s="4">
        <v>12.21550055903389</v>
      </c>
      <c r="H184" s="3">
        <v>59823</v>
      </c>
      <c r="I184" s="3" t="str">
        <f>'Task 3.1'!N207</f>
        <v>Sustainability Branding</v>
      </c>
      <c r="J184" s="3">
        <f t="shared" si="10"/>
        <v>4788</v>
      </c>
    </row>
    <row r="185" spans="1:10" x14ac:dyDescent="0.3">
      <c r="A185" s="2">
        <v>45761</v>
      </c>
      <c r="B185" s="68">
        <f t="shared" si="11"/>
        <v>46</v>
      </c>
      <c r="C185" s="3" t="s">
        <v>18</v>
      </c>
      <c r="D185" s="3">
        <v>6946</v>
      </c>
      <c r="E185" s="3">
        <v>956</v>
      </c>
      <c r="F185" s="3">
        <v>1112363</v>
      </c>
      <c r="G185" s="4">
        <v>1.64146056637986</v>
      </c>
      <c r="H185" s="3">
        <v>17927</v>
      </c>
      <c r="I185" s="3" t="str">
        <f>'Task 3.1'!N208</f>
        <v>Sustainability Branding</v>
      </c>
      <c r="J185" s="3">
        <f t="shared" si="10"/>
        <v>5990</v>
      </c>
    </row>
    <row r="186" spans="1:10" x14ac:dyDescent="0.3">
      <c r="A186" s="2">
        <v>45768</v>
      </c>
      <c r="B186" s="68">
        <f t="shared" si="11"/>
        <v>47</v>
      </c>
      <c r="C186" s="3" t="s">
        <v>22</v>
      </c>
      <c r="D186" s="3">
        <v>5941</v>
      </c>
      <c r="E186" s="3">
        <v>450</v>
      </c>
      <c r="F186" s="3">
        <v>1117854</v>
      </c>
      <c r="G186" s="4">
        <v>12.414411899944</v>
      </c>
      <c r="H186" s="3">
        <v>58330</v>
      </c>
      <c r="I186" s="3" t="str">
        <f>'Task 3.1'!N209</f>
        <v>Health &amp; Fitness Awareness</v>
      </c>
      <c r="J186" s="3">
        <f t="shared" si="10"/>
        <v>5491</v>
      </c>
    </row>
    <row r="187" spans="1:10" x14ac:dyDescent="0.3">
      <c r="A187" s="2">
        <v>45768</v>
      </c>
      <c r="B187" s="68">
        <f t="shared" si="11"/>
        <v>47</v>
      </c>
      <c r="C187" s="3" t="s">
        <v>22</v>
      </c>
      <c r="D187" s="3">
        <v>7267</v>
      </c>
      <c r="E187" s="3">
        <v>842</v>
      </c>
      <c r="F187" s="3">
        <v>1124279</v>
      </c>
      <c r="G187" s="4">
        <v>2.2102165031989389</v>
      </c>
      <c r="H187" s="3">
        <v>11171</v>
      </c>
      <c r="I187" s="3" t="str">
        <f>'Task 3.1'!N210</f>
        <v>Health &amp; Fitness Awareness</v>
      </c>
      <c r="J187" s="3">
        <f t="shared" si="10"/>
        <v>6425</v>
      </c>
    </row>
    <row r="188" spans="1:10" x14ac:dyDescent="0.3">
      <c r="A188" s="2">
        <v>45768</v>
      </c>
      <c r="B188" s="68">
        <f t="shared" si="11"/>
        <v>47</v>
      </c>
      <c r="C188" s="3" t="s">
        <v>40</v>
      </c>
      <c r="D188" s="3">
        <v>8128</v>
      </c>
      <c r="E188" s="3">
        <v>1070</v>
      </c>
      <c r="F188" s="3">
        <v>1131337</v>
      </c>
      <c r="G188" s="4">
        <v>8.1114645768679008</v>
      </c>
      <c r="H188" s="3">
        <v>21918</v>
      </c>
      <c r="I188" s="3" t="str">
        <f>'Task 3.1'!N211</f>
        <v>Brand Engagement</v>
      </c>
      <c r="J188" s="3">
        <f t="shared" si="10"/>
        <v>7058</v>
      </c>
    </row>
    <row r="189" spans="1:10" x14ac:dyDescent="0.3">
      <c r="A189" s="2">
        <v>45768</v>
      </c>
      <c r="B189" s="68">
        <f t="shared" si="11"/>
        <v>47</v>
      </c>
      <c r="C189" s="3" t="s">
        <v>22</v>
      </c>
      <c r="D189" s="3">
        <v>3461</v>
      </c>
      <c r="E189" s="3">
        <v>365</v>
      </c>
      <c r="F189" s="3">
        <v>1134433</v>
      </c>
      <c r="G189" s="4">
        <v>10.23489267325616</v>
      </c>
      <c r="H189" s="3">
        <v>51903</v>
      </c>
      <c r="I189" s="3" t="str">
        <f>'Task 3.1'!N212</f>
        <v>Brand Engagement</v>
      </c>
      <c r="J189" s="3">
        <f t="shared" si="10"/>
        <v>3096</v>
      </c>
    </row>
    <row r="190" spans="1:10" x14ac:dyDescent="0.3">
      <c r="A190" s="2">
        <v>45775</v>
      </c>
      <c r="B190" s="68">
        <f t="shared" si="11"/>
        <v>48</v>
      </c>
      <c r="C190" s="3" t="s">
        <v>18</v>
      </c>
      <c r="D190" s="3">
        <v>1685</v>
      </c>
      <c r="E190" s="3">
        <v>173</v>
      </c>
      <c r="F190" s="3">
        <v>1135945</v>
      </c>
      <c r="G190" s="4">
        <v>8.7776256772995165</v>
      </c>
      <c r="H190" s="3">
        <v>49110</v>
      </c>
      <c r="I190" s="3" t="str">
        <f>'Task 3.1'!N213</f>
        <v>Product Launch</v>
      </c>
      <c r="J190" s="3">
        <f t="shared" si="10"/>
        <v>1512</v>
      </c>
    </row>
    <row r="191" spans="1:10" x14ac:dyDescent="0.3">
      <c r="A191" s="2">
        <v>45775</v>
      </c>
      <c r="B191" s="68">
        <f t="shared" si="11"/>
        <v>48</v>
      </c>
      <c r="C191" s="3" t="s">
        <v>40</v>
      </c>
      <c r="D191" s="3">
        <v>3160</v>
      </c>
      <c r="E191" s="3">
        <v>234</v>
      </c>
      <c r="F191" s="3">
        <v>1138871</v>
      </c>
      <c r="G191" s="4">
        <v>5.6959041015180816</v>
      </c>
      <c r="H191" s="3">
        <v>21929</v>
      </c>
      <c r="I191" s="3" t="str">
        <f>'Task 3.1'!N214</f>
        <v>Product Launch</v>
      </c>
      <c r="J191" s="3">
        <f t="shared" si="10"/>
        <v>2926</v>
      </c>
    </row>
    <row r="192" spans="1:10" x14ac:dyDescent="0.3">
      <c r="A192" s="2">
        <v>45775</v>
      </c>
      <c r="B192" s="68">
        <f t="shared" si="11"/>
        <v>48</v>
      </c>
      <c r="C192" s="3" t="s">
        <v>40</v>
      </c>
      <c r="D192" s="3">
        <v>8031</v>
      </c>
      <c r="E192" s="3">
        <v>476</v>
      </c>
      <c r="F192" s="3">
        <v>1146426</v>
      </c>
      <c r="G192" s="4">
        <v>11.940413075069831</v>
      </c>
      <c r="H192" s="3">
        <v>12539</v>
      </c>
      <c r="I192" s="3" t="str">
        <f>'Task 3.1'!N215</f>
        <v>Health &amp; Fitness Awareness</v>
      </c>
      <c r="J192" s="3">
        <f t="shared" si="10"/>
        <v>7555</v>
      </c>
    </row>
    <row r="193" spans="1:10" x14ac:dyDescent="0.3">
      <c r="A193" s="2">
        <v>45775</v>
      </c>
      <c r="B193" s="68">
        <f t="shared" si="11"/>
        <v>48</v>
      </c>
      <c r="C193" s="3" t="s">
        <v>40</v>
      </c>
      <c r="D193" s="3">
        <v>6341</v>
      </c>
      <c r="E193" s="3">
        <v>885</v>
      </c>
      <c r="F193" s="3">
        <v>1151882</v>
      </c>
      <c r="G193" s="4">
        <v>6.3457020771224837</v>
      </c>
      <c r="H193" s="3">
        <v>46727</v>
      </c>
      <c r="I193" s="3" t="str">
        <f>'Task 3.1'!N216</f>
        <v>Health &amp; Fitness Awareness</v>
      </c>
      <c r="J193" s="3">
        <f t="shared" si="10"/>
        <v>5456</v>
      </c>
    </row>
    <row r="194" spans="1:10" x14ac:dyDescent="0.3">
      <c r="A194" s="2">
        <v>45782</v>
      </c>
      <c r="B194" s="68">
        <f t="shared" si="11"/>
        <v>49</v>
      </c>
      <c r="C194" s="3" t="s">
        <v>18</v>
      </c>
      <c r="D194" s="3">
        <v>1038</v>
      </c>
      <c r="E194" s="3">
        <v>145</v>
      </c>
      <c r="F194" s="3">
        <v>1152775</v>
      </c>
      <c r="G194" s="4">
        <v>11.093752033137431</v>
      </c>
      <c r="H194" s="3">
        <v>55951</v>
      </c>
      <c r="I194" s="3" t="str">
        <f>'Task 3.1'!N217</f>
        <v>Sustainability Branding</v>
      </c>
      <c r="J194" s="3">
        <f t="shared" ref="J194:J201" si="12">D194-E194</f>
        <v>893</v>
      </c>
    </row>
    <row r="195" spans="1:10" x14ac:dyDescent="0.3">
      <c r="A195" s="2">
        <v>45782</v>
      </c>
      <c r="B195" s="68">
        <f t="shared" ref="B195:B226" si="13">IF(A195=A194,B194,B194+1)</f>
        <v>49</v>
      </c>
      <c r="C195" s="3" t="s">
        <v>13</v>
      </c>
      <c r="D195" s="3">
        <v>5875</v>
      </c>
      <c r="E195" s="3">
        <v>665</v>
      </c>
      <c r="F195" s="3">
        <v>1157985</v>
      </c>
      <c r="G195" s="4">
        <v>6.9871371390821126</v>
      </c>
      <c r="H195" s="3">
        <v>32669</v>
      </c>
      <c r="I195" s="3" t="str">
        <f>'Task 3.1'!N218</f>
        <v>Sustainability Branding</v>
      </c>
      <c r="J195" s="3">
        <f t="shared" si="12"/>
        <v>5210</v>
      </c>
    </row>
    <row r="196" spans="1:10" x14ac:dyDescent="0.3">
      <c r="A196" s="2">
        <v>45782</v>
      </c>
      <c r="B196" s="68">
        <f t="shared" si="13"/>
        <v>49</v>
      </c>
      <c r="C196" s="3" t="s">
        <v>18</v>
      </c>
      <c r="D196" s="3">
        <v>2256</v>
      </c>
      <c r="E196" s="3">
        <v>189</v>
      </c>
      <c r="F196" s="3">
        <v>1160052</v>
      </c>
      <c r="G196" s="4">
        <v>2.8935771844710412</v>
      </c>
      <c r="H196" s="3">
        <v>15432</v>
      </c>
      <c r="I196" s="3" t="str">
        <f>'Task 3.1'!N219</f>
        <v>Sustainability Branding</v>
      </c>
      <c r="J196" s="3">
        <f t="shared" si="12"/>
        <v>2067</v>
      </c>
    </row>
    <row r="197" spans="1:10" x14ac:dyDescent="0.3">
      <c r="A197" s="2">
        <v>45782</v>
      </c>
      <c r="B197" s="68">
        <f t="shared" si="13"/>
        <v>49</v>
      </c>
      <c r="C197" s="3" t="s">
        <v>22</v>
      </c>
      <c r="D197" s="3">
        <v>8697</v>
      </c>
      <c r="E197" s="3">
        <v>738</v>
      </c>
      <c r="F197" s="3">
        <v>1168011</v>
      </c>
      <c r="G197" s="4">
        <v>3.8777032065622672</v>
      </c>
      <c r="H197" s="3">
        <v>30644</v>
      </c>
      <c r="I197" s="3" t="str">
        <f>'Task 3.1'!N220</f>
        <v>Sustainability Branding</v>
      </c>
      <c r="J197" s="3">
        <f t="shared" si="12"/>
        <v>7959</v>
      </c>
    </row>
    <row r="198" spans="1:10" x14ac:dyDescent="0.3">
      <c r="A198" s="2">
        <v>45789</v>
      </c>
      <c r="B198" s="68">
        <f t="shared" si="13"/>
        <v>50</v>
      </c>
      <c r="C198" s="3" t="s">
        <v>22</v>
      </c>
      <c r="D198" s="3">
        <v>3196</v>
      </c>
      <c r="E198" s="3">
        <v>391</v>
      </c>
      <c r="F198" s="3">
        <v>1170816</v>
      </c>
      <c r="G198" s="4">
        <v>7.2439221876024931</v>
      </c>
      <c r="H198" s="3">
        <v>28745</v>
      </c>
      <c r="I198" s="3" t="str">
        <f>'Task 3.1'!N221</f>
        <v>Health &amp; Fitness Awareness</v>
      </c>
      <c r="J198" s="3">
        <f t="shared" si="12"/>
        <v>2805</v>
      </c>
    </row>
    <row r="199" spans="1:10" x14ac:dyDescent="0.3">
      <c r="A199" s="2">
        <v>45789</v>
      </c>
      <c r="B199" s="68">
        <f t="shared" si="13"/>
        <v>50</v>
      </c>
      <c r="C199" s="3" t="s">
        <v>18</v>
      </c>
      <c r="D199" s="3">
        <v>8165</v>
      </c>
      <c r="E199" s="3">
        <v>1140</v>
      </c>
      <c r="F199" s="3">
        <v>1177841</v>
      </c>
      <c r="G199" s="4">
        <v>9.095964565675672</v>
      </c>
      <c r="H199" s="3">
        <v>38228</v>
      </c>
      <c r="I199" s="3" t="str">
        <f>'Task 3.1'!N222</f>
        <v>Health &amp; Fitness Awareness</v>
      </c>
      <c r="J199" s="3">
        <f t="shared" si="12"/>
        <v>7025</v>
      </c>
    </row>
    <row r="200" spans="1:10" x14ac:dyDescent="0.3">
      <c r="A200" s="2">
        <v>45789</v>
      </c>
      <c r="B200" s="68">
        <f t="shared" si="13"/>
        <v>50</v>
      </c>
      <c r="C200" s="3" t="s">
        <v>18</v>
      </c>
      <c r="D200" s="3">
        <v>1301</v>
      </c>
      <c r="E200" s="3">
        <v>180</v>
      </c>
      <c r="F200" s="3">
        <v>1178962</v>
      </c>
      <c r="G200" s="4">
        <v>5.2275645864752214</v>
      </c>
      <c r="H200" s="3">
        <v>44521</v>
      </c>
      <c r="I200" s="3" t="str">
        <f>'Task 3.1'!N223</f>
        <v>Brand Engagement</v>
      </c>
      <c r="J200" s="3">
        <f t="shared" si="12"/>
        <v>1121</v>
      </c>
    </row>
    <row r="201" spans="1:10" x14ac:dyDescent="0.3">
      <c r="A201" s="2">
        <v>45789</v>
      </c>
      <c r="B201" s="68">
        <f t="shared" si="13"/>
        <v>50</v>
      </c>
      <c r="C201" s="3" t="s">
        <v>40</v>
      </c>
      <c r="D201" s="3">
        <v>8527</v>
      </c>
      <c r="E201" s="3">
        <v>1091</v>
      </c>
      <c r="F201" s="3">
        <v>1186398</v>
      </c>
      <c r="G201" s="4">
        <v>1.676081719625286</v>
      </c>
      <c r="H201" s="3">
        <v>41703</v>
      </c>
      <c r="I201" s="9" t="str">
        <f>'Task 3.1'!N224</f>
        <v>Health &amp; Fitness Awareness</v>
      </c>
      <c r="J201" s="3">
        <f t="shared" si="12"/>
        <v>7436</v>
      </c>
    </row>
  </sheetData>
  <pageMargins left="0.7" right="0.7" top="0.75" bottom="0.75" header="0.3" footer="0.3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A52A8-F79A-4A3F-8C5C-812E80BC2DAD}">
  <dimension ref="A1:L201"/>
  <sheetViews>
    <sheetView zoomScale="65" workbookViewId="0">
      <selection activeCell="L4" sqref="L4"/>
    </sheetView>
  </sheetViews>
  <sheetFormatPr defaultRowHeight="14.4" x14ac:dyDescent="0.3"/>
  <cols>
    <col min="1" max="1" width="15.5546875" bestFit="1" customWidth="1"/>
    <col min="2" max="2" width="12.33203125" bestFit="1" customWidth="1"/>
    <col min="3" max="3" width="9.109375" bestFit="1" customWidth="1"/>
    <col min="4" max="4" width="13.77734375" bestFit="1" customWidth="1"/>
    <col min="5" max="5" width="9.33203125" bestFit="1" customWidth="1"/>
    <col min="6" max="6" width="14.21875" bestFit="1" customWidth="1"/>
    <col min="7" max="7" width="15.88671875" bestFit="1" customWidth="1"/>
    <col min="8" max="8" width="9" bestFit="1" customWidth="1"/>
    <col min="9" max="9" width="23.6640625" bestFit="1" customWidth="1"/>
    <col min="10" max="10" width="10.88671875" bestFit="1" customWidth="1"/>
  </cols>
  <sheetData>
    <row r="1" spans="1:12" x14ac:dyDescent="0.3">
      <c r="A1" t="s">
        <v>337</v>
      </c>
      <c r="B1" t="s">
        <v>443</v>
      </c>
      <c r="C1" t="s">
        <v>1</v>
      </c>
      <c r="D1" t="s">
        <v>338</v>
      </c>
      <c r="E1" t="s">
        <v>339</v>
      </c>
      <c r="F1" t="s">
        <v>340</v>
      </c>
      <c r="G1" t="s">
        <v>341</v>
      </c>
      <c r="H1" t="s">
        <v>342</v>
      </c>
      <c r="I1" t="s">
        <v>11</v>
      </c>
      <c r="J1" t="s">
        <v>414</v>
      </c>
    </row>
    <row r="2" spans="1:12" x14ac:dyDescent="0.3">
      <c r="A2" s="70">
        <v>45740</v>
      </c>
      <c r="B2" s="34">
        <v>43</v>
      </c>
      <c r="C2" s="34" t="s">
        <v>18</v>
      </c>
      <c r="D2" s="34">
        <v>9843</v>
      </c>
      <c r="E2" s="34">
        <v>508</v>
      </c>
      <c r="F2" s="34">
        <v>1051021</v>
      </c>
      <c r="G2" s="34">
        <v>4.2080986012648651</v>
      </c>
      <c r="H2" s="34">
        <v>50785</v>
      </c>
      <c r="I2" s="34" t="s">
        <v>352</v>
      </c>
      <c r="J2" s="34">
        <v>9335</v>
      </c>
    </row>
    <row r="3" spans="1:12" x14ac:dyDescent="0.3">
      <c r="A3" s="71">
        <v>45663</v>
      </c>
      <c r="B3">
        <v>32</v>
      </c>
      <c r="C3" t="s">
        <v>18</v>
      </c>
      <c r="D3">
        <v>9980</v>
      </c>
      <c r="E3">
        <v>726</v>
      </c>
      <c r="F3">
        <v>781868</v>
      </c>
      <c r="G3">
        <v>4.0220344099003924</v>
      </c>
      <c r="H3">
        <v>58709</v>
      </c>
      <c r="I3" t="s">
        <v>348</v>
      </c>
      <c r="J3">
        <v>9254</v>
      </c>
    </row>
    <row r="4" spans="1:12" x14ac:dyDescent="0.3">
      <c r="A4" s="71">
        <v>45712</v>
      </c>
      <c r="B4">
        <v>39</v>
      </c>
      <c r="C4" t="s">
        <v>22</v>
      </c>
      <c r="D4">
        <v>9754</v>
      </c>
      <c r="E4">
        <v>629</v>
      </c>
      <c r="F4">
        <v>938068</v>
      </c>
      <c r="G4">
        <v>3.4123325814333292</v>
      </c>
      <c r="H4">
        <v>19435</v>
      </c>
      <c r="I4" t="s">
        <v>349</v>
      </c>
      <c r="J4">
        <v>9125</v>
      </c>
      <c r="L4" s="34" t="s">
        <v>446</v>
      </c>
    </row>
    <row r="5" spans="1:12" x14ac:dyDescent="0.3">
      <c r="A5" s="71">
        <v>45544</v>
      </c>
      <c r="B5">
        <v>15</v>
      </c>
      <c r="C5" t="s">
        <v>13</v>
      </c>
      <c r="D5">
        <v>9800</v>
      </c>
      <c r="E5">
        <v>682</v>
      </c>
      <c r="F5">
        <v>429929</v>
      </c>
      <c r="G5">
        <v>6.2966210699906267</v>
      </c>
      <c r="H5">
        <v>59815</v>
      </c>
      <c r="I5" t="s">
        <v>350</v>
      </c>
      <c r="J5">
        <v>9118</v>
      </c>
    </row>
    <row r="6" spans="1:12" x14ac:dyDescent="0.3">
      <c r="A6" s="71">
        <v>45495</v>
      </c>
      <c r="B6">
        <v>8</v>
      </c>
      <c r="C6" t="s">
        <v>13</v>
      </c>
      <c r="D6">
        <v>9734</v>
      </c>
      <c r="E6">
        <v>652</v>
      </c>
      <c r="F6">
        <v>289283</v>
      </c>
      <c r="G6">
        <v>49.647922622483861</v>
      </c>
      <c r="H6">
        <v>25379</v>
      </c>
      <c r="I6" t="s">
        <v>351</v>
      </c>
      <c r="J6">
        <v>9082</v>
      </c>
      <c r="L6" t="s">
        <v>447</v>
      </c>
    </row>
    <row r="7" spans="1:12" x14ac:dyDescent="0.3">
      <c r="A7" s="71">
        <v>45740</v>
      </c>
      <c r="B7">
        <v>43</v>
      </c>
      <c r="C7" t="s">
        <v>18</v>
      </c>
      <c r="D7">
        <v>9561</v>
      </c>
      <c r="E7">
        <v>517</v>
      </c>
      <c r="F7">
        <v>1034649</v>
      </c>
      <c r="G7">
        <v>6.4086467971263694</v>
      </c>
      <c r="H7">
        <v>15347</v>
      </c>
      <c r="I7" t="s">
        <v>351</v>
      </c>
      <c r="J7">
        <v>9044</v>
      </c>
    </row>
    <row r="8" spans="1:12" x14ac:dyDescent="0.3">
      <c r="A8" s="71">
        <v>45712</v>
      </c>
      <c r="B8">
        <v>39</v>
      </c>
      <c r="C8" t="s">
        <v>13</v>
      </c>
      <c r="D8">
        <v>9964</v>
      </c>
      <c r="E8">
        <v>985</v>
      </c>
      <c r="F8">
        <v>947047</v>
      </c>
      <c r="G8">
        <v>1.9837452629066989</v>
      </c>
      <c r="H8">
        <v>47766</v>
      </c>
      <c r="I8" t="s">
        <v>349</v>
      </c>
      <c r="J8">
        <v>8979</v>
      </c>
    </row>
    <row r="9" spans="1:12" x14ac:dyDescent="0.3">
      <c r="A9" s="71">
        <v>45621</v>
      </c>
      <c r="B9">
        <v>26</v>
      </c>
      <c r="C9" t="s">
        <v>18</v>
      </c>
      <c r="D9">
        <v>9737</v>
      </c>
      <c r="E9">
        <v>792</v>
      </c>
      <c r="F9">
        <v>670642</v>
      </c>
      <c r="G9">
        <v>5.301785453341723</v>
      </c>
      <c r="H9">
        <v>56698</v>
      </c>
      <c r="I9" t="s">
        <v>350</v>
      </c>
      <c r="J9">
        <v>8945</v>
      </c>
    </row>
    <row r="10" spans="1:12" x14ac:dyDescent="0.3">
      <c r="A10" s="71">
        <v>45726</v>
      </c>
      <c r="B10">
        <v>41</v>
      </c>
      <c r="C10" t="s">
        <v>40</v>
      </c>
      <c r="D10">
        <v>9551</v>
      </c>
      <c r="E10">
        <v>828</v>
      </c>
      <c r="F10">
        <v>988501</v>
      </c>
      <c r="G10">
        <v>1.525036393488727</v>
      </c>
      <c r="H10">
        <v>38047</v>
      </c>
      <c r="I10" t="s">
        <v>350</v>
      </c>
      <c r="J10">
        <v>8723</v>
      </c>
    </row>
    <row r="11" spans="1:12" x14ac:dyDescent="0.3">
      <c r="A11" s="71">
        <v>45467</v>
      </c>
      <c r="B11">
        <v>4</v>
      </c>
      <c r="C11" t="s">
        <v>40</v>
      </c>
      <c r="D11">
        <v>9984</v>
      </c>
      <c r="E11">
        <v>1330</v>
      </c>
      <c r="F11">
        <v>184850</v>
      </c>
      <c r="G11">
        <v>57.524479307546663</v>
      </c>
      <c r="H11">
        <v>44947</v>
      </c>
      <c r="I11" t="s">
        <v>352</v>
      </c>
      <c r="J11">
        <v>8654</v>
      </c>
    </row>
    <row r="12" spans="1:12" x14ac:dyDescent="0.3">
      <c r="A12" s="71">
        <v>45467</v>
      </c>
      <c r="B12">
        <v>4</v>
      </c>
      <c r="C12" t="s">
        <v>13</v>
      </c>
      <c r="D12">
        <v>9286</v>
      </c>
      <c r="E12">
        <v>633</v>
      </c>
      <c r="F12">
        <v>198388</v>
      </c>
      <c r="G12">
        <v>5.4343004617214756</v>
      </c>
      <c r="H12">
        <v>48019</v>
      </c>
      <c r="I12" t="s">
        <v>352</v>
      </c>
      <c r="J12">
        <v>8653</v>
      </c>
    </row>
    <row r="13" spans="1:12" x14ac:dyDescent="0.3">
      <c r="A13" s="71">
        <v>45691</v>
      </c>
      <c r="B13">
        <v>36</v>
      </c>
      <c r="C13" t="s">
        <v>13</v>
      </c>
      <c r="D13">
        <v>9599</v>
      </c>
      <c r="E13">
        <v>957</v>
      </c>
      <c r="F13">
        <v>889484</v>
      </c>
      <c r="G13">
        <v>8.768004820772493</v>
      </c>
      <c r="H13">
        <v>11619</v>
      </c>
      <c r="I13" t="s">
        <v>352</v>
      </c>
      <c r="J13">
        <v>8642</v>
      </c>
    </row>
    <row r="14" spans="1:12" x14ac:dyDescent="0.3">
      <c r="A14" s="71">
        <v>45607</v>
      </c>
      <c r="B14">
        <v>24</v>
      </c>
      <c r="C14" t="s">
        <v>40</v>
      </c>
      <c r="D14">
        <v>9656</v>
      </c>
      <c r="E14">
        <v>1024</v>
      </c>
      <c r="F14">
        <v>615820</v>
      </c>
      <c r="G14">
        <v>8.7252768666168681</v>
      </c>
      <c r="H14">
        <v>58998</v>
      </c>
      <c r="I14" t="s">
        <v>349</v>
      </c>
      <c r="J14">
        <v>8632</v>
      </c>
    </row>
    <row r="15" spans="1:12" x14ac:dyDescent="0.3">
      <c r="A15" s="71">
        <v>45663</v>
      </c>
      <c r="B15">
        <v>32</v>
      </c>
      <c r="C15" t="s">
        <v>13</v>
      </c>
      <c r="D15">
        <v>9906</v>
      </c>
      <c r="E15">
        <v>1305</v>
      </c>
      <c r="F15">
        <v>798137</v>
      </c>
      <c r="G15">
        <v>9.1811305577864442</v>
      </c>
      <c r="H15">
        <v>29715</v>
      </c>
      <c r="I15" t="s">
        <v>352</v>
      </c>
      <c r="J15">
        <v>8601</v>
      </c>
    </row>
    <row r="16" spans="1:12" x14ac:dyDescent="0.3">
      <c r="A16" s="71">
        <v>45642</v>
      </c>
      <c r="B16">
        <v>29</v>
      </c>
      <c r="C16" t="s">
        <v>18</v>
      </c>
      <c r="D16">
        <v>9616</v>
      </c>
      <c r="E16">
        <v>1089</v>
      </c>
      <c r="F16">
        <v>723286</v>
      </c>
      <c r="G16">
        <v>19.25863351426683</v>
      </c>
      <c r="H16">
        <v>15017</v>
      </c>
      <c r="I16" t="s">
        <v>352</v>
      </c>
      <c r="J16">
        <v>8527</v>
      </c>
    </row>
    <row r="17" spans="1:10" x14ac:dyDescent="0.3">
      <c r="A17" s="71">
        <v>45677</v>
      </c>
      <c r="B17">
        <v>34</v>
      </c>
      <c r="C17" t="s">
        <v>40</v>
      </c>
      <c r="D17">
        <v>9080</v>
      </c>
      <c r="E17">
        <v>562</v>
      </c>
      <c r="F17">
        <v>826926</v>
      </c>
      <c r="G17">
        <v>7.1083748727213809</v>
      </c>
      <c r="H17">
        <v>13384</v>
      </c>
      <c r="I17" t="s">
        <v>352</v>
      </c>
      <c r="J17">
        <v>8518</v>
      </c>
    </row>
    <row r="18" spans="1:10" x14ac:dyDescent="0.3">
      <c r="A18" s="71">
        <v>45586</v>
      </c>
      <c r="B18">
        <v>21</v>
      </c>
      <c r="C18" t="s">
        <v>22</v>
      </c>
      <c r="D18">
        <v>8993</v>
      </c>
      <c r="E18">
        <v>506</v>
      </c>
      <c r="F18">
        <v>562232</v>
      </c>
      <c r="G18">
        <v>3.5131404829323132</v>
      </c>
      <c r="H18">
        <v>20028</v>
      </c>
      <c r="I18" t="s">
        <v>348</v>
      </c>
      <c r="J18">
        <v>8487</v>
      </c>
    </row>
    <row r="19" spans="1:10" x14ac:dyDescent="0.3">
      <c r="A19" s="71">
        <v>45621</v>
      </c>
      <c r="B19">
        <v>26</v>
      </c>
      <c r="C19" t="s">
        <v>22</v>
      </c>
      <c r="D19">
        <v>8961</v>
      </c>
      <c r="E19">
        <v>476</v>
      </c>
      <c r="F19">
        <v>655645</v>
      </c>
      <c r="G19">
        <v>15.458517947974901</v>
      </c>
      <c r="H19">
        <v>44865</v>
      </c>
      <c r="I19" t="s">
        <v>352</v>
      </c>
      <c r="J19">
        <v>8485</v>
      </c>
    </row>
    <row r="20" spans="1:10" x14ac:dyDescent="0.3">
      <c r="A20" s="71">
        <v>45474</v>
      </c>
      <c r="B20">
        <v>5</v>
      </c>
      <c r="C20" t="s">
        <v>40</v>
      </c>
      <c r="D20">
        <v>9429</v>
      </c>
      <c r="E20">
        <v>966</v>
      </c>
      <c r="F20">
        <v>218723</v>
      </c>
      <c r="G20">
        <v>7.6914636320825887</v>
      </c>
      <c r="H20">
        <v>57639</v>
      </c>
      <c r="I20" t="s">
        <v>348</v>
      </c>
      <c r="J20">
        <v>8463</v>
      </c>
    </row>
    <row r="21" spans="1:10" x14ac:dyDescent="0.3">
      <c r="A21" s="71">
        <v>45656</v>
      </c>
      <c r="B21">
        <v>31</v>
      </c>
      <c r="C21" t="s">
        <v>18</v>
      </c>
      <c r="D21">
        <v>9123</v>
      </c>
      <c r="E21">
        <v>746</v>
      </c>
      <c r="F21">
        <v>769535</v>
      </c>
      <c r="G21">
        <v>6.3086149427901264</v>
      </c>
      <c r="H21">
        <v>35279</v>
      </c>
      <c r="I21" t="s">
        <v>352</v>
      </c>
      <c r="J21">
        <v>8377</v>
      </c>
    </row>
    <row r="22" spans="1:10" x14ac:dyDescent="0.3">
      <c r="A22" s="71">
        <v>45565</v>
      </c>
      <c r="B22">
        <v>18</v>
      </c>
      <c r="C22" t="s">
        <v>22</v>
      </c>
      <c r="D22">
        <v>8870</v>
      </c>
      <c r="E22">
        <v>509</v>
      </c>
      <c r="F22">
        <v>480320</v>
      </c>
      <c r="G22">
        <v>25.077864756828781</v>
      </c>
      <c r="H22">
        <v>15469</v>
      </c>
      <c r="I22" t="s">
        <v>349</v>
      </c>
      <c r="J22">
        <v>8361</v>
      </c>
    </row>
    <row r="23" spans="1:10" x14ac:dyDescent="0.3">
      <c r="A23" s="71">
        <v>45593</v>
      </c>
      <c r="B23">
        <v>22</v>
      </c>
      <c r="C23" t="s">
        <v>18</v>
      </c>
      <c r="D23">
        <v>9433</v>
      </c>
      <c r="E23">
        <v>1073</v>
      </c>
      <c r="F23">
        <v>589486</v>
      </c>
      <c r="G23">
        <v>7.2934726185185053</v>
      </c>
      <c r="H23">
        <v>59811</v>
      </c>
      <c r="I23" t="s">
        <v>352</v>
      </c>
      <c r="J23">
        <v>8360</v>
      </c>
    </row>
    <row r="24" spans="1:10" x14ac:dyDescent="0.3">
      <c r="A24" s="71">
        <v>45754</v>
      </c>
      <c r="B24">
        <v>45</v>
      </c>
      <c r="C24" t="s">
        <v>40</v>
      </c>
      <c r="D24">
        <v>9714</v>
      </c>
      <c r="E24">
        <v>1395</v>
      </c>
      <c r="F24">
        <v>1085943</v>
      </c>
      <c r="G24">
        <v>5.2243073531483697</v>
      </c>
      <c r="H24">
        <v>40682</v>
      </c>
      <c r="I24" t="s">
        <v>348</v>
      </c>
      <c r="J24">
        <v>8319</v>
      </c>
    </row>
    <row r="25" spans="1:10" x14ac:dyDescent="0.3">
      <c r="A25" s="71">
        <v>45733</v>
      </c>
      <c r="B25">
        <v>42</v>
      </c>
      <c r="C25" t="s">
        <v>22</v>
      </c>
      <c r="D25">
        <v>9569</v>
      </c>
      <c r="E25">
        <v>1277</v>
      </c>
      <c r="F25">
        <v>1013386</v>
      </c>
      <c r="G25">
        <v>12.45517502708741</v>
      </c>
      <c r="H25">
        <v>59733</v>
      </c>
      <c r="I25" t="s">
        <v>348</v>
      </c>
      <c r="J25">
        <v>8292</v>
      </c>
    </row>
    <row r="26" spans="1:10" x14ac:dyDescent="0.3">
      <c r="A26" s="71">
        <v>45530</v>
      </c>
      <c r="B26">
        <v>13</v>
      </c>
      <c r="C26" t="s">
        <v>22</v>
      </c>
      <c r="D26">
        <v>9648</v>
      </c>
      <c r="E26">
        <v>1417</v>
      </c>
      <c r="F26">
        <v>385849</v>
      </c>
      <c r="G26">
        <v>3.6633501706626168</v>
      </c>
      <c r="H26">
        <v>24226</v>
      </c>
      <c r="I26" t="s">
        <v>352</v>
      </c>
      <c r="J26">
        <v>8231</v>
      </c>
    </row>
    <row r="27" spans="1:10" x14ac:dyDescent="0.3">
      <c r="A27" s="71">
        <v>45537</v>
      </c>
      <c r="B27">
        <v>14</v>
      </c>
      <c r="C27" t="s">
        <v>18</v>
      </c>
      <c r="D27">
        <v>9591</v>
      </c>
      <c r="E27">
        <v>1363</v>
      </c>
      <c r="F27">
        <v>413369</v>
      </c>
      <c r="G27">
        <v>10.494255737609739</v>
      </c>
      <c r="H27">
        <v>15997</v>
      </c>
      <c r="I27" t="s">
        <v>351</v>
      </c>
      <c r="J27">
        <v>8228</v>
      </c>
    </row>
    <row r="28" spans="1:10" x14ac:dyDescent="0.3">
      <c r="A28" s="71">
        <v>45656</v>
      </c>
      <c r="B28">
        <v>31</v>
      </c>
      <c r="C28" t="s">
        <v>18</v>
      </c>
      <c r="D28">
        <v>9433</v>
      </c>
      <c r="E28">
        <v>1233</v>
      </c>
      <c r="F28">
        <v>756944</v>
      </c>
      <c r="G28">
        <v>11.391727789638329</v>
      </c>
      <c r="H28">
        <v>12096</v>
      </c>
      <c r="I28" t="s">
        <v>352</v>
      </c>
      <c r="J28">
        <v>8200</v>
      </c>
    </row>
    <row r="29" spans="1:10" x14ac:dyDescent="0.3">
      <c r="A29" s="71">
        <v>45691</v>
      </c>
      <c r="B29">
        <v>36</v>
      </c>
      <c r="C29" t="s">
        <v>40</v>
      </c>
      <c r="D29">
        <v>8788</v>
      </c>
      <c r="E29">
        <v>660</v>
      </c>
      <c r="F29">
        <v>880842</v>
      </c>
      <c r="G29">
        <v>3.7175793161543158</v>
      </c>
      <c r="H29">
        <v>17710</v>
      </c>
      <c r="I29" t="s">
        <v>350</v>
      </c>
      <c r="J29">
        <v>8128</v>
      </c>
    </row>
    <row r="30" spans="1:10" x14ac:dyDescent="0.3">
      <c r="A30" s="71">
        <v>45446</v>
      </c>
      <c r="B30">
        <v>1</v>
      </c>
      <c r="C30" t="s">
        <v>13</v>
      </c>
      <c r="D30">
        <v>9264</v>
      </c>
      <c r="E30">
        <v>1141</v>
      </c>
      <c r="F30">
        <v>119332</v>
      </c>
      <c r="G30">
        <v>92.312204605638044</v>
      </c>
      <c r="H30">
        <v>50372</v>
      </c>
      <c r="I30" t="s">
        <v>351</v>
      </c>
      <c r="J30">
        <v>8123</v>
      </c>
    </row>
    <row r="31" spans="1:10" x14ac:dyDescent="0.3">
      <c r="A31" s="71">
        <v>45495</v>
      </c>
      <c r="B31">
        <v>8</v>
      </c>
      <c r="C31" t="s">
        <v>18</v>
      </c>
      <c r="D31">
        <v>8967</v>
      </c>
      <c r="E31">
        <v>993</v>
      </c>
      <c r="F31">
        <v>280201</v>
      </c>
      <c r="G31">
        <v>52.792102811910027</v>
      </c>
      <c r="H31">
        <v>47804</v>
      </c>
      <c r="I31" t="s">
        <v>352</v>
      </c>
      <c r="J31">
        <v>7974</v>
      </c>
    </row>
    <row r="32" spans="1:10" x14ac:dyDescent="0.3">
      <c r="A32" s="71">
        <v>45782</v>
      </c>
      <c r="B32">
        <v>49</v>
      </c>
      <c r="C32" t="s">
        <v>22</v>
      </c>
      <c r="D32">
        <v>8697</v>
      </c>
      <c r="E32">
        <v>738</v>
      </c>
      <c r="F32">
        <v>1168011</v>
      </c>
      <c r="G32">
        <v>3.8777032065622672</v>
      </c>
      <c r="H32">
        <v>30644</v>
      </c>
      <c r="I32" t="s">
        <v>351</v>
      </c>
      <c r="J32">
        <v>7959</v>
      </c>
    </row>
    <row r="33" spans="1:10" x14ac:dyDescent="0.3">
      <c r="A33" s="71">
        <v>45691</v>
      </c>
      <c r="B33">
        <v>36</v>
      </c>
      <c r="C33" t="s">
        <v>40</v>
      </c>
      <c r="D33">
        <v>8650</v>
      </c>
      <c r="E33">
        <v>692</v>
      </c>
      <c r="F33">
        <v>897442</v>
      </c>
      <c r="G33">
        <v>7.6673478620345374</v>
      </c>
      <c r="H33">
        <v>23975</v>
      </c>
      <c r="I33" t="s">
        <v>352</v>
      </c>
      <c r="J33">
        <v>7958</v>
      </c>
    </row>
    <row r="34" spans="1:10" x14ac:dyDescent="0.3">
      <c r="A34" s="71">
        <v>45586</v>
      </c>
      <c r="B34">
        <v>21</v>
      </c>
      <c r="C34" t="s">
        <v>22</v>
      </c>
      <c r="D34">
        <v>8638</v>
      </c>
      <c r="E34">
        <v>717</v>
      </c>
      <c r="F34">
        <v>553745</v>
      </c>
      <c r="G34">
        <v>26.921416897669499</v>
      </c>
      <c r="H34">
        <v>31621</v>
      </c>
      <c r="I34" t="s">
        <v>351</v>
      </c>
      <c r="J34">
        <v>7921</v>
      </c>
    </row>
    <row r="35" spans="1:10" x14ac:dyDescent="0.3">
      <c r="A35" s="71">
        <v>45446</v>
      </c>
      <c r="B35">
        <v>1</v>
      </c>
      <c r="C35" t="s">
        <v>13</v>
      </c>
      <c r="D35">
        <v>8842</v>
      </c>
      <c r="E35">
        <v>971</v>
      </c>
      <c r="F35">
        <v>127203</v>
      </c>
      <c r="G35">
        <v>16.351815601833291</v>
      </c>
      <c r="H35">
        <v>33928</v>
      </c>
      <c r="I35" t="s">
        <v>351</v>
      </c>
      <c r="J35">
        <v>7871</v>
      </c>
    </row>
    <row r="36" spans="1:10" x14ac:dyDescent="0.3">
      <c r="A36" s="71">
        <v>45761</v>
      </c>
      <c r="B36">
        <v>46</v>
      </c>
      <c r="C36" t="s">
        <v>18</v>
      </c>
      <c r="D36">
        <v>8569</v>
      </c>
      <c r="E36">
        <v>720</v>
      </c>
      <c r="F36">
        <v>1095217</v>
      </c>
      <c r="G36">
        <v>9.589697749395782</v>
      </c>
      <c r="H36">
        <v>41358</v>
      </c>
      <c r="I36" t="s">
        <v>349</v>
      </c>
      <c r="J36">
        <v>7849</v>
      </c>
    </row>
    <row r="37" spans="1:10" x14ac:dyDescent="0.3">
      <c r="A37" s="71">
        <v>45579</v>
      </c>
      <c r="B37">
        <v>20</v>
      </c>
      <c r="C37" t="s">
        <v>40</v>
      </c>
      <c r="D37">
        <v>8898</v>
      </c>
      <c r="E37">
        <v>1131</v>
      </c>
      <c r="F37">
        <v>515737</v>
      </c>
      <c r="G37">
        <v>2.1877429775253669</v>
      </c>
      <c r="H37">
        <v>35051</v>
      </c>
      <c r="I37" t="s">
        <v>352</v>
      </c>
      <c r="J37">
        <v>7767</v>
      </c>
    </row>
    <row r="38" spans="1:10" x14ac:dyDescent="0.3">
      <c r="A38" s="71">
        <v>45495</v>
      </c>
      <c r="B38">
        <v>8</v>
      </c>
      <c r="C38" t="s">
        <v>40</v>
      </c>
      <c r="D38">
        <v>8179</v>
      </c>
      <c r="E38">
        <v>446</v>
      </c>
      <c r="F38">
        <v>272227</v>
      </c>
      <c r="G38">
        <v>41.82171496581897</v>
      </c>
      <c r="H38">
        <v>43848</v>
      </c>
      <c r="I38" t="s">
        <v>350</v>
      </c>
      <c r="J38">
        <v>7733</v>
      </c>
    </row>
    <row r="39" spans="1:10" x14ac:dyDescent="0.3">
      <c r="A39" s="71">
        <v>45558</v>
      </c>
      <c r="B39">
        <v>17</v>
      </c>
      <c r="C39" t="s">
        <v>22</v>
      </c>
      <c r="D39">
        <v>8857</v>
      </c>
      <c r="E39">
        <v>1153</v>
      </c>
      <c r="F39">
        <v>471959</v>
      </c>
      <c r="G39">
        <v>19.214592793018038</v>
      </c>
      <c r="H39">
        <v>39411</v>
      </c>
      <c r="I39" t="s">
        <v>351</v>
      </c>
      <c r="J39">
        <v>7704</v>
      </c>
    </row>
    <row r="40" spans="1:10" x14ac:dyDescent="0.3">
      <c r="A40" s="71">
        <v>45663</v>
      </c>
      <c r="B40">
        <v>32</v>
      </c>
      <c r="C40" t="s">
        <v>40</v>
      </c>
      <c r="D40">
        <v>8451</v>
      </c>
      <c r="E40">
        <v>783</v>
      </c>
      <c r="F40">
        <v>789536</v>
      </c>
      <c r="G40">
        <v>12.407287318121019</v>
      </c>
      <c r="H40">
        <v>36201</v>
      </c>
      <c r="I40" t="s">
        <v>348</v>
      </c>
      <c r="J40">
        <v>7668</v>
      </c>
    </row>
    <row r="41" spans="1:10" x14ac:dyDescent="0.3">
      <c r="A41" s="71">
        <v>45677</v>
      </c>
      <c r="B41">
        <v>34</v>
      </c>
      <c r="C41" t="s">
        <v>13</v>
      </c>
      <c r="D41">
        <v>8340</v>
      </c>
      <c r="E41">
        <v>686</v>
      </c>
      <c r="F41">
        <v>846217</v>
      </c>
      <c r="G41">
        <v>7.201344336027284</v>
      </c>
      <c r="H41">
        <v>23493</v>
      </c>
      <c r="I41" t="s">
        <v>348</v>
      </c>
      <c r="J41">
        <v>7654</v>
      </c>
    </row>
    <row r="42" spans="1:10" x14ac:dyDescent="0.3">
      <c r="A42" s="71">
        <v>45628</v>
      </c>
      <c r="B42">
        <v>27</v>
      </c>
      <c r="C42" t="s">
        <v>22</v>
      </c>
      <c r="D42">
        <v>8394</v>
      </c>
      <c r="E42">
        <v>764</v>
      </c>
      <c r="F42">
        <v>690186</v>
      </c>
      <c r="G42">
        <v>6.3556780346167558</v>
      </c>
      <c r="H42">
        <v>42373</v>
      </c>
      <c r="I42" t="s">
        <v>352</v>
      </c>
      <c r="J42">
        <v>7630</v>
      </c>
    </row>
    <row r="43" spans="1:10" x14ac:dyDescent="0.3">
      <c r="A43" s="71">
        <v>45586</v>
      </c>
      <c r="B43">
        <v>21</v>
      </c>
      <c r="C43" t="s">
        <v>22</v>
      </c>
      <c r="D43">
        <v>8758</v>
      </c>
      <c r="E43">
        <v>1193</v>
      </c>
      <c r="F43">
        <v>538906</v>
      </c>
      <c r="G43">
        <v>3.4213758985797149</v>
      </c>
      <c r="H43">
        <v>26184</v>
      </c>
      <c r="I43" t="s">
        <v>350</v>
      </c>
      <c r="J43">
        <v>7565</v>
      </c>
    </row>
    <row r="44" spans="1:10" x14ac:dyDescent="0.3">
      <c r="A44" s="71">
        <v>45775</v>
      </c>
      <c r="B44">
        <v>48</v>
      </c>
      <c r="C44" t="s">
        <v>40</v>
      </c>
      <c r="D44">
        <v>8031</v>
      </c>
      <c r="E44">
        <v>476</v>
      </c>
      <c r="F44">
        <v>1146426</v>
      </c>
      <c r="G44">
        <v>11.940413075069831</v>
      </c>
      <c r="H44">
        <v>12539</v>
      </c>
      <c r="I44" t="s">
        <v>350</v>
      </c>
      <c r="J44">
        <v>7555</v>
      </c>
    </row>
    <row r="45" spans="1:10" x14ac:dyDescent="0.3">
      <c r="A45" s="71">
        <v>45733</v>
      </c>
      <c r="B45">
        <v>42</v>
      </c>
      <c r="C45" t="s">
        <v>18</v>
      </c>
      <c r="D45">
        <v>7979</v>
      </c>
      <c r="E45">
        <v>470</v>
      </c>
      <c r="F45">
        <v>1005094</v>
      </c>
      <c r="G45">
        <v>10.43086517280971</v>
      </c>
      <c r="H45">
        <v>42972</v>
      </c>
      <c r="I45" t="s">
        <v>348</v>
      </c>
      <c r="J45">
        <v>7509</v>
      </c>
    </row>
    <row r="46" spans="1:10" x14ac:dyDescent="0.3">
      <c r="A46" s="71">
        <v>45453</v>
      </c>
      <c r="B46">
        <v>2</v>
      </c>
      <c r="C46" t="s">
        <v>13</v>
      </c>
      <c r="D46">
        <v>8002</v>
      </c>
      <c r="E46">
        <v>524</v>
      </c>
      <c r="F46">
        <v>141896</v>
      </c>
      <c r="G46">
        <v>52.064892597395271</v>
      </c>
      <c r="H46">
        <v>46751</v>
      </c>
      <c r="I46" t="s">
        <v>350</v>
      </c>
      <c r="J46">
        <v>7478</v>
      </c>
    </row>
    <row r="47" spans="1:10" x14ac:dyDescent="0.3">
      <c r="A47" s="71">
        <v>45670</v>
      </c>
      <c r="B47">
        <v>33</v>
      </c>
      <c r="C47" t="s">
        <v>18</v>
      </c>
      <c r="D47">
        <v>7869</v>
      </c>
      <c r="E47">
        <v>398</v>
      </c>
      <c r="F47">
        <v>807142</v>
      </c>
      <c r="G47">
        <v>15.211945357818079</v>
      </c>
      <c r="H47">
        <v>25078</v>
      </c>
      <c r="I47" t="s">
        <v>351</v>
      </c>
      <c r="J47">
        <v>7471</v>
      </c>
    </row>
    <row r="48" spans="1:10" x14ac:dyDescent="0.3">
      <c r="A48" s="71">
        <v>45460</v>
      </c>
      <c r="B48">
        <v>3</v>
      </c>
      <c r="C48" t="s">
        <v>22</v>
      </c>
      <c r="D48">
        <v>8373</v>
      </c>
      <c r="E48">
        <v>921</v>
      </c>
      <c r="F48">
        <v>157717</v>
      </c>
      <c r="G48">
        <v>12.2263294381709</v>
      </c>
      <c r="H48">
        <v>15110</v>
      </c>
      <c r="I48" t="s">
        <v>350</v>
      </c>
      <c r="J48">
        <v>7452</v>
      </c>
    </row>
    <row r="49" spans="1:10" x14ac:dyDescent="0.3">
      <c r="A49" s="71">
        <v>45544</v>
      </c>
      <c r="B49">
        <v>15</v>
      </c>
      <c r="C49" t="s">
        <v>22</v>
      </c>
      <c r="D49">
        <v>7907</v>
      </c>
      <c r="E49">
        <v>465</v>
      </c>
      <c r="F49">
        <v>420811</v>
      </c>
      <c r="G49">
        <v>33.257448118038738</v>
      </c>
      <c r="H49">
        <v>22693</v>
      </c>
      <c r="I49" t="s">
        <v>350</v>
      </c>
      <c r="J49">
        <v>7442</v>
      </c>
    </row>
    <row r="50" spans="1:10" x14ac:dyDescent="0.3">
      <c r="A50" s="71">
        <v>45789</v>
      </c>
      <c r="B50">
        <v>50</v>
      </c>
      <c r="C50" t="s">
        <v>40</v>
      </c>
      <c r="D50">
        <v>8527</v>
      </c>
      <c r="E50">
        <v>1091</v>
      </c>
      <c r="F50">
        <v>1186398</v>
      </c>
      <c r="G50">
        <v>1.676081719625286</v>
      </c>
      <c r="H50">
        <v>41703</v>
      </c>
      <c r="I50" t="s">
        <v>350</v>
      </c>
      <c r="J50">
        <v>7436</v>
      </c>
    </row>
    <row r="51" spans="1:10" x14ac:dyDescent="0.3">
      <c r="A51" s="71">
        <v>45446</v>
      </c>
      <c r="B51">
        <v>1</v>
      </c>
      <c r="C51" t="s">
        <v>40</v>
      </c>
      <c r="D51">
        <v>8693</v>
      </c>
      <c r="E51">
        <v>1261</v>
      </c>
      <c r="F51">
        <v>111209</v>
      </c>
      <c r="G51">
        <v>69.475492091467416</v>
      </c>
      <c r="H51">
        <v>29873</v>
      </c>
      <c r="I51" t="s">
        <v>350</v>
      </c>
      <c r="J51">
        <v>7432</v>
      </c>
    </row>
    <row r="52" spans="1:10" x14ac:dyDescent="0.3">
      <c r="A52" s="71">
        <v>45719</v>
      </c>
      <c r="B52">
        <v>40</v>
      </c>
      <c r="C52" t="s">
        <v>18</v>
      </c>
      <c r="D52">
        <v>8504</v>
      </c>
      <c r="E52">
        <v>1072</v>
      </c>
      <c r="F52">
        <v>973452</v>
      </c>
      <c r="G52">
        <v>6.5651927367759271</v>
      </c>
      <c r="H52">
        <v>18461</v>
      </c>
      <c r="I52" t="s">
        <v>348</v>
      </c>
      <c r="J52">
        <v>7432</v>
      </c>
    </row>
    <row r="53" spans="1:10" x14ac:dyDescent="0.3">
      <c r="A53" s="71">
        <v>45495</v>
      </c>
      <c r="B53">
        <v>8</v>
      </c>
      <c r="C53" t="s">
        <v>18</v>
      </c>
      <c r="D53">
        <v>8340</v>
      </c>
      <c r="E53">
        <v>911</v>
      </c>
      <c r="F53">
        <v>264494</v>
      </c>
      <c r="G53">
        <v>37.302925586213682</v>
      </c>
      <c r="H53">
        <v>48659</v>
      </c>
      <c r="I53" t="s">
        <v>350</v>
      </c>
      <c r="J53">
        <v>7429</v>
      </c>
    </row>
    <row r="54" spans="1:10" x14ac:dyDescent="0.3">
      <c r="A54" s="71">
        <v>45677</v>
      </c>
      <c r="B54">
        <v>34</v>
      </c>
      <c r="C54" t="s">
        <v>40</v>
      </c>
      <c r="D54">
        <v>8099</v>
      </c>
      <c r="E54">
        <v>678</v>
      </c>
      <c r="F54">
        <v>834347</v>
      </c>
      <c r="G54">
        <v>7.6464588474579518</v>
      </c>
      <c r="H54">
        <v>53619</v>
      </c>
      <c r="I54" t="s">
        <v>352</v>
      </c>
      <c r="J54">
        <v>7421</v>
      </c>
    </row>
    <row r="55" spans="1:10" x14ac:dyDescent="0.3">
      <c r="A55" s="71">
        <v>45733</v>
      </c>
      <c r="B55">
        <v>42</v>
      </c>
      <c r="C55" t="s">
        <v>18</v>
      </c>
      <c r="D55">
        <v>7910</v>
      </c>
      <c r="E55">
        <v>543</v>
      </c>
      <c r="F55">
        <v>1025605</v>
      </c>
      <c r="G55">
        <v>6.0590578244060822</v>
      </c>
      <c r="H55">
        <v>40508</v>
      </c>
      <c r="I55" t="s">
        <v>351</v>
      </c>
      <c r="J55">
        <v>7367</v>
      </c>
    </row>
    <row r="56" spans="1:10" x14ac:dyDescent="0.3">
      <c r="A56" s="71">
        <v>45670</v>
      </c>
      <c r="B56">
        <v>33</v>
      </c>
      <c r="C56" t="s">
        <v>40</v>
      </c>
      <c r="D56">
        <v>8088</v>
      </c>
      <c r="E56">
        <v>742</v>
      </c>
      <c r="F56">
        <v>817407</v>
      </c>
      <c r="G56">
        <v>14.664542877660701</v>
      </c>
      <c r="H56">
        <v>39312</v>
      </c>
      <c r="I56" t="s">
        <v>348</v>
      </c>
      <c r="J56">
        <v>7346</v>
      </c>
    </row>
    <row r="57" spans="1:10" x14ac:dyDescent="0.3">
      <c r="A57" s="71">
        <v>45649</v>
      </c>
      <c r="B57">
        <v>30</v>
      </c>
      <c r="C57" t="s">
        <v>13</v>
      </c>
      <c r="D57">
        <v>8177</v>
      </c>
      <c r="E57">
        <v>849</v>
      </c>
      <c r="F57">
        <v>748744</v>
      </c>
      <c r="G57">
        <v>10.34986590877523</v>
      </c>
      <c r="H57">
        <v>52963</v>
      </c>
      <c r="I57" t="s">
        <v>350</v>
      </c>
      <c r="J57">
        <v>7328</v>
      </c>
    </row>
    <row r="58" spans="1:10" x14ac:dyDescent="0.3">
      <c r="A58" s="71">
        <v>45684</v>
      </c>
      <c r="B58">
        <v>35</v>
      </c>
      <c r="C58" t="s">
        <v>18</v>
      </c>
      <c r="D58">
        <v>8083</v>
      </c>
      <c r="E58">
        <v>823</v>
      </c>
      <c r="F58">
        <v>853477</v>
      </c>
      <c r="G58">
        <v>4.6300017457998282</v>
      </c>
      <c r="H58">
        <v>27069</v>
      </c>
      <c r="I58" t="s">
        <v>349</v>
      </c>
      <c r="J58">
        <v>7260</v>
      </c>
    </row>
    <row r="59" spans="1:10" x14ac:dyDescent="0.3">
      <c r="A59" s="71">
        <v>45551</v>
      </c>
      <c r="B59">
        <v>16</v>
      </c>
      <c r="C59" t="s">
        <v>13</v>
      </c>
      <c r="D59">
        <v>7928</v>
      </c>
      <c r="E59">
        <v>704</v>
      </c>
      <c r="F59">
        <v>445769</v>
      </c>
      <c r="G59">
        <v>11.194362999670229</v>
      </c>
      <c r="H59">
        <v>31817</v>
      </c>
      <c r="I59" t="s">
        <v>349</v>
      </c>
      <c r="J59">
        <v>7224</v>
      </c>
    </row>
    <row r="60" spans="1:10" x14ac:dyDescent="0.3">
      <c r="A60" s="71">
        <v>45600</v>
      </c>
      <c r="B60">
        <v>23</v>
      </c>
      <c r="C60" t="s">
        <v>40</v>
      </c>
      <c r="D60">
        <v>8380</v>
      </c>
      <c r="E60">
        <v>1162</v>
      </c>
      <c r="F60">
        <v>596704</v>
      </c>
      <c r="G60">
        <v>18.05853488496809</v>
      </c>
      <c r="H60">
        <v>40447</v>
      </c>
      <c r="I60" t="s">
        <v>352</v>
      </c>
      <c r="J60">
        <v>7218</v>
      </c>
    </row>
    <row r="61" spans="1:10" x14ac:dyDescent="0.3">
      <c r="A61" s="71">
        <v>45453</v>
      </c>
      <c r="B61">
        <v>2</v>
      </c>
      <c r="C61" t="s">
        <v>22</v>
      </c>
      <c r="D61">
        <v>7721</v>
      </c>
      <c r="E61">
        <v>506</v>
      </c>
      <c r="F61">
        <v>134418</v>
      </c>
      <c r="G61">
        <v>35.577824398518047</v>
      </c>
      <c r="H61">
        <v>25379</v>
      </c>
      <c r="I61" t="s">
        <v>350</v>
      </c>
      <c r="J61">
        <v>7215</v>
      </c>
    </row>
    <row r="62" spans="1:10" x14ac:dyDescent="0.3">
      <c r="A62" s="71">
        <v>45481</v>
      </c>
      <c r="B62">
        <v>6</v>
      </c>
      <c r="C62" t="s">
        <v>40</v>
      </c>
      <c r="D62">
        <v>8045</v>
      </c>
      <c r="E62">
        <v>894</v>
      </c>
      <c r="F62">
        <v>231802</v>
      </c>
      <c r="G62">
        <v>47.634187798207087</v>
      </c>
      <c r="H62">
        <v>33705</v>
      </c>
      <c r="I62" t="s">
        <v>351</v>
      </c>
      <c r="J62">
        <v>7151</v>
      </c>
    </row>
    <row r="63" spans="1:10" x14ac:dyDescent="0.3">
      <c r="A63" s="71">
        <v>45579</v>
      </c>
      <c r="B63">
        <v>20</v>
      </c>
      <c r="C63" t="s">
        <v>13</v>
      </c>
      <c r="D63">
        <v>7548</v>
      </c>
      <c r="E63">
        <v>433</v>
      </c>
      <c r="F63">
        <v>522852</v>
      </c>
      <c r="G63">
        <v>8.3562843787534522</v>
      </c>
      <c r="H63">
        <v>37386</v>
      </c>
      <c r="I63" t="s">
        <v>352</v>
      </c>
      <c r="J63">
        <v>7115</v>
      </c>
    </row>
    <row r="64" spans="1:10" x14ac:dyDescent="0.3">
      <c r="A64" s="71">
        <v>45488</v>
      </c>
      <c r="B64">
        <v>7</v>
      </c>
      <c r="C64" t="s">
        <v>40</v>
      </c>
      <c r="D64">
        <v>8137</v>
      </c>
      <c r="E64">
        <v>1045</v>
      </c>
      <c r="F64">
        <v>253858</v>
      </c>
      <c r="G64">
        <v>20.47246886054408</v>
      </c>
      <c r="H64">
        <v>12023</v>
      </c>
      <c r="I64" t="s">
        <v>349</v>
      </c>
      <c r="J64">
        <v>7092</v>
      </c>
    </row>
    <row r="65" spans="1:10" x14ac:dyDescent="0.3">
      <c r="A65" s="71">
        <v>45768</v>
      </c>
      <c r="B65">
        <v>47</v>
      </c>
      <c r="C65" t="s">
        <v>40</v>
      </c>
      <c r="D65">
        <v>8128</v>
      </c>
      <c r="E65">
        <v>1070</v>
      </c>
      <c r="F65">
        <v>1131337</v>
      </c>
      <c r="G65">
        <v>8.1114645768679008</v>
      </c>
      <c r="H65">
        <v>21918</v>
      </c>
      <c r="I65" t="s">
        <v>352</v>
      </c>
      <c r="J65">
        <v>7058</v>
      </c>
    </row>
    <row r="66" spans="1:10" x14ac:dyDescent="0.3">
      <c r="A66" s="71">
        <v>45516</v>
      </c>
      <c r="B66">
        <v>11</v>
      </c>
      <c r="C66" t="s">
        <v>13</v>
      </c>
      <c r="D66">
        <v>7430</v>
      </c>
      <c r="E66">
        <v>397</v>
      </c>
      <c r="F66">
        <v>340085</v>
      </c>
      <c r="G66">
        <v>28.065042562888689</v>
      </c>
      <c r="H66">
        <v>16643</v>
      </c>
      <c r="I66" t="s">
        <v>350</v>
      </c>
      <c r="J66">
        <v>7033</v>
      </c>
    </row>
    <row r="67" spans="1:10" x14ac:dyDescent="0.3">
      <c r="A67" s="71">
        <v>45789</v>
      </c>
      <c r="B67">
        <v>50</v>
      </c>
      <c r="C67" t="s">
        <v>18</v>
      </c>
      <c r="D67">
        <v>8165</v>
      </c>
      <c r="E67">
        <v>1140</v>
      </c>
      <c r="F67">
        <v>1177841</v>
      </c>
      <c r="G67">
        <v>9.095964565675672</v>
      </c>
      <c r="H67">
        <v>38228</v>
      </c>
      <c r="I67" t="s">
        <v>350</v>
      </c>
      <c r="J67">
        <v>7025</v>
      </c>
    </row>
    <row r="68" spans="1:10" x14ac:dyDescent="0.3">
      <c r="A68" s="71">
        <v>45516</v>
      </c>
      <c r="B68">
        <v>11</v>
      </c>
      <c r="C68" t="s">
        <v>40</v>
      </c>
      <c r="D68">
        <v>8154</v>
      </c>
      <c r="E68">
        <v>1149</v>
      </c>
      <c r="F68">
        <v>347090</v>
      </c>
      <c r="G68">
        <v>26.003918292085629</v>
      </c>
      <c r="H68">
        <v>37523</v>
      </c>
      <c r="I68" t="s">
        <v>350</v>
      </c>
      <c r="J68">
        <v>7005</v>
      </c>
    </row>
    <row r="69" spans="1:10" x14ac:dyDescent="0.3">
      <c r="A69" s="71">
        <v>45523</v>
      </c>
      <c r="B69">
        <v>12</v>
      </c>
      <c r="C69" t="s">
        <v>22</v>
      </c>
      <c r="D69">
        <v>7488</v>
      </c>
      <c r="E69">
        <v>568</v>
      </c>
      <c r="F69">
        <v>354010</v>
      </c>
      <c r="G69">
        <v>13.47730290104799</v>
      </c>
      <c r="H69">
        <v>46727</v>
      </c>
      <c r="I69" t="s">
        <v>349</v>
      </c>
      <c r="J69">
        <v>6920</v>
      </c>
    </row>
    <row r="70" spans="1:10" x14ac:dyDescent="0.3">
      <c r="A70" s="71">
        <v>45586</v>
      </c>
      <c r="B70">
        <v>21</v>
      </c>
      <c r="C70" t="s">
        <v>13</v>
      </c>
      <c r="D70">
        <v>7793</v>
      </c>
      <c r="E70">
        <v>875</v>
      </c>
      <c r="F70">
        <v>545824</v>
      </c>
      <c r="G70">
        <v>5.5136820660139527</v>
      </c>
      <c r="H70">
        <v>43787</v>
      </c>
      <c r="I70" t="s">
        <v>351</v>
      </c>
      <c r="J70">
        <v>6918</v>
      </c>
    </row>
    <row r="71" spans="1:10" x14ac:dyDescent="0.3">
      <c r="A71" s="71">
        <v>45523</v>
      </c>
      <c r="B71">
        <v>12</v>
      </c>
      <c r="C71" t="s">
        <v>22</v>
      </c>
      <c r="D71">
        <v>7525</v>
      </c>
      <c r="E71">
        <v>610</v>
      </c>
      <c r="F71">
        <v>365996</v>
      </c>
      <c r="G71">
        <v>5.7694619613329108</v>
      </c>
      <c r="H71">
        <v>53543</v>
      </c>
      <c r="I71" t="s">
        <v>349</v>
      </c>
      <c r="J71">
        <v>6915</v>
      </c>
    </row>
    <row r="72" spans="1:10" x14ac:dyDescent="0.3">
      <c r="A72" s="71">
        <v>45516</v>
      </c>
      <c r="B72">
        <v>11</v>
      </c>
      <c r="C72" t="s">
        <v>22</v>
      </c>
      <c r="D72">
        <v>7610</v>
      </c>
      <c r="E72">
        <v>757</v>
      </c>
      <c r="F72">
        <v>333052</v>
      </c>
      <c r="G72">
        <v>44.450416151231643</v>
      </c>
      <c r="H72">
        <v>39750</v>
      </c>
      <c r="I72" t="s">
        <v>349</v>
      </c>
      <c r="J72">
        <v>6853</v>
      </c>
    </row>
    <row r="73" spans="1:10" x14ac:dyDescent="0.3">
      <c r="A73" s="71">
        <v>45460</v>
      </c>
      <c r="B73">
        <v>3</v>
      </c>
      <c r="C73" t="s">
        <v>18</v>
      </c>
      <c r="D73">
        <v>7097</v>
      </c>
      <c r="E73">
        <v>369</v>
      </c>
      <c r="F73">
        <v>170518</v>
      </c>
      <c r="G73">
        <v>9.2506362964613711</v>
      </c>
      <c r="H73">
        <v>33762</v>
      </c>
      <c r="I73" t="s">
        <v>352</v>
      </c>
      <c r="J73">
        <v>6728</v>
      </c>
    </row>
    <row r="74" spans="1:10" x14ac:dyDescent="0.3">
      <c r="A74" s="71">
        <v>45698</v>
      </c>
      <c r="B74">
        <v>37</v>
      </c>
      <c r="C74" t="s">
        <v>18</v>
      </c>
      <c r="D74">
        <v>7420</v>
      </c>
      <c r="E74">
        <v>743</v>
      </c>
      <c r="F74">
        <v>911084</v>
      </c>
      <c r="G74">
        <v>10.593534734448189</v>
      </c>
      <c r="H74">
        <v>11431</v>
      </c>
      <c r="I74" t="s">
        <v>351</v>
      </c>
      <c r="J74">
        <v>6677</v>
      </c>
    </row>
    <row r="75" spans="1:10" x14ac:dyDescent="0.3">
      <c r="A75" s="71">
        <v>45635</v>
      </c>
      <c r="B75">
        <v>28</v>
      </c>
      <c r="C75" t="s">
        <v>40</v>
      </c>
      <c r="D75">
        <v>7164</v>
      </c>
      <c r="E75">
        <v>522</v>
      </c>
      <c r="F75">
        <v>700757</v>
      </c>
      <c r="G75">
        <v>13.449169969047761</v>
      </c>
      <c r="H75">
        <v>34570</v>
      </c>
      <c r="I75" t="s">
        <v>349</v>
      </c>
      <c r="J75">
        <v>6642</v>
      </c>
    </row>
    <row r="76" spans="1:10" x14ac:dyDescent="0.3">
      <c r="A76" s="71">
        <v>45719</v>
      </c>
      <c r="B76">
        <v>40</v>
      </c>
      <c r="C76" t="s">
        <v>13</v>
      </c>
      <c r="D76">
        <v>7511</v>
      </c>
      <c r="E76">
        <v>880</v>
      </c>
      <c r="F76">
        <v>966020</v>
      </c>
      <c r="G76">
        <v>4.6083932009689246</v>
      </c>
      <c r="H76">
        <v>29675</v>
      </c>
      <c r="I76" t="s">
        <v>352</v>
      </c>
      <c r="J76">
        <v>6631</v>
      </c>
    </row>
    <row r="77" spans="1:10" x14ac:dyDescent="0.3">
      <c r="A77" s="71">
        <v>45537</v>
      </c>
      <c r="B77">
        <v>14</v>
      </c>
      <c r="C77" t="s">
        <v>40</v>
      </c>
      <c r="D77">
        <v>7406</v>
      </c>
      <c r="E77">
        <v>813</v>
      </c>
      <c r="F77">
        <v>405141</v>
      </c>
      <c r="G77">
        <v>24.457411123534769</v>
      </c>
      <c r="H77">
        <v>13390</v>
      </c>
      <c r="I77" t="s">
        <v>351</v>
      </c>
      <c r="J77">
        <v>6593</v>
      </c>
    </row>
    <row r="78" spans="1:10" x14ac:dyDescent="0.3">
      <c r="A78" s="71">
        <v>45614</v>
      </c>
      <c r="B78">
        <v>25</v>
      </c>
      <c r="C78" t="s">
        <v>18</v>
      </c>
      <c r="D78">
        <v>6887</v>
      </c>
      <c r="E78">
        <v>418</v>
      </c>
      <c r="F78">
        <v>647160</v>
      </c>
      <c r="G78">
        <v>20.240280610668151</v>
      </c>
      <c r="H78">
        <v>18329</v>
      </c>
      <c r="I78" t="s">
        <v>352</v>
      </c>
      <c r="J78">
        <v>6469</v>
      </c>
    </row>
    <row r="79" spans="1:10" x14ac:dyDescent="0.3">
      <c r="A79" s="71">
        <v>45593</v>
      </c>
      <c r="B79">
        <v>22</v>
      </c>
      <c r="C79" t="s">
        <v>18</v>
      </c>
      <c r="D79">
        <v>7356</v>
      </c>
      <c r="E79">
        <v>904</v>
      </c>
      <c r="F79">
        <v>581126</v>
      </c>
      <c r="G79">
        <v>17.560907617280929</v>
      </c>
      <c r="H79">
        <v>44051</v>
      </c>
      <c r="I79" t="s">
        <v>350</v>
      </c>
      <c r="J79">
        <v>6452</v>
      </c>
    </row>
    <row r="80" spans="1:10" x14ac:dyDescent="0.3">
      <c r="A80" s="71">
        <v>45593</v>
      </c>
      <c r="B80">
        <v>22</v>
      </c>
      <c r="C80" t="s">
        <v>13</v>
      </c>
      <c r="D80">
        <v>7007</v>
      </c>
      <c r="E80">
        <v>568</v>
      </c>
      <c r="F80">
        <v>568671</v>
      </c>
      <c r="G80">
        <v>11.50507059442103</v>
      </c>
      <c r="H80">
        <v>22448</v>
      </c>
      <c r="I80" t="s">
        <v>348</v>
      </c>
      <c r="J80">
        <v>6439</v>
      </c>
    </row>
    <row r="81" spans="1:10" x14ac:dyDescent="0.3">
      <c r="A81" s="71">
        <v>45754</v>
      </c>
      <c r="B81">
        <v>45</v>
      </c>
      <c r="C81" t="s">
        <v>13</v>
      </c>
      <c r="D81">
        <v>7303</v>
      </c>
      <c r="E81">
        <v>869</v>
      </c>
      <c r="F81">
        <v>1073082</v>
      </c>
      <c r="G81">
        <v>8.1237966902808925</v>
      </c>
      <c r="H81">
        <v>27073</v>
      </c>
      <c r="I81" t="s">
        <v>350</v>
      </c>
      <c r="J81">
        <v>6434</v>
      </c>
    </row>
    <row r="82" spans="1:10" x14ac:dyDescent="0.3">
      <c r="A82" s="71">
        <v>45467</v>
      </c>
      <c r="B82">
        <v>4</v>
      </c>
      <c r="C82" t="s">
        <v>40</v>
      </c>
      <c r="D82">
        <v>6901</v>
      </c>
      <c r="E82">
        <v>471</v>
      </c>
      <c r="F82">
        <v>204818</v>
      </c>
      <c r="G82">
        <v>60.827661631301943</v>
      </c>
      <c r="H82">
        <v>52003</v>
      </c>
      <c r="I82" t="s">
        <v>349</v>
      </c>
      <c r="J82">
        <v>6430</v>
      </c>
    </row>
    <row r="83" spans="1:10" x14ac:dyDescent="0.3">
      <c r="A83" s="71">
        <v>45768</v>
      </c>
      <c r="B83">
        <v>47</v>
      </c>
      <c r="C83" t="s">
        <v>22</v>
      </c>
      <c r="D83">
        <v>7267</v>
      </c>
      <c r="E83">
        <v>842</v>
      </c>
      <c r="F83">
        <v>1124279</v>
      </c>
      <c r="G83">
        <v>2.2102165031989389</v>
      </c>
      <c r="H83">
        <v>11171</v>
      </c>
      <c r="I83" t="s">
        <v>350</v>
      </c>
      <c r="J83">
        <v>6425</v>
      </c>
    </row>
    <row r="84" spans="1:10" x14ac:dyDescent="0.3">
      <c r="A84" s="71">
        <v>45614</v>
      </c>
      <c r="B84">
        <v>25</v>
      </c>
      <c r="C84" t="s">
        <v>40</v>
      </c>
      <c r="D84">
        <v>7036</v>
      </c>
      <c r="E84">
        <v>652</v>
      </c>
      <c r="F84">
        <v>637512</v>
      </c>
      <c r="G84">
        <v>3.5705994553828009</v>
      </c>
      <c r="H84">
        <v>51796</v>
      </c>
      <c r="I84" t="s">
        <v>352</v>
      </c>
      <c r="J84">
        <v>6384</v>
      </c>
    </row>
    <row r="85" spans="1:10" x14ac:dyDescent="0.3">
      <c r="A85" s="71">
        <v>45712</v>
      </c>
      <c r="B85">
        <v>39</v>
      </c>
      <c r="C85" t="s">
        <v>13</v>
      </c>
      <c r="D85">
        <v>7493</v>
      </c>
      <c r="E85">
        <v>1113</v>
      </c>
      <c r="F85">
        <v>953427</v>
      </c>
      <c r="G85">
        <v>15.684892498324469</v>
      </c>
      <c r="H85">
        <v>10162</v>
      </c>
      <c r="I85" t="s">
        <v>348</v>
      </c>
      <c r="J85">
        <v>6380</v>
      </c>
    </row>
    <row r="86" spans="1:10" x14ac:dyDescent="0.3">
      <c r="A86" s="71">
        <v>45761</v>
      </c>
      <c r="B86">
        <v>46</v>
      </c>
      <c r="C86" t="s">
        <v>18</v>
      </c>
      <c r="D86">
        <v>6784</v>
      </c>
      <c r="E86">
        <v>416</v>
      </c>
      <c r="F86">
        <v>1101585</v>
      </c>
      <c r="G86">
        <v>9.3041390360253633</v>
      </c>
      <c r="H86">
        <v>24289</v>
      </c>
      <c r="I86" t="s">
        <v>349</v>
      </c>
      <c r="J86">
        <v>6368</v>
      </c>
    </row>
    <row r="87" spans="1:10" x14ac:dyDescent="0.3">
      <c r="A87" s="71">
        <v>45684</v>
      </c>
      <c r="B87">
        <v>35</v>
      </c>
      <c r="C87" t="s">
        <v>40</v>
      </c>
      <c r="D87">
        <v>7230</v>
      </c>
      <c r="E87">
        <v>869</v>
      </c>
      <c r="F87">
        <v>859838</v>
      </c>
      <c r="G87">
        <v>7.0117859410726204</v>
      </c>
      <c r="H87">
        <v>56907</v>
      </c>
      <c r="I87" t="s">
        <v>349</v>
      </c>
      <c r="J87">
        <v>6361</v>
      </c>
    </row>
    <row r="88" spans="1:10" x14ac:dyDescent="0.3">
      <c r="A88" s="71">
        <v>45642</v>
      </c>
      <c r="B88">
        <v>29</v>
      </c>
      <c r="C88" t="s">
        <v>40</v>
      </c>
      <c r="D88">
        <v>7272</v>
      </c>
      <c r="E88">
        <v>997</v>
      </c>
      <c r="F88">
        <v>729561</v>
      </c>
      <c r="G88">
        <v>13.428486445958599</v>
      </c>
      <c r="H88">
        <v>26370</v>
      </c>
      <c r="I88" t="s">
        <v>352</v>
      </c>
      <c r="J88">
        <v>6275</v>
      </c>
    </row>
    <row r="89" spans="1:10" x14ac:dyDescent="0.3">
      <c r="A89" s="71">
        <v>45747</v>
      </c>
      <c r="B89">
        <v>44</v>
      </c>
      <c r="C89" t="s">
        <v>40</v>
      </c>
      <c r="D89">
        <v>6978</v>
      </c>
      <c r="E89">
        <v>706</v>
      </c>
      <c r="F89">
        <v>1057293</v>
      </c>
      <c r="G89">
        <v>5.057443868445171</v>
      </c>
      <c r="H89">
        <v>28681</v>
      </c>
      <c r="I89" t="s">
        <v>352</v>
      </c>
      <c r="J89">
        <v>6272</v>
      </c>
    </row>
    <row r="90" spans="1:10" x14ac:dyDescent="0.3">
      <c r="A90" s="71">
        <v>45481</v>
      </c>
      <c r="B90">
        <v>6</v>
      </c>
      <c r="C90" t="s">
        <v>18</v>
      </c>
      <c r="D90">
        <v>6772</v>
      </c>
      <c r="E90">
        <v>536</v>
      </c>
      <c r="F90">
        <v>239956</v>
      </c>
      <c r="G90">
        <v>9.8205504342462788</v>
      </c>
      <c r="H90">
        <v>17909</v>
      </c>
      <c r="I90" t="s">
        <v>352</v>
      </c>
      <c r="J90">
        <v>6236</v>
      </c>
    </row>
    <row r="91" spans="1:10" x14ac:dyDescent="0.3">
      <c r="A91" s="71">
        <v>45572</v>
      </c>
      <c r="B91">
        <v>19</v>
      </c>
      <c r="C91" t="s">
        <v>13</v>
      </c>
      <c r="D91">
        <v>7140</v>
      </c>
      <c r="E91">
        <v>939</v>
      </c>
      <c r="F91">
        <v>499015</v>
      </c>
      <c r="G91">
        <v>25.120888149654821</v>
      </c>
      <c r="H91">
        <v>43598</v>
      </c>
      <c r="I91" t="s">
        <v>350</v>
      </c>
      <c r="J91">
        <v>6201</v>
      </c>
    </row>
    <row r="92" spans="1:10" x14ac:dyDescent="0.3">
      <c r="A92" s="71">
        <v>45649</v>
      </c>
      <c r="B92">
        <v>30</v>
      </c>
      <c r="C92" t="s">
        <v>18</v>
      </c>
      <c r="D92">
        <v>7172</v>
      </c>
      <c r="E92">
        <v>998</v>
      </c>
      <c r="F92">
        <v>741416</v>
      </c>
      <c r="G92">
        <v>18.0667803230575</v>
      </c>
      <c r="H92">
        <v>32436</v>
      </c>
      <c r="I92" t="s">
        <v>350</v>
      </c>
      <c r="J92">
        <v>6174</v>
      </c>
    </row>
    <row r="93" spans="1:10" x14ac:dyDescent="0.3">
      <c r="A93" s="71">
        <v>45747</v>
      </c>
      <c r="B93">
        <v>44</v>
      </c>
      <c r="C93" t="s">
        <v>22</v>
      </c>
      <c r="D93">
        <v>6607</v>
      </c>
      <c r="E93">
        <v>479</v>
      </c>
      <c r="F93">
        <v>1063421</v>
      </c>
      <c r="G93">
        <v>5.5892257158735816</v>
      </c>
      <c r="H93">
        <v>48328</v>
      </c>
      <c r="I93" t="s">
        <v>348</v>
      </c>
      <c r="J93">
        <v>6128</v>
      </c>
    </row>
    <row r="94" spans="1:10" x14ac:dyDescent="0.3">
      <c r="A94" s="71">
        <v>45544</v>
      </c>
      <c r="B94">
        <v>15</v>
      </c>
      <c r="C94" t="s">
        <v>18</v>
      </c>
      <c r="D94">
        <v>6671</v>
      </c>
      <c r="E94">
        <v>550</v>
      </c>
      <c r="F94">
        <v>438545</v>
      </c>
      <c r="G94">
        <v>17.750287883797562</v>
      </c>
      <c r="H94">
        <v>10541</v>
      </c>
      <c r="I94" t="s">
        <v>349</v>
      </c>
      <c r="J94">
        <v>6121</v>
      </c>
    </row>
    <row r="95" spans="1:10" x14ac:dyDescent="0.3">
      <c r="A95" s="71">
        <v>45460</v>
      </c>
      <c r="B95">
        <v>3</v>
      </c>
      <c r="C95" t="s">
        <v>40</v>
      </c>
      <c r="D95">
        <v>6907</v>
      </c>
      <c r="E95">
        <v>834</v>
      </c>
      <c r="F95">
        <v>163790</v>
      </c>
      <c r="G95">
        <v>54.158984064961238</v>
      </c>
      <c r="H95">
        <v>22087</v>
      </c>
      <c r="I95" t="s">
        <v>348</v>
      </c>
      <c r="J95">
        <v>6073</v>
      </c>
    </row>
    <row r="96" spans="1:10" x14ac:dyDescent="0.3">
      <c r="A96" s="71">
        <v>45621</v>
      </c>
      <c r="B96">
        <v>26</v>
      </c>
      <c r="C96" t="s">
        <v>22</v>
      </c>
      <c r="D96">
        <v>6827</v>
      </c>
      <c r="E96">
        <v>775</v>
      </c>
      <c r="F96">
        <v>661697</v>
      </c>
      <c r="G96">
        <v>15.96622018839439</v>
      </c>
      <c r="H96">
        <v>56850</v>
      </c>
      <c r="I96" t="s">
        <v>350</v>
      </c>
      <c r="J96">
        <v>6052</v>
      </c>
    </row>
    <row r="97" spans="1:10" x14ac:dyDescent="0.3">
      <c r="A97" s="71">
        <v>45502</v>
      </c>
      <c r="B97">
        <v>9</v>
      </c>
      <c r="C97" t="s">
        <v>40</v>
      </c>
      <c r="D97">
        <v>6947</v>
      </c>
      <c r="E97">
        <v>908</v>
      </c>
      <c r="F97">
        <v>306304</v>
      </c>
      <c r="G97">
        <v>14.117673944839121</v>
      </c>
      <c r="H97">
        <v>46060</v>
      </c>
      <c r="I97" t="s">
        <v>349</v>
      </c>
      <c r="J97">
        <v>6039</v>
      </c>
    </row>
    <row r="98" spans="1:10" x14ac:dyDescent="0.3">
      <c r="A98" s="71">
        <v>45705</v>
      </c>
      <c r="B98">
        <v>38</v>
      </c>
      <c r="C98" t="s">
        <v>22</v>
      </c>
      <c r="D98">
        <v>6510</v>
      </c>
      <c r="E98">
        <v>481</v>
      </c>
      <c r="F98">
        <v>928943</v>
      </c>
      <c r="G98">
        <v>2.3800168578696428</v>
      </c>
      <c r="H98">
        <v>19557</v>
      </c>
      <c r="I98" t="s">
        <v>349</v>
      </c>
      <c r="J98">
        <v>6029</v>
      </c>
    </row>
    <row r="99" spans="1:10" x14ac:dyDescent="0.3">
      <c r="A99" s="71">
        <v>45593</v>
      </c>
      <c r="B99">
        <v>22</v>
      </c>
      <c r="C99" t="s">
        <v>13</v>
      </c>
      <c r="D99">
        <v>6542</v>
      </c>
      <c r="E99">
        <v>539</v>
      </c>
      <c r="F99">
        <v>574674</v>
      </c>
      <c r="G99">
        <v>6.4069368024305948</v>
      </c>
      <c r="H99">
        <v>55253</v>
      </c>
      <c r="I99" t="s">
        <v>350</v>
      </c>
      <c r="J99">
        <v>6003</v>
      </c>
    </row>
    <row r="100" spans="1:10" x14ac:dyDescent="0.3">
      <c r="A100" s="71">
        <v>45761</v>
      </c>
      <c r="B100">
        <v>46</v>
      </c>
      <c r="C100" t="s">
        <v>18</v>
      </c>
      <c r="D100">
        <v>6946</v>
      </c>
      <c r="E100">
        <v>956</v>
      </c>
      <c r="F100">
        <v>1112363</v>
      </c>
      <c r="G100">
        <v>1.64146056637986</v>
      </c>
      <c r="H100">
        <v>17927</v>
      </c>
      <c r="I100" t="s">
        <v>351</v>
      </c>
      <c r="J100">
        <v>5990</v>
      </c>
    </row>
    <row r="101" spans="1:10" x14ac:dyDescent="0.3">
      <c r="A101" s="71">
        <v>45712</v>
      </c>
      <c r="B101">
        <v>39</v>
      </c>
      <c r="C101" t="s">
        <v>22</v>
      </c>
      <c r="D101">
        <v>6439</v>
      </c>
      <c r="E101">
        <v>477</v>
      </c>
      <c r="F101">
        <v>959389</v>
      </c>
      <c r="G101">
        <v>7.4744446725989153</v>
      </c>
      <c r="H101">
        <v>44742</v>
      </c>
      <c r="I101" t="s">
        <v>348</v>
      </c>
      <c r="J101">
        <v>5962</v>
      </c>
    </row>
    <row r="102" spans="1:10" x14ac:dyDescent="0.3">
      <c r="A102" s="71">
        <v>45502</v>
      </c>
      <c r="B102">
        <v>9</v>
      </c>
      <c r="C102" t="s">
        <v>18</v>
      </c>
      <c r="D102">
        <v>6777</v>
      </c>
      <c r="E102">
        <v>981</v>
      </c>
      <c r="F102">
        <v>296820</v>
      </c>
      <c r="G102">
        <v>23.920557913887201</v>
      </c>
      <c r="H102">
        <v>53590</v>
      </c>
      <c r="I102" t="s">
        <v>351</v>
      </c>
      <c r="J102">
        <v>5796</v>
      </c>
    </row>
    <row r="103" spans="1:10" x14ac:dyDescent="0.3">
      <c r="A103" s="71">
        <v>45516</v>
      </c>
      <c r="B103">
        <v>11</v>
      </c>
      <c r="C103" t="s">
        <v>40</v>
      </c>
      <c r="D103">
        <v>6179</v>
      </c>
      <c r="E103">
        <v>384</v>
      </c>
      <c r="F103">
        <v>326199</v>
      </c>
      <c r="G103">
        <v>14.71218489327067</v>
      </c>
      <c r="H103">
        <v>33225</v>
      </c>
      <c r="I103" t="s">
        <v>349</v>
      </c>
      <c r="J103">
        <v>5795</v>
      </c>
    </row>
    <row r="104" spans="1:10" x14ac:dyDescent="0.3">
      <c r="A104" s="71">
        <v>45530</v>
      </c>
      <c r="B104">
        <v>13</v>
      </c>
      <c r="C104" t="s">
        <v>40</v>
      </c>
      <c r="D104">
        <v>6175</v>
      </c>
      <c r="E104">
        <v>422</v>
      </c>
      <c r="F104">
        <v>377618</v>
      </c>
      <c r="G104">
        <v>37.86101298137271</v>
      </c>
      <c r="H104">
        <v>59745</v>
      </c>
      <c r="I104" t="s">
        <v>348</v>
      </c>
      <c r="J104">
        <v>5753</v>
      </c>
    </row>
    <row r="105" spans="1:10" x14ac:dyDescent="0.3">
      <c r="A105" s="71">
        <v>45565</v>
      </c>
      <c r="B105">
        <v>18</v>
      </c>
      <c r="C105" t="s">
        <v>40</v>
      </c>
      <c r="D105">
        <v>6693</v>
      </c>
      <c r="E105">
        <v>995</v>
      </c>
      <c r="F105">
        <v>486018</v>
      </c>
      <c r="G105">
        <v>23.761877132122681</v>
      </c>
      <c r="H105">
        <v>38854</v>
      </c>
      <c r="I105" t="s">
        <v>349</v>
      </c>
      <c r="J105">
        <v>5698</v>
      </c>
    </row>
    <row r="106" spans="1:10" x14ac:dyDescent="0.3">
      <c r="A106" s="71">
        <v>45460</v>
      </c>
      <c r="B106">
        <v>3</v>
      </c>
      <c r="C106" t="s">
        <v>22</v>
      </c>
      <c r="D106">
        <v>6656</v>
      </c>
      <c r="E106">
        <v>978</v>
      </c>
      <c r="F106">
        <v>176196</v>
      </c>
      <c r="G106">
        <v>60.425889350496043</v>
      </c>
      <c r="H106">
        <v>27081</v>
      </c>
      <c r="I106" t="s">
        <v>352</v>
      </c>
      <c r="J106">
        <v>5678</v>
      </c>
    </row>
    <row r="107" spans="1:10" x14ac:dyDescent="0.3">
      <c r="A107" s="71">
        <v>45537</v>
      </c>
      <c r="B107">
        <v>14</v>
      </c>
      <c r="C107" t="s">
        <v>22</v>
      </c>
      <c r="D107">
        <v>6448</v>
      </c>
      <c r="E107">
        <v>928</v>
      </c>
      <c r="F107">
        <v>396672</v>
      </c>
      <c r="G107">
        <v>30.118586640851881</v>
      </c>
      <c r="H107">
        <v>53922</v>
      </c>
      <c r="I107" t="s">
        <v>348</v>
      </c>
      <c r="J107">
        <v>5520</v>
      </c>
    </row>
    <row r="108" spans="1:10" x14ac:dyDescent="0.3">
      <c r="A108" s="71">
        <v>45768</v>
      </c>
      <c r="B108">
        <v>47</v>
      </c>
      <c r="C108" t="s">
        <v>22</v>
      </c>
      <c r="D108">
        <v>5941</v>
      </c>
      <c r="E108">
        <v>450</v>
      </c>
      <c r="F108">
        <v>1117854</v>
      </c>
      <c r="G108">
        <v>12.414411899944</v>
      </c>
      <c r="H108">
        <v>58330</v>
      </c>
      <c r="I108" t="s">
        <v>350</v>
      </c>
      <c r="J108">
        <v>5491</v>
      </c>
    </row>
    <row r="109" spans="1:10" x14ac:dyDescent="0.3">
      <c r="A109" s="71">
        <v>45579</v>
      </c>
      <c r="B109">
        <v>20</v>
      </c>
      <c r="C109" t="s">
        <v>40</v>
      </c>
      <c r="D109">
        <v>5837</v>
      </c>
      <c r="E109">
        <v>359</v>
      </c>
      <c r="F109">
        <v>531341</v>
      </c>
      <c r="G109">
        <v>6.8073045370110723</v>
      </c>
      <c r="H109">
        <v>56026</v>
      </c>
      <c r="I109" t="s">
        <v>350</v>
      </c>
      <c r="J109">
        <v>5478</v>
      </c>
    </row>
    <row r="110" spans="1:10" x14ac:dyDescent="0.3">
      <c r="A110" s="71">
        <v>45775</v>
      </c>
      <c r="B110">
        <v>48</v>
      </c>
      <c r="C110" t="s">
        <v>40</v>
      </c>
      <c r="D110">
        <v>6341</v>
      </c>
      <c r="E110">
        <v>885</v>
      </c>
      <c r="F110">
        <v>1151882</v>
      </c>
      <c r="G110">
        <v>6.3457020771224837</v>
      </c>
      <c r="H110">
        <v>46727</v>
      </c>
      <c r="I110" t="s">
        <v>350</v>
      </c>
      <c r="J110">
        <v>5456</v>
      </c>
    </row>
    <row r="111" spans="1:10" x14ac:dyDescent="0.3">
      <c r="A111" s="71">
        <v>45474</v>
      </c>
      <c r="B111">
        <v>5</v>
      </c>
      <c r="C111" t="s">
        <v>18</v>
      </c>
      <c r="D111">
        <v>5917</v>
      </c>
      <c r="E111">
        <v>475</v>
      </c>
      <c r="F111">
        <v>210260</v>
      </c>
      <c r="G111">
        <v>17.894035955483702</v>
      </c>
      <c r="H111">
        <v>28313</v>
      </c>
      <c r="I111" t="s">
        <v>349</v>
      </c>
      <c r="J111">
        <v>5442</v>
      </c>
    </row>
    <row r="112" spans="1:10" x14ac:dyDescent="0.3">
      <c r="A112" s="71">
        <v>45705</v>
      </c>
      <c r="B112">
        <v>38</v>
      </c>
      <c r="C112" t="s">
        <v>22</v>
      </c>
      <c r="D112">
        <v>6330</v>
      </c>
      <c r="E112">
        <v>891</v>
      </c>
      <c r="F112">
        <v>922914</v>
      </c>
      <c r="G112">
        <v>14.789893749580139</v>
      </c>
      <c r="H112">
        <v>37037</v>
      </c>
      <c r="I112" t="s">
        <v>349</v>
      </c>
      <c r="J112">
        <v>5439</v>
      </c>
    </row>
    <row r="113" spans="1:10" x14ac:dyDescent="0.3">
      <c r="A113" s="71">
        <v>45684</v>
      </c>
      <c r="B113">
        <v>35</v>
      </c>
      <c r="C113" t="s">
        <v>40</v>
      </c>
      <c r="D113">
        <v>5940</v>
      </c>
      <c r="E113">
        <v>512</v>
      </c>
      <c r="F113">
        <v>865266</v>
      </c>
      <c r="G113">
        <v>15.7972230504839</v>
      </c>
      <c r="H113">
        <v>17531</v>
      </c>
      <c r="I113" t="s">
        <v>352</v>
      </c>
      <c r="J113">
        <v>5428</v>
      </c>
    </row>
    <row r="114" spans="1:10" x14ac:dyDescent="0.3">
      <c r="A114" s="71">
        <v>45628</v>
      </c>
      <c r="B114">
        <v>27</v>
      </c>
      <c r="C114" t="s">
        <v>18</v>
      </c>
      <c r="D114">
        <v>5839</v>
      </c>
      <c r="E114">
        <v>437</v>
      </c>
      <c r="F114">
        <v>682556</v>
      </c>
      <c r="G114">
        <v>17.44750613869045</v>
      </c>
      <c r="H114">
        <v>16397</v>
      </c>
      <c r="I114" t="s">
        <v>352</v>
      </c>
      <c r="J114">
        <v>5402</v>
      </c>
    </row>
    <row r="115" spans="1:10" x14ac:dyDescent="0.3">
      <c r="A115" s="71">
        <v>45530</v>
      </c>
      <c r="B115">
        <v>13</v>
      </c>
      <c r="C115" t="s">
        <v>13</v>
      </c>
      <c r="D115">
        <v>6078</v>
      </c>
      <c r="E115">
        <v>775</v>
      </c>
      <c r="F115">
        <v>391152</v>
      </c>
      <c r="G115">
        <v>37.760512537325639</v>
      </c>
      <c r="H115">
        <v>38731</v>
      </c>
      <c r="I115" t="s">
        <v>352</v>
      </c>
      <c r="J115">
        <v>5303</v>
      </c>
    </row>
    <row r="116" spans="1:10" x14ac:dyDescent="0.3">
      <c r="A116" s="71">
        <v>45607</v>
      </c>
      <c r="B116">
        <v>24</v>
      </c>
      <c r="C116" t="s">
        <v>13</v>
      </c>
      <c r="D116">
        <v>5795</v>
      </c>
      <c r="E116">
        <v>575</v>
      </c>
      <c r="F116">
        <v>625922</v>
      </c>
      <c r="G116">
        <v>3.0908004511744269</v>
      </c>
      <c r="H116">
        <v>55657</v>
      </c>
      <c r="I116" t="s">
        <v>348</v>
      </c>
      <c r="J116">
        <v>5220</v>
      </c>
    </row>
    <row r="117" spans="1:10" x14ac:dyDescent="0.3">
      <c r="A117" s="71">
        <v>45782</v>
      </c>
      <c r="B117">
        <v>49</v>
      </c>
      <c r="C117" t="s">
        <v>13</v>
      </c>
      <c r="D117">
        <v>5875</v>
      </c>
      <c r="E117">
        <v>665</v>
      </c>
      <c r="F117">
        <v>1157985</v>
      </c>
      <c r="G117">
        <v>6.9871371390821126</v>
      </c>
      <c r="H117">
        <v>32669</v>
      </c>
      <c r="I117" t="s">
        <v>351</v>
      </c>
      <c r="J117">
        <v>5210</v>
      </c>
    </row>
    <row r="118" spans="1:10" x14ac:dyDescent="0.3">
      <c r="A118" s="71">
        <v>45614</v>
      </c>
      <c r="B118">
        <v>25</v>
      </c>
      <c r="C118" t="s">
        <v>22</v>
      </c>
      <c r="D118">
        <v>5798</v>
      </c>
      <c r="E118">
        <v>592</v>
      </c>
      <c r="F118">
        <v>631128</v>
      </c>
      <c r="G118">
        <v>1.6774727155188811</v>
      </c>
      <c r="H118">
        <v>13471</v>
      </c>
      <c r="I118" t="s">
        <v>348</v>
      </c>
      <c r="J118">
        <v>5206</v>
      </c>
    </row>
    <row r="119" spans="1:10" x14ac:dyDescent="0.3">
      <c r="A119" s="71">
        <v>45621</v>
      </c>
      <c r="B119">
        <v>26</v>
      </c>
      <c r="C119" t="s">
        <v>13</v>
      </c>
      <c r="D119">
        <v>5719</v>
      </c>
      <c r="E119">
        <v>576</v>
      </c>
      <c r="F119">
        <v>675785</v>
      </c>
      <c r="G119">
        <v>10.21656296011305</v>
      </c>
      <c r="H119">
        <v>38272</v>
      </c>
      <c r="I119" t="s">
        <v>351</v>
      </c>
      <c r="J119">
        <v>5143</v>
      </c>
    </row>
    <row r="120" spans="1:10" x14ac:dyDescent="0.3">
      <c r="A120" s="71">
        <v>45705</v>
      </c>
      <c r="B120">
        <v>38</v>
      </c>
      <c r="C120" t="s">
        <v>18</v>
      </c>
      <c r="D120">
        <v>5531</v>
      </c>
      <c r="E120">
        <v>430</v>
      </c>
      <c r="F120">
        <v>917475</v>
      </c>
      <c r="G120">
        <v>2.7289026948963189</v>
      </c>
      <c r="H120">
        <v>47481</v>
      </c>
      <c r="I120" t="s">
        <v>350</v>
      </c>
      <c r="J120">
        <v>5101</v>
      </c>
    </row>
    <row r="121" spans="1:10" x14ac:dyDescent="0.3">
      <c r="A121" s="71">
        <v>45523</v>
      </c>
      <c r="B121">
        <v>12</v>
      </c>
      <c r="C121" t="s">
        <v>13</v>
      </c>
      <c r="D121">
        <v>5737</v>
      </c>
      <c r="E121">
        <v>666</v>
      </c>
      <c r="F121">
        <v>359081</v>
      </c>
      <c r="G121">
        <v>4.6034181702735593</v>
      </c>
      <c r="H121">
        <v>21005</v>
      </c>
      <c r="I121" t="s">
        <v>349</v>
      </c>
      <c r="J121">
        <v>5071</v>
      </c>
    </row>
    <row r="122" spans="1:10" x14ac:dyDescent="0.3">
      <c r="A122" s="71">
        <v>45558</v>
      </c>
      <c r="B122">
        <v>17</v>
      </c>
      <c r="C122" t="s">
        <v>40</v>
      </c>
      <c r="D122">
        <v>5517</v>
      </c>
      <c r="E122">
        <v>575</v>
      </c>
      <c r="F122">
        <v>460228</v>
      </c>
      <c r="G122">
        <v>29.45844233727631</v>
      </c>
      <c r="H122">
        <v>20258</v>
      </c>
      <c r="I122" t="s">
        <v>352</v>
      </c>
      <c r="J122">
        <v>4942</v>
      </c>
    </row>
    <row r="123" spans="1:10" x14ac:dyDescent="0.3">
      <c r="A123" s="71">
        <v>45600</v>
      </c>
      <c r="B123">
        <v>23</v>
      </c>
      <c r="C123" t="s">
        <v>18</v>
      </c>
      <c r="D123">
        <v>5268</v>
      </c>
      <c r="E123">
        <v>326</v>
      </c>
      <c r="F123">
        <v>604702</v>
      </c>
      <c r="G123">
        <v>23.435841125050029</v>
      </c>
      <c r="H123">
        <v>44501</v>
      </c>
      <c r="I123" t="s">
        <v>348</v>
      </c>
      <c r="J123">
        <v>4942</v>
      </c>
    </row>
    <row r="124" spans="1:10" x14ac:dyDescent="0.3">
      <c r="A124" s="71">
        <v>45453</v>
      </c>
      <c r="B124">
        <v>2</v>
      </c>
      <c r="C124" t="s">
        <v>40</v>
      </c>
      <c r="D124">
        <v>5225</v>
      </c>
      <c r="E124">
        <v>291</v>
      </c>
      <c r="F124">
        <v>146830</v>
      </c>
      <c r="G124">
        <v>19.551862698358651</v>
      </c>
      <c r="H124">
        <v>44546</v>
      </c>
      <c r="I124" t="s">
        <v>348</v>
      </c>
      <c r="J124">
        <v>4934</v>
      </c>
    </row>
    <row r="125" spans="1:10" x14ac:dyDescent="0.3">
      <c r="A125" s="71">
        <v>45467</v>
      </c>
      <c r="B125">
        <v>4</v>
      </c>
      <c r="C125" t="s">
        <v>22</v>
      </c>
      <c r="D125">
        <v>5259</v>
      </c>
      <c r="E125">
        <v>374</v>
      </c>
      <c r="F125">
        <v>189735</v>
      </c>
      <c r="G125">
        <v>14.827522597306769</v>
      </c>
      <c r="H125">
        <v>19596</v>
      </c>
      <c r="I125" t="s">
        <v>352</v>
      </c>
      <c r="J125">
        <v>4885</v>
      </c>
    </row>
    <row r="126" spans="1:10" x14ac:dyDescent="0.3">
      <c r="A126" s="71">
        <v>45607</v>
      </c>
      <c r="B126">
        <v>24</v>
      </c>
      <c r="C126" t="s">
        <v>18</v>
      </c>
      <c r="D126">
        <v>5592</v>
      </c>
      <c r="E126">
        <v>710</v>
      </c>
      <c r="F126">
        <v>620702</v>
      </c>
      <c r="G126">
        <v>9.07118069540617</v>
      </c>
      <c r="H126">
        <v>24472</v>
      </c>
      <c r="I126" t="s">
        <v>349</v>
      </c>
      <c r="J126">
        <v>4882</v>
      </c>
    </row>
    <row r="127" spans="1:10" x14ac:dyDescent="0.3">
      <c r="A127" s="71">
        <v>45733</v>
      </c>
      <c r="B127">
        <v>42</v>
      </c>
      <c r="C127" t="s">
        <v>18</v>
      </c>
      <c r="D127">
        <v>5285</v>
      </c>
      <c r="E127">
        <v>433</v>
      </c>
      <c r="F127">
        <v>1018238</v>
      </c>
      <c r="G127">
        <v>8.7022876773406619</v>
      </c>
      <c r="H127">
        <v>51800</v>
      </c>
      <c r="I127" t="s">
        <v>348</v>
      </c>
      <c r="J127">
        <v>4852</v>
      </c>
    </row>
    <row r="128" spans="1:10" x14ac:dyDescent="0.3">
      <c r="A128" s="71">
        <v>45509</v>
      </c>
      <c r="B128">
        <v>10</v>
      </c>
      <c r="C128" t="s">
        <v>18</v>
      </c>
      <c r="D128">
        <v>5349</v>
      </c>
      <c r="E128">
        <v>502</v>
      </c>
      <c r="F128">
        <v>320404</v>
      </c>
      <c r="G128">
        <v>5.2152906954969351</v>
      </c>
      <c r="H128">
        <v>58868</v>
      </c>
      <c r="I128" t="s">
        <v>348</v>
      </c>
      <c r="J128">
        <v>4847</v>
      </c>
    </row>
    <row r="129" spans="1:10" x14ac:dyDescent="0.3">
      <c r="A129" s="71">
        <v>45572</v>
      </c>
      <c r="B129">
        <v>19</v>
      </c>
      <c r="C129" t="s">
        <v>22</v>
      </c>
      <c r="D129">
        <v>5481</v>
      </c>
      <c r="E129">
        <v>673</v>
      </c>
      <c r="F129">
        <v>507970</v>
      </c>
      <c r="G129">
        <v>13.08758391243577</v>
      </c>
      <c r="H129">
        <v>29194</v>
      </c>
      <c r="I129" t="s">
        <v>351</v>
      </c>
      <c r="J129">
        <v>4808</v>
      </c>
    </row>
    <row r="130" spans="1:10" x14ac:dyDescent="0.3">
      <c r="A130" s="71">
        <v>45635</v>
      </c>
      <c r="B130">
        <v>28</v>
      </c>
      <c r="C130" t="s">
        <v>13</v>
      </c>
      <c r="D130">
        <v>5200</v>
      </c>
      <c r="E130">
        <v>410</v>
      </c>
      <c r="F130">
        <v>709008</v>
      </c>
      <c r="G130">
        <v>12.913394489201821</v>
      </c>
      <c r="H130">
        <v>28994</v>
      </c>
      <c r="I130" t="s">
        <v>348</v>
      </c>
      <c r="J130">
        <v>4790</v>
      </c>
    </row>
    <row r="131" spans="1:10" x14ac:dyDescent="0.3">
      <c r="A131" s="71">
        <v>45761</v>
      </c>
      <c r="B131">
        <v>46</v>
      </c>
      <c r="C131" t="s">
        <v>18</v>
      </c>
      <c r="D131">
        <v>5583</v>
      </c>
      <c r="E131">
        <v>795</v>
      </c>
      <c r="F131">
        <v>1106373</v>
      </c>
      <c r="G131">
        <v>12.21550055903389</v>
      </c>
      <c r="H131">
        <v>59823</v>
      </c>
      <c r="I131" t="s">
        <v>351</v>
      </c>
      <c r="J131">
        <v>4788</v>
      </c>
    </row>
    <row r="132" spans="1:10" x14ac:dyDescent="0.3">
      <c r="A132" s="71">
        <v>45754</v>
      </c>
      <c r="B132">
        <v>45</v>
      </c>
      <c r="C132" t="s">
        <v>18</v>
      </c>
      <c r="D132">
        <v>4983</v>
      </c>
      <c r="E132">
        <v>441</v>
      </c>
      <c r="F132">
        <v>1077624</v>
      </c>
      <c r="G132">
        <v>6.8954477628560609</v>
      </c>
      <c r="H132">
        <v>46768</v>
      </c>
      <c r="I132" t="s">
        <v>348</v>
      </c>
      <c r="J132">
        <v>4542</v>
      </c>
    </row>
    <row r="133" spans="1:10" x14ac:dyDescent="0.3">
      <c r="A133" s="71">
        <v>45523</v>
      </c>
      <c r="B133">
        <v>12</v>
      </c>
      <c r="C133" t="s">
        <v>13</v>
      </c>
      <c r="D133">
        <v>4850</v>
      </c>
      <c r="E133">
        <v>494</v>
      </c>
      <c r="F133">
        <v>370352</v>
      </c>
      <c r="G133">
        <v>20.46539508359615</v>
      </c>
      <c r="H133">
        <v>10161</v>
      </c>
      <c r="I133" t="s">
        <v>349</v>
      </c>
      <c r="J133">
        <v>4356</v>
      </c>
    </row>
    <row r="134" spans="1:10" x14ac:dyDescent="0.3">
      <c r="A134" s="71">
        <v>45649</v>
      </c>
      <c r="B134">
        <v>30</v>
      </c>
      <c r="C134" t="s">
        <v>22</v>
      </c>
      <c r="D134">
        <v>4631</v>
      </c>
      <c r="E134">
        <v>317</v>
      </c>
      <c r="F134">
        <v>735242</v>
      </c>
      <c r="G134">
        <v>1.381177897889402</v>
      </c>
      <c r="H134">
        <v>17999</v>
      </c>
      <c r="I134" t="s">
        <v>350</v>
      </c>
      <c r="J134">
        <v>4314</v>
      </c>
    </row>
    <row r="135" spans="1:10" x14ac:dyDescent="0.3">
      <c r="A135" s="71">
        <v>45719</v>
      </c>
      <c r="B135">
        <v>40</v>
      </c>
      <c r="C135" t="s">
        <v>40</v>
      </c>
      <c r="D135">
        <v>4839</v>
      </c>
      <c r="E135">
        <v>594</v>
      </c>
      <c r="F135">
        <v>979778</v>
      </c>
      <c r="G135">
        <v>2.5803804535313102</v>
      </c>
      <c r="H135">
        <v>42591</v>
      </c>
      <c r="I135" t="s">
        <v>350</v>
      </c>
      <c r="J135">
        <v>4245</v>
      </c>
    </row>
    <row r="136" spans="1:10" x14ac:dyDescent="0.3">
      <c r="A136" s="71">
        <v>45677</v>
      </c>
      <c r="B136">
        <v>34</v>
      </c>
      <c r="C136" t="s">
        <v>40</v>
      </c>
      <c r="D136">
        <v>4926</v>
      </c>
      <c r="E136">
        <v>710</v>
      </c>
      <c r="F136">
        <v>838563</v>
      </c>
      <c r="G136">
        <v>12.96217457722318</v>
      </c>
      <c r="H136">
        <v>52821</v>
      </c>
      <c r="I136" t="s">
        <v>348</v>
      </c>
      <c r="J136">
        <v>4216</v>
      </c>
    </row>
    <row r="137" spans="1:10" x14ac:dyDescent="0.3">
      <c r="A137" s="71">
        <v>45656</v>
      </c>
      <c r="B137">
        <v>31</v>
      </c>
      <c r="C137" t="s">
        <v>22</v>
      </c>
      <c r="D137">
        <v>4897</v>
      </c>
      <c r="E137">
        <v>683</v>
      </c>
      <c r="F137">
        <v>761158</v>
      </c>
      <c r="G137">
        <v>15.06231294947961</v>
      </c>
      <c r="H137">
        <v>58201</v>
      </c>
      <c r="I137" t="s">
        <v>352</v>
      </c>
      <c r="J137">
        <v>4214</v>
      </c>
    </row>
    <row r="138" spans="1:10" x14ac:dyDescent="0.3">
      <c r="A138" s="71">
        <v>45740</v>
      </c>
      <c r="B138">
        <v>43</v>
      </c>
      <c r="C138" t="s">
        <v>13</v>
      </c>
      <c r="D138">
        <v>4747</v>
      </c>
      <c r="E138">
        <v>558</v>
      </c>
      <c r="F138">
        <v>1041686</v>
      </c>
      <c r="G138">
        <v>5.7680529449373434</v>
      </c>
      <c r="H138">
        <v>12643</v>
      </c>
      <c r="I138" t="s">
        <v>351</v>
      </c>
      <c r="J138">
        <v>4189</v>
      </c>
    </row>
    <row r="139" spans="1:10" x14ac:dyDescent="0.3">
      <c r="A139" s="71">
        <v>45572</v>
      </c>
      <c r="B139">
        <v>19</v>
      </c>
      <c r="C139" t="s">
        <v>13</v>
      </c>
      <c r="D139">
        <v>4716</v>
      </c>
      <c r="E139">
        <v>569</v>
      </c>
      <c r="F139">
        <v>503162</v>
      </c>
      <c r="G139">
        <v>25.64820077827817</v>
      </c>
      <c r="H139">
        <v>11651</v>
      </c>
      <c r="I139" t="s">
        <v>351</v>
      </c>
      <c r="J139">
        <v>4147</v>
      </c>
    </row>
    <row r="140" spans="1:10" x14ac:dyDescent="0.3">
      <c r="A140" s="71">
        <v>45558</v>
      </c>
      <c r="B140">
        <v>17</v>
      </c>
      <c r="C140" t="s">
        <v>22</v>
      </c>
      <c r="D140">
        <v>4302</v>
      </c>
      <c r="E140">
        <v>275</v>
      </c>
      <c r="F140">
        <v>464255</v>
      </c>
      <c r="G140">
        <v>15.72131694865968</v>
      </c>
      <c r="H140">
        <v>26044</v>
      </c>
      <c r="I140" t="s">
        <v>351</v>
      </c>
      <c r="J140">
        <v>4027</v>
      </c>
    </row>
    <row r="141" spans="1:10" x14ac:dyDescent="0.3">
      <c r="A141" s="71">
        <v>45628</v>
      </c>
      <c r="B141">
        <v>27</v>
      </c>
      <c r="C141" t="s">
        <v>13</v>
      </c>
      <c r="D141">
        <v>4493</v>
      </c>
      <c r="E141">
        <v>564</v>
      </c>
      <c r="F141">
        <v>694115</v>
      </c>
      <c r="G141">
        <v>16.625487131094989</v>
      </c>
      <c r="H141">
        <v>45525</v>
      </c>
      <c r="I141" t="s">
        <v>349</v>
      </c>
      <c r="J141">
        <v>3929</v>
      </c>
    </row>
    <row r="142" spans="1:10" x14ac:dyDescent="0.3">
      <c r="A142" s="71">
        <v>45551</v>
      </c>
      <c r="B142">
        <v>16</v>
      </c>
      <c r="C142" t="s">
        <v>40</v>
      </c>
      <c r="D142">
        <v>4292</v>
      </c>
      <c r="E142">
        <v>367</v>
      </c>
      <c r="F142">
        <v>453977</v>
      </c>
      <c r="G142">
        <v>3.5037017293827661</v>
      </c>
      <c r="H142">
        <v>53934</v>
      </c>
      <c r="I142" t="s">
        <v>350</v>
      </c>
      <c r="J142">
        <v>3925</v>
      </c>
    </row>
    <row r="143" spans="1:10" x14ac:dyDescent="0.3">
      <c r="A143" s="71">
        <v>45691</v>
      </c>
      <c r="B143">
        <v>36</v>
      </c>
      <c r="C143" t="s">
        <v>13</v>
      </c>
      <c r="D143">
        <v>4456</v>
      </c>
      <c r="E143">
        <v>651</v>
      </c>
      <c r="F143">
        <v>872714</v>
      </c>
      <c r="G143">
        <v>9.5052903929580594</v>
      </c>
      <c r="H143">
        <v>17736</v>
      </c>
      <c r="I143" t="s">
        <v>350</v>
      </c>
      <c r="J143">
        <v>3805</v>
      </c>
    </row>
    <row r="144" spans="1:10" x14ac:dyDescent="0.3">
      <c r="A144" s="71">
        <v>45446</v>
      </c>
      <c r="B144">
        <v>1</v>
      </c>
      <c r="C144" t="s">
        <v>22</v>
      </c>
      <c r="D144">
        <v>4138</v>
      </c>
      <c r="E144">
        <v>361</v>
      </c>
      <c r="F144">
        <v>103777</v>
      </c>
      <c r="G144">
        <v>56.637790647253247</v>
      </c>
      <c r="H144">
        <v>23944</v>
      </c>
      <c r="I144" t="s">
        <v>350</v>
      </c>
      <c r="J144">
        <v>3777</v>
      </c>
    </row>
    <row r="145" spans="1:10" x14ac:dyDescent="0.3">
      <c r="A145" s="71">
        <v>45684</v>
      </c>
      <c r="B145">
        <v>35</v>
      </c>
      <c r="C145" t="s">
        <v>22</v>
      </c>
      <c r="D145">
        <v>4271</v>
      </c>
      <c r="E145">
        <v>628</v>
      </c>
      <c r="F145">
        <v>868909</v>
      </c>
      <c r="G145">
        <v>11.124410036033691</v>
      </c>
      <c r="H145">
        <v>47051</v>
      </c>
      <c r="I145" t="s">
        <v>352</v>
      </c>
      <c r="J145">
        <v>3643</v>
      </c>
    </row>
    <row r="146" spans="1:10" x14ac:dyDescent="0.3">
      <c r="A146" s="71">
        <v>45642</v>
      </c>
      <c r="B146">
        <v>29</v>
      </c>
      <c r="C146" t="s">
        <v>22</v>
      </c>
      <c r="D146">
        <v>4191</v>
      </c>
      <c r="E146">
        <v>599</v>
      </c>
      <c r="F146">
        <v>713549</v>
      </c>
      <c r="G146">
        <v>11.56416728213479</v>
      </c>
      <c r="H146">
        <v>27833</v>
      </c>
      <c r="I146" t="s">
        <v>349</v>
      </c>
      <c r="J146">
        <v>3592</v>
      </c>
    </row>
    <row r="147" spans="1:10" x14ac:dyDescent="0.3">
      <c r="A147" s="71">
        <v>45488</v>
      </c>
      <c r="B147">
        <v>7</v>
      </c>
      <c r="C147" t="s">
        <v>22</v>
      </c>
      <c r="D147">
        <v>3964</v>
      </c>
      <c r="E147">
        <v>378</v>
      </c>
      <c r="F147">
        <v>246766</v>
      </c>
      <c r="G147">
        <v>13.6355899921383</v>
      </c>
      <c r="H147">
        <v>23109</v>
      </c>
      <c r="I147" t="s">
        <v>352</v>
      </c>
      <c r="J147">
        <v>3586</v>
      </c>
    </row>
    <row r="148" spans="1:10" x14ac:dyDescent="0.3">
      <c r="A148" s="71">
        <v>45726</v>
      </c>
      <c r="B148">
        <v>41</v>
      </c>
      <c r="C148" t="s">
        <v>13</v>
      </c>
      <c r="D148">
        <v>4009</v>
      </c>
      <c r="E148">
        <v>454</v>
      </c>
      <c r="F148">
        <v>995050</v>
      </c>
      <c r="G148">
        <v>2.1106477061454201</v>
      </c>
      <c r="H148">
        <v>19833</v>
      </c>
      <c r="I148" t="s">
        <v>348</v>
      </c>
      <c r="J148">
        <v>3555</v>
      </c>
    </row>
    <row r="149" spans="1:10" x14ac:dyDescent="0.3">
      <c r="A149" s="71">
        <v>45509</v>
      </c>
      <c r="B149">
        <v>10</v>
      </c>
      <c r="C149" t="s">
        <v>40</v>
      </c>
      <c r="D149">
        <v>3719</v>
      </c>
      <c r="E149">
        <v>222</v>
      </c>
      <c r="F149">
        <v>313014</v>
      </c>
      <c r="G149">
        <v>21.669318305251519</v>
      </c>
      <c r="H149">
        <v>13586</v>
      </c>
      <c r="I149" t="s">
        <v>352</v>
      </c>
      <c r="J149">
        <v>3497</v>
      </c>
    </row>
    <row r="150" spans="1:10" x14ac:dyDescent="0.3">
      <c r="A150" s="71">
        <v>45635</v>
      </c>
      <c r="B150">
        <v>28</v>
      </c>
      <c r="C150" t="s">
        <v>22</v>
      </c>
      <c r="D150">
        <v>3672</v>
      </c>
      <c r="E150">
        <v>211</v>
      </c>
      <c r="F150">
        <v>704218</v>
      </c>
      <c r="G150">
        <v>12.35057894004413</v>
      </c>
      <c r="H150">
        <v>28284</v>
      </c>
      <c r="I150" t="s">
        <v>348</v>
      </c>
      <c r="J150">
        <v>3461</v>
      </c>
    </row>
    <row r="151" spans="1:10" x14ac:dyDescent="0.3">
      <c r="A151" s="71">
        <v>45502</v>
      </c>
      <c r="B151">
        <v>9</v>
      </c>
      <c r="C151" t="s">
        <v>13</v>
      </c>
      <c r="D151">
        <v>4036</v>
      </c>
      <c r="E151">
        <v>591</v>
      </c>
      <c r="F151">
        <v>300265</v>
      </c>
      <c r="G151">
        <v>44.219272975538267</v>
      </c>
      <c r="H151">
        <v>12563</v>
      </c>
      <c r="I151" t="s">
        <v>351</v>
      </c>
      <c r="J151">
        <v>3445</v>
      </c>
    </row>
    <row r="152" spans="1:10" x14ac:dyDescent="0.3">
      <c r="A152" s="71">
        <v>45453</v>
      </c>
      <c r="B152">
        <v>2</v>
      </c>
      <c r="C152" t="s">
        <v>40</v>
      </c>
      <c r="D152">
        <v>3978</v>
      </c>
      <c r="E152">
        <v>543</v>
      </c>
      <c r="F152">
        <v>150265</v>
      </c>
      <c r="G152">
        <v>49.159817655475329</v>
      </c>
      <c r="H152">
        <v>34286</v>
      </c>
      <c r="I152" t="s">
        <v>350</v>
      </c>
      <c r="J152">
        <v>3435</v>
      </c>
    </row>
    <row r="153" spans="1:10" x14ac:dyDescent="0.3">
      <c r="A153" s="71">
        <v>45698</v>
      </c>
      <c r="B153">
        <v>37</v>
      </c>
      <c r="C153" t="s">
        <v>18</v>
      </c>
      <c r="D153">
        <v>3711</v>
      </c>
      <c r="E153">
        <v>291</v>
      </c>
      <c r="F153">
        <v>900862</v>
      </c>
      <c r="G153">
        <v>14.24879726306582</v>
      </c>
      <c r="H153">
        <v>55603</v>
      </c>
      <c r="I153" t="s">
        <v>350</v>
      </c>
      <c r="J153">
        <v>3420</v>
      </c>
    </row>
    <row r="154" spans="1:10" x14ac:dyDescent="0.3">
      <c r="A154" s="71">
        <v>45481</v>
      </c>
      <c r="B154">
        <v>6</v>
      </c>
      <c r="C154" t="s">
        <v>18</v>
      </c>
      <c r="D154">
        <v>3529</v>
      </c>
      <c r="E154">
        <v>305</v>
      </c>
      <c r="F154">
        <v>243180</v>
      </c>
      <c r="G154">
        <v>41.606628834608109</v>
      </c>
      <c r="H154">
        <v>48356</v>
      </c>
      <c r="I154" t="s">
        <v>352</v>
      </c>
      <c r="J154">
        <v>3224</v>
      </c>
    </row>
    <row r="155" spans="1:10" x14ac:dyDescent="0.3">
      <c r="A155" s="71">
        <v>45509</v>
      </c>
      <c r="B155">
        <v>10</v>
      </c>
      <c r="C155" t="s">
        <v>22</v>
      </c>
      <c r="D155">
        <v>3494</v>
      </c>
      <c r="E155">
        <v>281</v>
      </c>
      <c r="F155">
        <v>309517</v>
      </c>
      <c r="G155">
        <v>27.765518533715429</v>
      </c>
      <c r="H155">
        <v>39197</v>
      </c>
      <c r="I155" t="s">
        <v>352</v>
      </c>
      <c r="J155">
        <v>3213</v>
      </c>
    </row>
    <row r="156" spans="1:10" x14ac:dyDescent="0.3">
      <c r="A156" s="71">
        <v>45474</v>
      </c>
      <c r="B156">
        <v>5</v>
      </c>
      <c r="C156" t="s">
        <v>22</v>
      </c>
      <c r="D156">
        <v>3530</v>
      </c>
      <c r="E156">
        <v>328</v>
      </c>
      <c r="F156">
        <v>221925</v>
      </c>
      <c r="G156">
        <v>12.8372197814577</v>
      </c>
      <c r="H156">
        <v>11013</v>
      </c>
      <c r="I156" t="s">
        <v>348</v>
      </c>
      <c r="J156">
        <v>3202</v>
      </c>
    </row>
    <row r="157" spans="1:10" x14ac:dyDescent="0.3">
      <c r="A157" s="71">
        <v>45614</v>
      </c>
      <c r="B157">
        <v>25</v>
      </c>
      <c r="C157" t="s">
        <v>18</v>
      </c>
      <c r="D157">
        <v>3355</v>
      </c>
      <c r="E157">
        <v>176</v>
      </c>
      <c r="F157">
        <v>640691</v>
      </c>
      <c r="G157">
        <v>12.426427091999111</v>
      </c>
      <c r="H157">
        <v>40268</v>
      </c>
      <c r="I157" t="s">
        <v>352</v>
      </c>
      <c r="J157">
        <v>3179</v>
      </c>
    </row>
    <row r="158" spans="1:10" x14ac:dyDescent="0.3">
      <c r="A158" s="71">
        <v>45768</v>
      </c>
      <c r="B158">
        <v>47</v>
      </c>
      <c r="C158" t="s">
        <v>22</v>
      </c>
      <c r="D158">
        <v>3461</v>
      </c>
      <c r="E158">
        <v>365</v>
      </c>
      <c r="F158">
        <v>1134433</v>
      </c>
      <c r="G158">
        <v>10.23489267325616</v>
      </c>
      <c r="H158">
        <v>51903</v>
      </c>
      <c r="I158" t="s">
        <v>352</v>
      </c>
      <c r="J158">
        <v>3096</v>
      </c>
    </row>
    <row r="159" spans="1:10" x14ac:dyDescent="0.3">
      <c r="A159" s="71">
        <v>45656</v>
      </c>
      <c r="B159">
        <v>31</v>
      </c>
      <c r="C159" t="s">
        <v>40</v>
      </c>
      <c r="D159">
        <v>3279</v>
      </c>
      <c r="E159">
        <v>200</v>
      </c>
      <c r="F159">
        <v>772614</v>
      </c>
      <c r="G159">
        <v>5.0212654702089274</v>
      </c>
      <c r="H159">
        <v>53363</v>
      </c>
      <c r="I159" t="s">
        <v>352</v>
      </c>
      <c r="J159">
        <v>3079</v>
      </c>
    </row>
    <row r="160" spans="1:10" x14ac:dyDescent="0.3">
      <c r="A160" s="71">
        <v>45600</v>
      </c>
      <c r="B160">
        <v>23</v>
      </c>
      <c r="C160" t="s">
        <v>13</v>
      </c>
      <c r="D160">
        <v>3385</v>
      </c>
      <c r="E160">
        <v>329</v>
      </c>
      <c r="F160">
        <v>599760</v>
      </c>
      <c r="G160">
        <v>17.61788048552755</v>
      </c>
      <c r="H160">
        <v>28394</v>
      </c>
      <c r="I160" t="s">
        <v>348</v>
      </c>
      <c r="J160">
        <v>3056</v>
      </c>
    </row>
    <row r="161" spans="1:10" x14ac:dyDescent="0.3">
      <c r="A161" s="71">
        <v>45579</v>
      </c>
      <c r="B161">
        <v>20</v>
      </c>
      <c r="C161" t="s">
        <v>40</v>
      </c>
      <c r="D161">
        <v>3293</v>
      </c>
      <c r="E161">
        <v>282</v>
      </c>
      <c r="F161">
        <v>525863</v>
      </c>
      <c r="G161">
        <v>27.040693108281051</v>
      </c>
      <c r="H161">
        <v>19518</v>
      </c>
      <c r="I161" t="s">
        <v>350</v>
      </c>
      <c r="J161">
        <v>3011</v>
      </c>
    </row>
    <row r="162" spans="1:10" x14ac:dyDescent="0.3">
      <c r="A162" s="71">
        <v>45726</v>
      </c>
      <c r="B162">
        <v>41</v>
      </c>
      <c r="C162" t="s">
        <v>22</v>
      </c>
      <c r="D162">
        <v>3376</v>
      </c>
      <c r="E162">
        <v>382</v>
      </c>
      <c r="F162">
        <v>991495</v>
      </c>
      <c r="G162">
        <v>3.8694093263203548</v>
      </c>
      <c r="H162">
        <v>44782</v>
      </c>
      <c r="I162" t="s">
        <v>348</v>
      </c>
      <c r="J162">
        <v>2994</v>
      </c>
    </row>
    <row r="163" spans="1:10" x14ac:dyDescent="0.3">
      <c r="A163" s="71">
        <v>45775</v>
      </c>
      <c r="B163">
        <v>48</v>
      </c>
      <c r="C163" t="s">
        <v>40</v>
      </c>
      <c r="D163">
        <v>3160</v>
      </c>
      <c r="E163">
        <v>234</v>
      </c>
      <c r="F163">
        <v>1138871</v>
      </c>
      <c r="G163">
        <v>5.6959041015180816</v>
      </c>
      <c r="H163">
        <v>21929</v>
      </c>
      <c r="I163" t="s">
        <v>348</v>
      </c>
      <c r="J163">
        <v>2926</v>
      </c>
    </row>
    <row r="164" spans="1:10" x14ac:dyDescent="0.3">
      <c r="A164" s="71">
        <v>45670</v>
      </c>
      <c r="B164">
        <v>33</v>
      </c>
      <c r="C164" t="s">
        <v>22</v>
      </c>
      <c r="D164">
        <v>3247</v>
      </c>
      <c r="E164">
        <v>328</v>
      </c>
      <c r="F164">
        <v>810061</v>
      </c>
      <c r="G164">
        <v>13.941172331466399</v>
      </c>
      <c r="H164">
        <v>15105</v>
      </c>
      <c r="I164" t="s">
        <v>351</v>
      </c>
      <c r="J164">
        <v>2919</v>
      </c>
    </row>
    <row r="165" spans="1:10" x14ac:dyDescent="0.3">
      <c r="A165" s="71">
        <v>45740</v>
      </c>
      <c r="B165">
        <v>43</v>
      </c>
      <c r="C165" t="s">
        <v>18</v>
      </c>
      <c r="D165">
        <v>3196</v>
      </c>
      <c r="E165">
        <v>348</v>
      </c>
      <c r="F165">
        <v>1037497</v>
      </c>
      <c r="G165">
        <v>14.03040201562029</v>
      </c>
      <c r="H165">
        <v>40314</v>
      </c>
      <c r="I165" t="s">
        <v>351</v>
      </c>
      <c r="J165">
        <v>2848</v>
      </c>
    </row>
    <row r="166" spans="1:10" x14ac:dyDescent="0.3">
      <c r="A166" s="71">
        <v>45565</v>
      </c>
      <c r="B166">
        <v>18</v>
      </c>
      <c r="C166" t="s">
        <v>40</v>
      </c>
      <c r="D166">
        <v>3044</v>
      </c>
      <c r="E166">
        <v>212</v>
      </c>
      <c r="F166">
        <v>490393</v>
      </c>
      <c r="G166">
        <v>8.5343795690395261</v>
      </c>
      <c r="H166">
        <v>20720</v>
      </c>
      <c r="I166" t="s">
        <v>351</v>
      </c>
      <c r="J166">
        <v>2832</v>
      </c>
    </row>
    <row r="167" spans="1:10" x14ac:dyDescent="0.3">
      <c r="A167" s="71">
        <v>45789</v>
      </c>
      <c r="B167">
        <v>50</v>
      </c>
      <c r="C167" t="s">
        <v>22</v>
      </c>
      <c r="D167">
        <v>3196</v>
      </c>
      <c r="E167">
        <v>391</v>
      </c>
      <c r="F167">
        <v>1170816</v>
      </c>
      <c r="G167">
        <v>7.2439221876024931</v>
      </c>
      <c r="H167">
        <v>28745</v>
      </c>
      <c r="I167" t="s">
        <v>350</v>
      </c>
      <c r="J167">
        <v>2805</v>
      </c>
    </row>
    <row r="168" spans="1:10" x14ac:dyDescent="0.3">
      <c r="A168" s="71">
        <v>45474</v>
      </c>
      <c r="B168">
        <v>5</v>
      </c>
      <c r="C168" t="s">
        <v>22</v>
      </c>
      <c r="D168">
        <v>2960</v>
      </c>
      <c r="E168">
        <v>234</v>
      </c>
      <c r="F168">
        <v>224651</v>
      </c>
      <c r="G168">
        <v>17.41278694508371</v>
      </c>
      <c r="H168">
        <v>59378</v>
      </c>
      <c r="I168" t="s">
        <v>351</v>
      </c>
      <c r="J168">
        <v>2726</v>
      </c>
    </row>
    <row r="169" spans="1:10" x14ac:dyDescent="0.3">
      <c r="A169" s="71">
        <v>45509</v>
      </c>
      <c r="B169">
        <v>10</v>
      </c>
      <c r="C169" t="s">
        <v>13</v>
      </c>
      <c r="D169">
        <v>2884</v>
      </c>
      <c r="E169">
        <v>341</v>
      </c>
      <c r="F169">
        <v>315557</v>
      </c>
      <c r="G169">
        <v>46.999749649033298</v>
      </c>
      <c r="H169">
        <v>26087</v>
      </c>
      <c r="I169" t="s">
        <v>348</v>
      </c>
      <c r="J169">
        <v>2543</v>
      </c>
    </row>
    <row r="170" spans="1:10" x14ac:dyDescent="0.3">
      <c r="A170" s="71">
        <v>45726</v>
      </c>
      <c r="B170">
        <v>41</v>
      </c>
      <c r="C170" t="s">
        <v>18</v>
      </c>
      <c r="D170">
        <v>2827</v>
      </c>
      <c r="E170">
        <v>292</v>
      </c>
      <c r="F170">
        <v>997585</v>
      </c>
      <c r="G170">
        <v>2.4004972007397871</v>
      </c>
      <c r="H170">
        <v>17896</v>
      </c>
      <c r="I170" t="s">
        <v>348</v>
      </c>
      <c r="J170">
        <v>2535</v>
      </c>
    </row>
    <row r="171" spans="1:10" x14ac:dyDescent="0.3">
      <c r="A171" s="71">
        <v>45698</v>
      </c>
      <c r="B171">
        <v>37</v>
      </c>
      <c r="C171" t="s">
        <v>18</v>
      </c>
      <c r="D171">
        <v>2668</v>
      </c>
      <c r="E171">
        <v>143</v>
      </c>
      <c r="F171">
        <v>903387</v>
      </c>
      <c r="G171">
        <v>15.903372530266649</v>
      </c>
      <c r="H171">
        <v>33252</v>
      </c>
      <c r="I171" t="s">
        <v>350</v>
      </c>
      <c r="J171">
        <v>2525</v>
      </c>
    </row>
    <row r="172" spans="1:10" x14ac:dyDescent="0.3">
      <c r="A172" s="71">
        <v>45544</v>
      </c>
      <c r="B172">
        <v>15</v>
      </c>
      <c r="C172" t="s">
        <v>13</v>
      </c>
      <c r="D172">
        <v>2638</v>
      </c>
      <c r="E172">
        <v>143</v>
      </c>
      <c r="F172">
        <v>432424</v>
      </c>
      <c r="G172">
        <v>6.9547481175882924</v>
      </c>
      <c r="H172">
        <v>52092</v>
      </c>
      <c r="I172" t="s">
        <v>349</v>
      </c>
      <c r="J172">
        <v>2495</v>
      </c>
    </row>
    <row r="173" spans="1:10" x14ac:dyDescent="0.3">
      <c r="A173" s="71">
        <v>45572</v>
      </c>
      <c r="B173">
        <v>19</v>
      </c>
      <c r="C173" t="s">
        <v>18</v>
      </c>
      <c r="D173">
        <v>2549</v>
      </c>
      <c r="E173">
        <v>128</v>
      </c>
      <c r="F173">
        <v>492814</v>
      </c>
      <c r="G173">
        <v>12.734216154573531</v>
      </c>
      <c r="H173">
        <v>43937</v>
      </c>
      <c r="I173" t="s">
        <v>350</v>
      </c>
      <c r="J173">
        <v>2421</v>
      </c>
    </row>
    <row r="174" spans="1:10" x14ac:dyDescent="0.3">
      <c r="A174" s="71">
        <v>45551</v>
      </c>
      <c r="B174">
        <v>16</v>
      </c>
      <c r="C174" t="s">
        <v>18</v>
      </c>
      <c r="D174">
        <v>2382</v>
      </c>
      <c r="E174">
        <v>183</v>
      </c>
      <c r="F174">
        <v>447968</v>
      </c>
      <c r="G174">
        <v>4.7335970426459033</v>
      </c>
      <c r="H174">
        <v>47861</v>
      </c>
      <c r="I174" t="s">
        <v>349</v>
      </c>
      <c r="J174">
        <v>2199</v>
      </c>
    </row>
    <row r="175" spans="1:10" x14ac:dyDescent="0.3">
      <c r="A175" s="71">
        <v>45551</v>
      </c>
      <c r="B175">
        <v>16</v>
      </c>
      <c r="C175" t="s">
        <v>13</v>
      </c>
      <c r="D175">
        <v>2403</v>
      </c>
      <c r="E175">
        <v>319</v>
      </c>
      <c r="F175">
        <v>450052</v>
      </c>
      <c r="G175">
        <v>29.92120910472568</v>
      </c>
      <c r="H175">
        <v>23428</v>
      </c>
      <c r="I175" t="s">
        <v>350</v>
      </c>
      <c r="J175">
        <v>2084</v>
      </c>
    </row>
    <row r="176" spans="1:10" x14ac:dyDescent="0.3">
      <c r="A176" s="71">
        <v>45719</v>
      </c>
      <c r="B176">
        <v>40</v>
      </c>
      <c r="C176" t="s">
        <v>40</v>
      </c>
      <c r="D176">
        <v>2246</v>
      </c>
      <c r="E176">
        <v>165</v>
      </c>
      <c r="F176">
        <v>975533</v>
      </c>
      <c r="G176">
        <v>2.9062061457685191</v>
      </c>
      <c r="H176">
        <v>27015</v>
      </c>
      <c r="I176" t="s">
        <v>348</v>
      </c>
      <c r="J176">
        <v>2081</v>
      </c>
    </row>
    <row r="177" spans="1:10" x14ac:dyDescent="0.3">
      <c r="A177" s="71">
        <v>45782</v>
      </c>
      <c r="B177">
        <v>49</v>
      </c>
      <c r="C177" t="s">
        <v>18</v>
      </c>
      <c r="D177">
        <v>2256</v>
      </c>
      <c r="E177">
        <v>189</v>
      </c>
      <c r="F177">
        <v>1160052</v>
      </c>
      <c r="G177">
        <v>2.8935771844710412</v>
      </c>
      <c r="H177">
        <v>15432</v>
      </c>
      <c r="I177" t="s">
        <v>351</v>
      </c>
      <c r="J177">
        <v>2067</v>
      </c>
    </row>
    <row r="178" spans="1:10" x14ac:dyDescent="0.3">
      <c r="A178" s="71">
        <v>45481</v>
      </c>
      <c r="B178">
        <v>6</v>
      </c>
      <c r="C178" t="s">
        <v>18</v>
      </c>
      <c r="D178">
        <v>2048</v>
      </c>
      <c r="E178">
        <v>130</v>
      </c>
      <c r="F178">
        <v>233720</v>
      </c>
      <c r="G178">
        <v>39.284614068115687</v>
      </c>
      <c r="H178">
        <v>11828</v>
      </c>
      <c r="I178" t="s">
        <v>352</v>
      </c>
      <c r="J178">
        <v>1918</v>
      </c>
    </row>
    <row r="179" spans="1:10" x14ac:dyDescent="0.3">
      <c r="A179" s="71">
        <v>45537</v>
      </c>
      <c r="B179">
        <v>14</v>
      </c>
      <c r="C179" t="s">
        <v>22</v>
      </c>
      <c r="D179">
        <v>2179</v>
      </c>
      <c r="E179">
        <v>303</v>
      </c>
      <c r="F179">
        <v>398548</v>
      </c>
      <c r="G179">
        <v>33.909842729106657</v>
      </c>
      <c r="H179">
        <v>54848</v>
      </c>
      <c r="I179" t="s">
        <v>348</v>
      </c>
      <c r="J179">
        <v>1876</v>
      </c>
    </row>
    <row r="180" spans="1:10" x14ac:dyDescent="0.3">
      <c r="A180" s="71">
        <v>45488</v>
      </c>
      <c r="B180">
        <v>7</v>
      </c>
      <c r="C180" t="s">
        <v>13</v>
      </c>
      <c r="D180">
        <v>1963</v>
      </c>
      <c r="E180">
        <v>137</v>
      </c>
      <c r="F180">
        <v>255684</v>
      </c>
      <c r="G180">
        <v>11.2083665774941</v>
      </c>
      <c r="H180">
        <v>24537</v>
      </c>
      <c r="I180" t="s">
        <v>351</v>
      </c>
      <c r="J180">
        <v>1826</v>
      </c>
    </row>
    <row r="181" spans="1:10" x14ac:dyDescent="0.3">
      <c r="A181" s="71">
        <v>45502</v>
      </c>
      <c r="B181">
        <v>9</v>
      </c>
      <c r="C181" t="s">
        <v>18</v>
      </c>
      <c r="D181">
        <v>1845</v>
      </c>
      <c r="E181">
        <v>104</v>
      </c>
      <c r="F181">
        <v>291024</v>
      </c>
      <c r="G181">
        <v>28.158158777282971</v>
      </c>
      <c r="H181">
        <v>37766</v>
      </c>
      <c r="I181" t="s">
        <v>351</v>
      </c>
      <c r="J181">
        <v>1741</v>
      </c>
    </row>
    <row r="182" spans="1:10" x14ac:dyDescent="0.3">
      <c r="A182" s="71">
        <v>45747</v>
      </c>
      <c r="B182">
        <v>44</v>
      </c>
      <c r="C182" t="s">
        <v>18</v>
      </c>
      <c r="D182">
        <v>1780</v>
      </c>
      <c r="E182">
        <v>120</v>
      </c>
      <c r="F182">
        <v>1066648</v>
      </c>
      <c r="G182">
        <v>13.86474263299608</v>
      </c>
      <c r="H182">
        <v>57299</v>
      </c>
      <c r="I182" t="s">
        <v>350</v>
      </c>
      <c r="J182">
        <v>1660</v>
      </c>
    </row>
    <row r="183" spans="1:10" x14ac:dyDescent="0.3">
      <c r="A183" s="71">
        <v>45747</v>
      </c>
      <c r="B183">
        <v>44</v>
      </c>
      <c r="C183" t="s">
        <v>13</v>
      </c>
      <c r="D183">
        <v>1769</v>
      </c>
      <c r="E183">
        <v>202</v>
      </c>
      <c r="F183">
        <v>1064988</v>
      </c>
      <c r="G183">
        <v>6.5457075572682513</v>
      </c>
      <c r="H183">
        <v>25892</v>
      </c>
      <c r="I183" t="s">
        <v>348</v>
      </c>
      <c r="J183">
        <v>1567</v>
      </c>
    </row>
    <row r="184" spans="1:10" x14ac:dyDescent="0.3">
      <c r="A184" s="71">
        <v>45565</v>
      </c>
      <c r="B184">
        <v>18</v>
      </c>
      <c r="C184" t="s">
        <v>22</v>
      </c>
      <c r="D184">
        <v>1767</v>
      </c>
      <c r="E184">
        <v>224</v>
      </c>
      <c r="F184">
        <v>487561</v>
      </c>
      <c r="G184">
        <v>13.208603641390511</v>
      </c>
      <c r="H184">
        <v>16256</v>
      </c>
      <c r="I184" t="s">
        <v>351</v>
      </c>
      <c r="J184">
        <v>1543</v>
      </c>
    </row>
    <row r="185" spans="1:10" x14ac:dyDescent="0.3">
      <c r="A185" s="71">
        <v>45663</v>
      </c>
      <c r="B185">
        <v>32</v>
      </c>
      <c r="C185" t="s">
        <v>40</v>
      </c>
      <c r="D185">
        <v>1775</v>
      </c>
      <c r="E185">
        <v>241</v>
      </c>
      <c r="F185">
        <v>799671</v>
      </c>
      <c r="G185">
        <v>8.1379717408784362</v>
      </c>
      <c r="H185">
        <v>39309</v>
      </c>
      <c r="I185" t="s">
        <v>352</v>
      </c>
      <c r="J185">
        <v>1534</v>
      </c>
    </row>
    <row r="186" spans="1:10" x14ac:dyDescent="0.3">
      <c r="A186" s="71">
        <v>45530</v>
      </c>
      <c r="B186">
        <v>13</v>
      </c>
      <c r="C186" t="s">
        <v>18</v>
      </c>
      <c r="D186">
        <v>1689</v>
      </c>
      <c r="E186">
        <v>176</v>
      </c>
      <c r="F186">
        <v>371865</v>
      </c>
      <c r="G186">
        <v>38.012181840183942</v>
      </c>
      <c r="H186">
        <v>26029</v>
      </c>
      <c r="I186" t="s">
        <v>348</v>
      </c>
      <c r="J186">
        <v>1513</v>
      </c>
    </row>
    <row r="187" spans="1:10" x14ac:dyDescent="0.3">
      <c r="A187" s="71">
        <v>45775</v>
      </c>
      <c r="B187">
        <v>48</v>
      </c>
      <c r="C187" t="s">
        <v>18</v>
      </c>
      <c r="D187">
        <v>1685</v>
      </c>
      <c r="E187">
        <v>173</v>
      </c>
      <c r="F187">
        <v>1135945</v>
      </c>
      <c r="G187">
        <v>8.7776256772995165</v>
      </c>
      <c r="H187">
        <v>49110</v>
      </c>
      <c r="I187" t="s">
        <v>348</v>
      </c>
      <c r="J187">
        <v>1512</v>
      </c>
    </row>
    <row r="188" spans="1:10" x14ac:dyDescent="0.3">
      <c r="A188" s="71">
        <v>45600</v>
      </c>
      <c r="B188">
        <v>23</v>
      </c>
      <c r="C188" t="s">
        <v>40</v>
      </c>
      <c r="D188">
        <v>1671</v>
      </c>
      <c r="E188">
        <v>202</v>
      </c>
      <c r="F188">
        <v>606171</v>
      </c>
      <c r="G188">
        <v>15.150015424690389</v>
      </c>
      <c r="H188">
        <v>40254</v>
      </c>
      <c r="I188" t="s">
        <v>350</v>
      </c>
      <c r="J188">
        <v>1469</v>
      </c>
    </row>
    <row r="189" spans="1:10" x14ac:dyDescent="0.3">
      <c r="A189" s="71">
        <v>45754</v>
      </c>
      <c r="B189">
        <v>45</v>
      </c>
      <c r="C189" t="s">
        <v>22</v>
      </c>
      <c r="D189">
        <v>1521</v>
      </c>
      <c r="E189">
        <v>96</v>
      </c>
      <c r="F189">
        <v>1087368</v>
      </c>
      <c r="G189">
        <v>12.709772588488899</v>
      </c>
      <c r="H189">
        <v>42262</v>
      </c>
      <c r="I189" t="s">
        <v>351</v>
      </c>
      <c r="J189">
        <v>1425</v>
      </c>
    </row>
    <row r="190" spans="1:10" x14ac:dyDescent="0.3">
      <c r="A190" s="71">
        <v>45488</v>
      </c>
      <c r="B190">
        <v>7</v>
      </c>
      <c r="C190" t="s">
        <v>22</v>
      </c>
      <c r="D190">
        <v>1536</v>
      </c>
      <c r="E190">
        <v>155</v>
      </c>
      <c r="F190">
        <v>257065</v>
      </c>
      <c r="G190">
        <v>12.15762550327738</v>
      </c>
      <c r="H190">
        <v>36661</v>
      </c>
      <c r="I190" t="s">
        <v>351</v>
      </c>
      <c r="J190">
        <v>1381</v>
      </c>
    </row>
    <row r="191" spans="1:10" x14ac:dyDescent="0.3">
      <c r="A191" s="71">
        <v>45628</v>
      </c>
      <c r="B191">
        <v>27</v>
      </c>
      <c r="C191" t="s">
        <v>22</v>
      </c>
      <c r="D191">
        <v>1593</v>
      </c>
      <c r="E191">
        <v>224</v>
      </c>
      <c r="F191">
        <v>677154</v>
      </c>
      <c r="G191">
        <v>4.1495730660972248</v>
      </c>
      <c r="H191">
        <v>52845</v>
      </c>
      <c r="I191" t="s">
        <v>351</v>
      </c>
      <c r="J191">
        <v>1369</v>
      </c>
    </row>
    <row r="192" spans="1:10" x14ac:dyDescent="0.3">
      <c r="A192" s="71">
        <v>45649</v>
      </c>
      <c r="B192">
        <v>30</v>
      </c>
      <c r="C192" t="s">
        <v>18</v>
      </c>
      <c r="D192">
        <v>1571</v>
      </c>
      <c r="E192">
        <v>204</v>
      </c>
      <c r="F192">
        <v>730928</v>
      </c>
      <c r="G192">
        <v>19.449384891535139</v>
      </c>
      <c r="H192">
        <v>39252</v>
      </c>
      <c r="I192" t="s">
        <v>350</v>
      </c>
      <c r="J192">
        <v>1367</v>
      </c>
    </row>
    <row r="193" spans="1:10" x14ac:dyDescent="0.3">
      <c r="A193" s="71">
        <v>45558</v>
      </c>
      <c r="B193">
        <v>17</v>
      </c>
      <c r="C193" t="s">
        <v>22</v>
      </c>
      <c r="D193">
        <v>1419</v>
      </c>
      <c r="E193">
        <v>110</v>
      </c>
      <c r="F193">
        <v>455286</v>
      </c>
      <c r="G193">
        <v>31.554451487636339</v>
      </c>
      <c r="H193">
        <v>58831</v>
      </c>
      <c r="I193" t="s">
        <v>352</v>
      </c>
      <c r="J193">
        <v>1309</v>
      </c>
    </row>
    <row r="194" spans="1:10" x14ac:dyDescent="0.3">
      <c r="A194" s="71">
        <v>45705</v>
      </c>
      <c r="B194">
        <v>38</v>
      </c>
      <c r="C194" t="s">
        <v>40</v>
      </c>
      <c r="D194">
        <v>1365</v>
      </c>
      <c r="E194">
        <v>75</v>
      </c>
      <c r="F194">
        <v>912374</v>
      </c>
      <c r="G194">
        <v>9.2688963078737441</v>
      </c>
      <c r="H194">
        <v>19067</v>
      </c>
      <c r="I194" t="s">
        <v>350</v>
      </c>
      <c r="J194">
        <v>1290</v>
      </c>
    </row>
    <row r="195" spans="1:10" x14ac:dyDescent="0.3">
      <c r="A195" s="71">
        <v>45642</v>
      </c>
      <c r="B195">
        <v>29</v>
      </c>
      <c r="C195" t="s">
        <v>22</v>
      </c>
      <c r="D195">
        <v>1392</v>
      </c>
      <c r="E195">
        <v>182</v>
      </c>
      <c r="F195">
        <v>714759</v>
      </c>
      <c r="G195">
        <v>5.9603306848881932</v>
      </c>
      <c r="H195">
        <v>35122</v>
      </c>
      <c r="I195" t="s">
        <v>349</v>
      </c>
      <c r="J195">
        <v>1210</v>
      </c>
    </row>
    <row r="196" spans="1:10" x14ac:dyDescent="0.3">
      <c r="A196" s="71">
        <v>45789</v>
      </c>
      <c r="B196">
        <v>50</v>
      </c>
      <c r="C196" t="s">
        <v>18</v>
      </c>
      <c r="D196">
        <v>1301</v>
      </c>
      <c r="E196">
        <v>180</v>
      </c>
      <c r="F196">
        <v>1178962</v>
      </c>
      <c r="G196">
        <v>5.2275645864752214</v>
      </c>
      <c r="H196">
        <v>44521</v>
      </c>
      <c r="I196" t="s">
        <v>352</v>
      </c>
      <c r="J196">
        <v>1121</v>
      </c>
    </row>
    <row r="197" spans="1:10" x14ac:dyDescent="0.3">
      <c r="A197" s="71">
        <v>45698</v>
      </c>
      <c r="B197">
        <v>37</v>
      </c>
      <c r="C197" t="s">
        <v>40</v>
      </c>
      <c r="D197">
        <v>1147</v>
      </c>
      <c r="E197">
        <v>127</v>
      </c>
      <c r="F197">
        <v>904407</v>
      </c>
      <c r="G197">
        <v>1.3997016829812241</v>
      </c>
      <c r="H197">
        <v>25261</v>
      </c>
      <c r="I197" t="s">
        <v>351</v>
      </c>
      <c r="J197">
        <v>1020</v>
      </c>
    </row>
    <row r="198" spans="1:10" x14ac:dyDescent="0.3">
      <c r="A198" s="71">
        <v>45607</v>
      </c>
      <c r="B198">
        <v>24</v>
      </c>
      <c r="C198" t="s">
        <v>40</v>
      </c>
      <c r="D198">
        <v>1163</v>
      </c>
      <c r="E198">
        <v>146</v>
      </c>
      <c r="F198">
        <v>607188</v>
      </c>
      <c r="G198">
        <v>21.77776899411715</v>
      </c>
      <c r="H198">
        <v>28509</v>
      </c>
      <c r="I198" t="s">
        <v>350</v>
      </c>
      <c r="J198">
        <v>1017</v>
      </c>
    </row>
    <row r="199" spans="1:10" x14ac:dyDescent="0.3">
      <c r="A199" s="71">
        <v>45670</v>
      </c>
      <c r="B199">
        <v>33</v>
      </c>
      <c r="C199" t="s">
        <v>13</v>
      </c>
      <c r="D199">
        <v>1078</v>
      </c>
      <c r="E199">
        <v>77</v>
      </c>
      <c r="F199">
        <v>818408</v>
      </c>
      <c r="G199">
        <v>18.236747441373989</v>
      </c>
      <c r="H199">
        <v>12839</v>
      </c>
      <c r="I199" t="s">
        <v>348</v>
      </c>
      <c r="J199">
        <v>1001</v>
      </c>
    </row>
    <row r="200" spans="1:10" x14ac:dyDescent="0.3">
      <c r="A200" s="71">
        <v>45635</v>
      </c>
      <c r="B200">
        <v>28</v>
      </c>
      <c r="C200" t="s">
        <v>18</v>
      </c>
      <c r="D200">
        <v>1016</v>
      </c>
      <c r="E200">
        <v>67</v>
      </c>
      <c r="F200">
        <v>709957</v>
      </c>
      <c r="G200">
        <v>20.774215903216671</v>
      </c>
      <c r="H200">
        <v>33284</v>
      </c>
      <c r="I200" t="s">
        <v>348</v>
      </c>
      <c r="J200">
        <v>949</v>
      </c>
    </row>
    <row r="201" spans="1:10" x14ac:dyDescent="0.3">
      <c r="A201" s="71">
        <v>45782</v>
      </c>
      <c r="B201">
        <v>49</v>
      </c>
      <c r="C201" t="s">
        <v>18</v>
      </c>
      <c r="D201">
        <v>1038</v>
      </c>
      <c r="E201">
        <v>145</v>
      </c>
      <c r="F201">
        <v>1152775</v>
      </c>
      <c r="G201">
        <v>11.093752033137431</v>
      </c>
      <c r="H201">
        <v>55951</v>
      </c>
      <c r="I201" t="s">
        <v>351</v>
      </c>
      <c r="J201">
        <v>893</v>
      </c>
    </row>
  </sheetData>
  <sortState xmlns:xlrd2="http://schemas.microsoft.com/office/spreadsheetml/2017/richdata2" ref="A2:J201">
    <sortCondition descending="1" ref="J2:J201"/>
  </sortState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8C61E-675C-45AB-800D-084FB732EA4E}">
  <dimension ref="A1:M201"/>
  <sheetViews>
    <sheetView topLeftCell="E2" zoomScale="62" zoomScaleNormal="72" workbookViewId="0">
      <selection activeCell="L31" sqref="L31"/>
    </sheetView>
  </sheetViews>
  <sheetFormatPr defaultRowHeight="14.4" x14ac:dyDescent="0.3"/>
  <cols>
    <col min="1" max="1" width="15.77734375" bestFit="1" customWidth="1"/>
    <col min="2" max="2" width="12.5546875" bestFit="1" customWidth="1"/>
    <col min="3" max="3" width="9.33203125" bestFit="1" customWidth="1"/>
    <col min="4" max="4" width="13.77734375" bestFit="1" customWidth="1"/>
    <col min="5" max="5" width="9.33203125" bestFit="1" customWidth="1"/>
    <col min="6" max="6" width="14.33203125" bestFit="1" customWidth="1"/>
    <col min="7" max="7" width="16.44140625" bestFit="1" customWidth="1"/>
    <col min="8" max="8" width="24.88671875" bestFit="1" customWidth="1"/>
    <col min="9" max="9" width="10.88671875" bestFit="1" customWidth="1"/>
    <col min="10" max="10" width="9.109375" bestFit="1" customWidth="1"/>
    <col min="13" max="13" width="106.77734375" bestFit="1" customWidth="1"/>
    <col min="14" max="210" width="25.44140625" bestFit="1" customWidth="1"/>
    <col min="211" max="211" width="16.6640625" bestFit="1" customWidth="1"/>
    <col min="212" max="212" width="10.77734375" bestFit="1" customWidth="1"/>
  </cols>
  <sheetData>
    <row r="1" spans="1:13" x14ac:dyDescent="0.3">
      <c r="A1" t="s">
        <v>337</v>
      </c>
      <c r="B1" t="s">
        <v>443</v>
      </c>
      <c r="C1" t="s">
        <v>1</v>
      </c>
      <c r="D1" t="s">
        <v>338</v>
      </c>
      <c r="E1" t="s">
        <v>339</v>
      </c>
      <c r="F1" t="s">
        <v>340</v>
      </c>
      <c r="G1" t="s">
        <v>341</v>
      </c>
      <c r="H1" t="s">
        <v>11</v>
      </c>
      <c r="I1" t="s">
        <v>414</v>
      </c>
      <c r="J1" t="s">
        <v>342</v>
      </c>
    </row>
    <row r="2" spans="1:13" x14ac:dyDescent="0.3">
      <c r="A2">
        <v>45446</v>
      </c>
      <c r="B2">
        <v>1</v>
      </c>
      <c r="C2" t="s">
        <v>22</v>
      </c>
      <c r="D2">
        <v>4138</v>
      </c>
      <c r="E2">
        <v>361</v>
      </c>
      <c r="F2">
        <v>103777</v>
      </c>
      <c r="G2">
        <v>56.637790647253247</v>
      </c>
      <c r="H2" t="s">
        <v>350</v>
      </c>
      <c r="I2">
        <v>3777</v>
      </c>
      <c r="J2">
        <v>23944</v>
      </c>
    </row>
    <row r="3" spans="1:13" x14ac:dyDescent="0.3">
      <c r="A3">
        <v>45446</v>
      </c>
      <c r="B3">
        <v>1</v>
      </c>
      <c r="C3" t="s">
        <v>40</v>
      </c>
      <c r="D3">
        <v>8693</v>
      </c>
      <c r="E3">
        <v>1261</v>
      </c>
      <c r="F3">
        <v>111209</v>
      </c>
      <c r="G3">
        <v>69.475492091467416</v>
      </c>
      <c r="H3" t="s">
        <v>350</v>
      </c>
      <c r="I3">
        <v>7432</v>
      </c>
      <c r="J3">
        <v>29873</v>
      </c>
    </row>
    <row r="4" spans="1:13" x14ac:dyDescent="0.3">
      <c r="A4">
        <v>45446</v>
      </c>
      <c r="B4">
        <v>1</v>
      </c>
      <c r="C4" t="s">
        <v>13</v>
      </c>
      <c r="D4">
        <v>9264</v>
      </c>
      <c r="E4">
        <v>1141</v>
      </c>
      <c r="F4">
        <v>119332</v>
      </c>
      <c r="G4">
        <v>92.312204605638044</v>
      </c>
      <c r="H4" t="s">
        <v>351</v>
      </c>
      <c r="I4">
        <v>8123</v>
      </c>
      <c r="J4">
        <v>50372</v>
      </c>
    </row>
    <row r="5" spans="1:13" x14ac:dyDescent="0.3">
      <c r="A5">
        <v>45446</v>
      </c>
      <c r="B5">
        <v>1</v>
      </c>
      <c r="C5" t="s">
        <v>13</v>
      </c>
      <c r="D5">
        <v>8842</v>
      </c>
      <c r="E5">
        <v>971</v>
      </c>
      <c r="F5">
        <v>127203</v>
      </c>
      <c r="G5">
        <v>16.351815601833291</v>
      </c>
      <c r="H5" t="s">
        <v>351</v>
      </c>
      <c r="I5">
        <v>7871</v>
      </c>
      <c r="J5">
        <v>33928</v>
      </c>
    </row>
    <row r="6" spans="1:13" x14ac:dyDescent="0.3">
      <c r="A6">
        <v>45453</v>
      </c>
      <c r="B6">
        <v>2</v>
      </c>
      <c r="C6" t="s">
        <v>22</v>
      </c>
      <c r="D6">
        <v>7721</v>
      </c>
      <c r="E6">
        <v>506</v>
      </c>
      <c r="F6">
        <v>134418</v>
      </c>
      <c r="G6">
        <v>35.577824398518047</v>
      </c>
      <c r="H6" t="s">
        <v>350</v>
      </c>
      <c r="I6">
        <v>7215</v>
      </c>
      <c r="J6">
        <v>25379</v>
      </c>
    </row>
    <row r="7" spans="1:13" x14ac:dyDescent="0.3">
      <c r="A7">
        <v>45453</v>
      </c>
      <c r="B7">
        <v>2</v>
      </c>
      <c r="C7" t="s">
        <v>13</v>
      </c>
      <c r="D7">
        <v>8002</v>
      </c>
      <c r="E7">
        <v>524</v>
      </c>
      <c r="F7">
        <v>141896</v>
      </c>
      <c r="G7">
        <v>52.064892597395271</v>
      </c>
      <c r="H7" t="s">
        <v>350</v>
      </c>
      <c r="I7">
        <v>7478</v>
      </c>
      <c r="J7">
        <v>46751</v>
      </c>
    </row>
    <row r="8" spans="1:13" x14ac:dyDescent="0.3">
      <c r="A8">
        <v>45453</v>
      </c>
      <c r="B8">
        <v>2</v>
      </c>
      <c r="C8" t="s">
        <v>40</v>
      </c>
      <c r="D8">
        <v>5225</v>
      </c>
      <c r="E8">
        <v>291</v>
      </c>
      <c r="F8">
        <v>146830</v>
      </c>
      <c r="G8">
        <v>19.551862698358651</v>
      </c>
      <c r="H8" t="s">
        <v>348</v>
      </c>
      <c r="I8">
        <v>4934</v>
      </c>
      <c r="J8">
        <v>44546</v>
      </c>
    </row>
    <row r="9" spans="1:13" x14ac:dyDescent="0.3">
      <c r="A9">
        <v>45453</v>
      </c>
      <c r="B9">
        <v>2</v>
      </c>
      <c r="C9" t="s">
        <v>40</v>
      </c>
      <c r="D9">
        <v>3978</v>
      </c>
      <c r="E9">
        <v>543</v>
      </c>
      <c r="F9">
        <v>150265</v>
      </c>
      <c r="G9">
        <v>49.159817655475329</v>
      </c>
      <c r="H9" t="s">
        <v>350</v>
      </c>
      <c r="I9">
        <v>3435</v>
      </c>
      <c r="J9">
        <v>34286</v>
      </c>
      <c r="M9" s="34" t="s">
        <v>449</v>
      </c>
    </row>
    <row r="10" spans="1:13" x14ac:dyDescent="0.3">
      <c r="A10">
        <v>45460</v>
      </c>
      <c r="B10">
        <v>3</v>
      </c>
      <c r="C10" t="s">
        <v>22</v>
      </c>
      <c r="D10">
        <v>8373</v>
      </c>
      <c r="E10">
        <v>921</v>
      </c>
      <c r="F10">
        <v>157717</v>
      </c>
      <c r="G10">
        <v>12.2263294381709</v>
      </c>
      <c r="H10" t="s">
        <v>350</v>
      </c>
      <c r="I10">
        <v>7452</v>
      </c>
      <c r="J10">
        <v>15110</v>
      </c>
    </row>
    <row r="11" spans="1:13" x14ac:dyDescent="0.3">
      <c r="A11">
        <v>45460</v>
      </c>
      <c r="B11">
        <v>3</v>
      </c>
      <c r="C11" t="s">
        <v>40</v>
      </c>
      <c r="D11">
        <v>6907</v>
      </c>
      <c r="E11">
        <v>834</v>
      </c>
      <c r="F11">
        <v>163790</v>
      </c>
      <c r="G11">
        <v>54.158984064961238</v>
      </c>
      <c r="H11" t="s">
        <v>348</v>
      </c>
      <c r="I11">
        <v>6073</v>
      </c>
      <c r="J11">
        <v>22087</v>
      </c>
    </row>
    <row r="12" spans="1:13" x14ac:dyDescent="0.3">
      <c r="A12">
        <v>45460</v>
      </c>
      <c r="B12">
        <v>3</v>
      </c>
      <c r="C12" t="s">
        <v>18</v>
      </c>
      <c r="D12">
        <v>7097</v>
      </c>
      <c r="E12">
        <v>369</v>
      </c>
      <c r="F12">
        <v>170518</v>
      </c>
      <c r="G12">
        <v>9.2506362964613711</v>
      </c>
      <c r="H12" t="s">
        <v>352</v>
      </c>
      <c r="I12">
        <v>6728</v>
      </c>
      <c r="J12">
        <v>33762</v>
      </c>
    </row>
    <row r="13" spans="1:13" x14ac:dyDescent="0.3">
      <c r="A13">
        <v>45460</v>
      </c>
      <c r="B13">
        <v>3</v>
      </c>
      <c r="C13" t="s">
        <v>22</v>
      </c>
      <c r="D13">
        <v>6656</v>
      </c>
      <c r="E13">
        <v>978</v>
      </c>
      <c r="F13">
        <v>176196</v>
      </c>
      <c r="G13">
        <v>60.425889350496043</v>
      </c>
      <c r="H13" t="s">
        <v>352</v>
      </c>
      <c r="I13">
        <v>5678</v>
      </c>
      <c r="J13">
        <v>27081</v>
      </c>
    </row>
    <row r="14" spans="1:13" x14ac:dyDescent="0.3">
      <c r="A14">
        <v>45467</v>
      </c>
      <c r="B14">
        <v>4</v>
      </c>
      <c r="C14" t="s">
        <v>40</v>
      </c>
      <c r="D14">
        <v>9984</v>
      </c>
      <c r="E14">
        <v>1330</v>
      </c>
      <c r="F14">
        <v>184850</v>
      </c>
      <c r="G14">
        <v>57.524479307546663</v>
      </c>
      <c r="H14" t="s">
        <v>352</v>
      </c>
      <c r="I14">
        <v>8654</v>
      </c>
      <c r="J14">
        <v>44947</v>
      </c>
    </row>
    <row r="15" spans="1:13" x14ac:dyDescent="0.3">
      <c r="A15">
        <v>45467</v>
      </c>
      <c r="B15">
        <v>4</v>
      </c>
      <c r="C15" t="s">
        <v>22</v>
      </c>
      <c r="D15">
        <v>5259</v>
      </c>
      <c r="E15">
        <v>374</v>
      </c>
      <c r="F15">
        <v>189735</v>
      </c>
      <c r="G15">
        <v>14.827522597306769</v>
      </c>
      <c r="H15" t="s">
        <v>352</v>
      </c>
      <c r="I15">
        <v>4885</v>
      </c>
      <c r="J15">
        <v>19596</v>
      </c>
    </row>
    <row r="16" spans="1:13" x14ac:dyDescent="0.3">
      <c r="A16">
        <v>45467</v>
      </c>
      <c r="B16">
        <v>4</v>
      </c>
      <c r="C16" t="s">
        <v>13</v>
      </c>
      <c r="D16">
        <v>9286</v>
      </c>
      <c r="E16">
        <v>633</v>
      </c>
      <c r="F16">
        <v>198388</v>
      </c>
      <c r="G16">
        <v>5.4343004617214756</v>
      </c>
      <c r="H16" t="s">
        <v>352</v>
      </c>
      <c r="I16">
        <v>8653</v>
      </c>
      <c r="J16">
        <v>48019</v>
      </c>
    </row>
    <row r="17" spans="1:10" x14ac:dyDescent="0.3">
      <c r="A17">
        <v>45467</v>
      </c>
      <c r="B17">
        <v>4</v>
      </c>
      <c r="C17" t="s">
        <v>40</v>
      </c>
      <c r="D17">
        <v>6901</v>
      </c>
      <c r="E17">
        <v>471</v>
      </c>
      <c r="F17">
        <v>204818</v>
      </c>
      <c r="G17">
        <v>60.827661631301943</v>
      </c>
      <c r="H17" t="s">
        <v>349</v>
      </c>
      <c r="I17">
        <v>6430</v>
      </c>
      <c r="J17">
        <v>52003</v>
      </c>
    </row>
    <row r="18" spans="1:10" x14ac:dyDescent="0.3">
      <c r="A18">
        <v>45474</v>
      </c>
      <c r="B18">
        <v>5</v>
      </c>
      <c r="C18" t="s">
        <v>18</v>
      </c>
      <c r="D18">
        <v>5917</v>
      </c>
      <c r="E18">
        <v>475</v>
      </c>
      <c r="F18">
        <v>210260</v>
      </c>
      <c r="G18">
        <v>17.894035955483702</v>
      </c>
      <c r="H18" t="s">
        <v>349</v>
      </c>
      <c r="I18">
        <v>5442</v>
      </c>
      <c r="J18">
        <v>28313</v>
      </c>
    </row>
    <row r="19" spans="1:10" x14ac:dyDescent="0.3">
      <c r="A19">
        <v>45474</v>
      </c>
      <c r="B19">
        <v>5</v>
      </c>
      <c r="C19" t="s">
        <v>40</v>
      </c>
      <c r="D19">
        <v>9429</v>
      </c>
      <c r="E19">
        <v>966</v>
      </c>
      <c r="F19">
        <v>218723</v>
      </c>
      <c r="G19">
        <v>7.6914636320825887</v>
      </c>
      <c r="H19" t="s">
        <v>348</v>
      </c>
      <c r="I19">
        <v>8463</v>
      </c>
      <c r="J19">
        <v>57639</v>
      </c>
    </row>
    <row r="20" spans="1:10" x14ac:dyDescent="0.3">
      <c r="A20">
        <v>45474</v>
      </c>
      <c r="B20">
        <v>5</v>
      </c>
      <c r="C20" t="s">
        <v>22</v>
      </c>
      <c r="D20">
        <v>3530</v>
      </c>
      <c r="E20">
        <v>328</v>
      </c>
      <c r="F20">
        <v>221925</v>
      </c>
      <c r="G20">
        <v>12.8372197814577</v>
      </c>
      <c r="H20" t="s">
        <v>348</v>
      </c>
      <c r="I20">
        <v>3202</v>
      </c>
      <c r="J20">
        <v>11013</v>
      </c>
    </row>
    <row r="21" spans="1:10" x14ac:dyDescent="0.3">
      <c r="A21">
        <v>45474</v>
      </c>
      <c r="B21">
        <v>5</v>
      </c>
      <c r="C21" t="s">
        <v>22</v>
      </c>
      <c r="D21">
        <v>2960</v>
      </c>
      <c r="E21">
        <v>234</v>
      </c>
      <c r="F21">
        <v>224651</v>
      </c>
      <c r="G21">
        <v>17.41278694508371</v>
      </c>
      <c r="H21" t="s">
        <v>351</v>
      </c>
      <c r="I21">
        <v>2726</v>
      </c>
      <c r="J21">
        <v>59378</v>
      </c>
    </row>
    <row r="22" spans="1:10" x14ac:dyDescent="0.3">
      <c r="A22">
        <v>45481</v>
      </c>
      <c r="B22">
        <v>6</v>
      </c>
      <c r="C22" t="s">
        <v>40</v>
      </c>
      <c r="D22">
        <v>8045</v>
      </c>
      <c r="E22">
        <v>894</v>
      </c>
      <c r="F22">
        <v>231802</v>
      </c>
      <c r="G22">
        <v>47.634187798207087</v>
      </c>
      <c r="H22" t="s">
        <v>351</v>
      </c>
      <c r="I22">
        <v>7151</v>
      </c>
      <c r="J22">
        <v>33705</v>
      </c>
    </row>
    <row r="23" spans="1:10" x14ac:dyDescent="0.3">
      <c r="A23">
        <v>45481</v>
      </c>
      <c r="B23">
        <v>6</v>
      </c>
      <c r="C23" t="s">
        <v>18</v>
      </c>
      <c r="D23">
        <v>2048</v>
      </c>
      <c r="E23">
        <v>130</v>
      </c>
      <c r="F23">
        <v>233720</v>
      </c>
      <c r="G23">
        <v>39.284614068115687</v>
      </c>
      <c r="H23" t="s">
        <v>352</v>
      </c>
      <c r="I23">
        <v>1918</v>
      </c>
      <c r="J23">
        <v>11828</v>
      </c>
    </row>
    <row r="24" spans="1:10" x14ac:dyDescent="0.3">
      <c r="A24">
        <v>45481</v>
      </c>
      <c r="B24">
        <v>6</v>
      </c>
      <c r="C24" t="s">
        <v>18</v>
      </c>
      <c r="D24">
        <v>6772</v>
      </c>
      <c r="E24">
        <v>536</v>
      </c>
      <c r="F24">
        <v>239956</v>
      </c>
      <c r="G24">
        <v>9.8205504342462788</v>
      </c>
      <c r="H24" t="s">
        <v>352</v>
      </c>
      <c r="I24">
        <v>6236</v>
      </c>
      <c r="J24">
        <v>17909</v>
      </c>
    </row>
    <row r="25" spans="1:10" x14ac:dyDescent="0.3">
      <c r="A25">
        <v>45481</v>
      </c>
      <c r="B25">
        <v>6</v>
      </c>
      <c r="C25" t="s">
        <v>18</v>
      </c>
      <c r="D25">
        <v>3529</v>
      </c>
      <c r="E25">
        <v>305</v>
      </c>
      <c r="F25">
        <v>243180</v>
      </c>
      <c r="G25">
        <v>41.606628834608109</v>
      </c>
      <c r="H25" t="s">
        <v>352</v>
      </c>
      <c r="I25">
        <v>3224</v>
      </c>
      <c r="J25">
        <v>48356</v>
      </c>
    </row>
    <row r="26" spans="1:10" x14ac:dyDescent="0.3">
      <c r="A26">
        <v>45488</v>
      </c>
      <c r="B26">
        <v>7</v>
      </c>
      <c r="C26" t="s">
        <v>22</v>
      </c>
      <c r="D26">
        <v>3964</v>
      </c>
      <c r="E26">
        <v>378</v>
      </c>
      <c r="F26">
        <v>246766</v>
      </c>
      <c r="G26">
        <v>13.6355899921383</v>
      </c>
      <c r="H26" t="s">
        <v>352</v>
      </c>
      <c r="I26">
        <v>3586</v>
      </c>
      <c r="J26">
        <v>23109</v>
      </c>
    </row>
    <row r="27" spans="1:10" x14ac:dyDescent="0.3">
      <c r="A27">
        <v>45488</v>
      </c>
      <c r="B27">
        <v>7</v>
      </c>
      <c r="C27" t="s">
        <v>40</v>
      </c>
      <c r="D27">
        <v>8137</v>
      </c>
      <c r="E27">
        <v>1045</v>
      </c>
      <c r="F27">
        <v>253858</v>
      </c>
      <c r="G27">
        <v>20.47246886054408</v>
      </c>
      <c r="H27" t="s">
        <v>349</v>
      </c>
      <c r="I27">
        <v>7092</v>
      </c>
      <c r="J27">
        <v>12023</v>
      </c>
    </row>
    <row r="28" spans="1:10" x14ac:dyDescent="0.3">
      <c r="A28">
        <v>45488</v>
      </c>
      <c r="B28">
        <v>7</v>
      </c>
      <c r="C28" t="s">
        <v>13</v>
      </c>
      <c r="D28">
        <v>1963</v>
      </c>
      <c r="E28">
        <v>137</v>
      </c>
      <c r="F28">
        <v>255684</v>
      </c>
      <c r="G28">
        <v>11.2083665774941</v>
      </c>
      <c r="H28" t="s">
        <v>351</v>
      </c>
      <c r="I28">
        <v>1826</v>
      </c>
      <c r="J28">
        <v>24537</v>
      </c>
    </row>
    <row r="29" spans="1:10" x14ac:dyDescent="0.3">
      <c r="A29">
        <v>45488</v>
      </c>
      <c r="B29">
        <v>7</v>
      </c>
      <c r="C29" t="s">
        <v>22</v>
      </c>
      <c r="D29">
        <v>1536</v>
      </c>
      <c r="E29">
        <v>155</v>
      </c>
      <c r="F29">
        <v>257065</v>
      </c>
      <c r="G29">
        <v>12.15762550327738</v>
      </c>
      <c r="H29" t="s">
        <v>351</v>
      </c>
      <c r="I29">
        <v>1381</v>
      </c>
      <c r="J29">
        <v>36661</v>
      </c>
    </row>
    <row r="30" spans="1:10" x14ac:dyDescent="0.3">
      <c r="A30">
        <v>45495</v>
      </c>
      <c r="B30">
        <v>8</v>
      </c>
      <c r="C30" t="s">
        <v>18</v>
      </c>
      <c r="D30">
        <v>8340</v>
      </c>
      <c r="E30">
        <v>911</v>
      </c>
      <c r="F30">
        <v>264494</v>
      </c>
      <c r="G30">
        <v>37.302925586213682</v>
      </c>
      <c r="H30" t="s">
        <v>350</v>
      </c>
      <c r="I30">
        <v>7429</v>
      </c>
      <c r="J30">
        <v>48659</v>
      </c>
    </row>
    <row r="31" spans="1:10" x14ac:dyDescent="0.3">
      <c r="A31">
        <v>45495</v>
      </c>
      <c r="B31">
        <v>8</v>
      </c>
      <c r="C31" t="s">
        <v>40</v>
      </c>
      <c r="D31">
        <v>8179</v>
      </c>
      <c r="E31">
        <v>446</v>
      </c>
      <c r="F31">
        <v>272227</v>
      </c>
      <c r="G31">
        <v>41.82171496581897</v>
      </c>
      <c r="H31" t="s">
        <v>350</v>
      </c>
      <c r="I31">
        <v>7733</v>
      </c>
      <c r="J31">
        <v>43848</v>
      </c>
    </row>
    <row r="32" spans="1:10" x14ac:dyDescent="0.3">
      <c r="A32">
        <v>45495</v>
      </c>
      <c r="B32">
        <v>8</v>
      </c>
      <c r="C32" t="s">
        <v>18</v>
      </c>
      <c r="D32">
        <v>8967</v>
      </c>
      <c r="E32">
        <v>993</v>
      </c>
      <c r="F32">
        <v>280201</v>
      </c>
      <c r="G32">
        <v>52.792102811910027</v>
      </c>
      <c r="H32" t="s">
        <v>352</v>
      </c>
      <c r="I32">
        <v>7974</v>
      </c>
      <c r="J32">
        <v>47804</v>
      </c>
    </row>
    <row r="33" spans="1:13" x14ac:dyDescent="0.3">
      <c r="A33">
        <v>45495</v>
      </c>
      <c r="B33">
        <v>8</v>
      </c>
      <c r="C33" t="s">
        <v>13</v>
      </c>
      <c r="D33">
        <v>9734</v>
      </c>
      <c r="E33">
        <v>652</v>
      </c>
      <c r="F33">
        <v>289283</v>
      </c>
      <c r="G33">
        <v>49.647922622483861</v>
      </c>
      <c r="H33" t="s">
        <v>351</v>
      </c>
      <c r="I33">
        <v>9082</v>
      </c>
      <c r="J33">
        <v>25379</v>
      </c>
      <c r="M33" t="s">
        <v>450</v>
      </c>
    </row>
    <row r="34" spans="1:13" x14ac:dyDescent="0.3">
      <c r="A34">
        <v>45502</v>
      </c>
      <c r="B34">
        <v>9</v>
      </c>
      <c r="C34" t="s">
        <v>18</v>
      </c>
      <c r="D34">
        <v>1845</v>
      </c>
      <c r="E34">
        <v>104</v>
      </c>
      <c r="F34">
        <v>291024</v>
      </c>
      <c r="G34">
        <v>28.158158777282971</v>
      </c>
      <c r="H34" t="s">
        <v>351</v>
      </c>
      <c r="I34">
        <v>1741</v>
      </c>
      <c r="J34">
        <v>37766</v>
      </c>
    </row>
    <row r="35" spans="1:13" x14ac:dyDescent="0.3">
      <c r="A35">
        <v>45502</v>
      </c>
      <c r="B35">
        <v>9</v>
      </c>
      <c r="C35" t="s">
        <v>18</v>
      </c>
      <c r="D35">
        <v>6777</v>
      </c>
      <c r="E35">
        <v>981</v>
      </c>
      <c r="F35">
        <v>296820</v>
      </c>
      <c r="G35">
        <v>23.920557913887201</v>
      </c>
      <c r="H35" t="s">
        <v>351</v>
      </c>
      <c r="I35">
        <v>5796</v>
      </c>
      <c r="J35">
        <v>53590</v>
      </c>
    </row>
    <row r="36" spans="1:13" x14ac:dyDescent="0.3">
      <c r="A36">
        <v>45502</v>
      </c>
      <c r="B36">
        <v>9</v>
      </c>
      <c r="C36" t="s">
        <v>13</v>
      </c>
      <c r="D36">
        <v>4036</v>
      </c>
      <c r="E36">
        <v>591</v>
      </c>
      <c r="F36">
        <v>300265</v>
      </c>
      <c r="G36">
        <v>44.219272975538267</v>
      </c>
      <c r="H36" t="s">
        <v>351</v>
      </c>
      <c r="I36">
        <v>3445</v>
      </c>
      <c r="J36">
        <v>12563</v>
      </c>
    </row>
    <row r="37" spans="1:13" x14ac:dyDescent="0.3">
      <c r="A37">
        <v>45502</v>
      </c>
      <c r="B37">
        <v>9</v>
      </c>
      <c r="C37" t="s">
        <v>40</v>
      </c>
      <c r="D37">
        <v>6947</v>
      </c>
      <c r="E37">
        <v>908</v>
      </c>
      <c r="F37">
        <v>306304</v>
      </c>
      <c r="G37">
        <v>14.117673944839121</v>
      </c>
      <c r="H37" t="s">
        <v>349</v>
      </c>
      <c r="I37">
        <v>6039</v>
      </c>
      <c r="J37">
        <v>46060</v>
      </c>
    </row>
    <row r="38" spans="1:13" x14ac:dyDescent="0.3">
      <c r="A38">
        <v>45509</v>
      </c>
      <c r="B38">
        <v>10</v>
      </c>
      <c r="C38" t="s">
        <v>22</v>
      </c>
      <c r="D38">
        <v>3494</v>
      </c>
      <c r="E38">
        <v>281</v>
      </c>
      <c r="F38">
        <v>309517</v>
      </c>
      <c r="G38">
        <v>27.765518533715429</v>
      </c>
      <c r="H38" t="s">
        <v>352</v>
      </c>
      <c r="I38">
        <v>3213</v>
      </c>
      <c r="J38">
        <v>39197</v>
      </c>
    </row>
    <row r="39" spans="1:13" x14ac:dyDescent="0.3">
      <c r="A39">
        <v>45509</v>
      </c>
      <c r="B39">
        <v>10</v>
      </c>
      <c r="C39" t="s">
        <v>40</v>
      </c>
      <c r="D39">
        <v>3719</v>
      </c>
      <c r="E39">
        <v>222</v>
      </c>
      <c r="F39">
        <v>313014</v>
      </c>
      <c r="G39">
        <v>21.669318305251519</v>
      </c>
      <c r="H39" t="s">
        <v>352</v>
      </c>
      <c r="I39">
        <v>3497</v>
      </c>
      <c r="J39">
        <v>13586</v>
      </c>
    </row>
    <row r="40" spans="1:13" x14ac:dyDescent="0.3">
      <c r="A40">
        <v>45509</v>
      </c>
      <c r="B40">
        <v>10</v>
      </c>
      <c r="C40" t="s">
        <v>13</v>
      </c>
      <c r="D40">
        <v>2884</v>
      </c>
      <c r="E40">
        <v>341</v>
      </c>
      <c r="F40">
        <v>315557</v>
      </c>
      <c r="G40">
        <v>46.999749649033298</v>
      </c>
      <c r="H40" t="s">
        <v>348</v>
      </c>
      <c r="I40">
        <v>2543</v>
      </c>
      <c r="J40">
        <v>26087</v>
      </c>
    </row>
    <row r="41" spans="1:13" x14ac:dyDescent="0.3">
      <c r="A41">
        <v>45509</v>
      </c>
      <c r="B41">
        <v>10</v>
      </c>
      <c r="C41" t="s">
        <v>18</v>
      </c>
      <c r="D41">
        <v>5349</v>
      </c>
      <c r="E41">
        <v>502</v>
      </c>
      <c r="F41">
        <v>320404</v>
      </c>
      <c r="G41">
        <v>5.2152906954969351</v>
      </c>
      <c r="H41" t="s">
        <v>348</v>
      </c>
      <c r="I41">
        <v>4847</v>
      </c>
      <c r="J41">
        <v>58868</v>
      </c>
    </row>
    <row r="42" spans="1:13" x14ac:dyDescent="0.3">
      <c r="A42">
        <v>45516</v>
      </c>
      <c r="B42">
        <v>11</v>
      </c>
      <c r="C42" t="s">
        <v>40</v>
      </c>
      <c r="D42">
        <v>6179</v>
      </c>
      <c r="E42">
        <v>384</v>
      </c>
      <c r="F42">
        <v>326199</v>
      </c>
      <c r="G42">
        <v>14.71218489327067</v>
      </c>
      <c r="H42" t="s">
        <v>349</v>
      </c>
      <c r="I42">
        <v>5795</v>
      </c>
      <c r="J42">
        <v>33225</v>
      </c>
    </row>
    <row r="43" spans="1:13" x14ac:dyDescent="0.3">
      <c r="A43">
        <v>45516</v>
      </c>
      <c r="B43">
        <v>11</v>
      </c>
      <c r="C43" t="s">
        <v>22</v>
      </c>
      <c r="D43">
        <v>7610</v>
      </c>
      <c r="E43">
        <v>757</v>
      </c>
      <c r="F43">
        <v>333052</v>
      </c>
      <c r="G43">
        <v>44.450416151231643</v>
      </c>
      <c r="H43" t="s">
        <v>349</v>
      </c>
      <c r="I43">
        <v>6853</v>
      </c>
      <c r="J43">
        <v>39750</v>
      </c>
    </row>
    <row r="44" spans="1:13" x14ac:dyDescent="0.3">
      <c r="A44">
        <v>45516</v>
      </c>
      <c r="B44">
        <v>11</v>
      </c>
      <c r="C44" t="s">
        <v>13</v>
      </c>
      <c r="D44">
        <v>7430</v>
      </c>
      <c r="E44">
        <v>397</v>
      </c>
      <c r="F44">
        <v>340085</v>
      </c>
      <c r="G44">
        <v>28.065042562888689</v>
      </c>
      <c r="H44" t="s">
        <v>350</v>
      </c>
      <c r="I44">
        <v>7033</v>
      </c>
      <c r="J44">
        <v>16643</v>
      </c>
    </row>
    <row r="45" spans="1:13" x14ac:dyDescent="0.3">
      <c r="A45">
        <v>45516</v>
      </c>
      <c r="B45">
        <v>11</v>
      </c>
      <c r="C45" t="s">
        <v>40</v>
      </c>
      <c r="D45">
        <v>8154</v>
      </c>
      <c r="E45">
        <v>1149</v>
      </c>
      <c r="F45">
        <v>347090</v>
      </c>
      <c r="G45">
        <v>26.003918292085629</v>
      </c>
      <c r="H45" t="s">
        <v>350</v>
      </c>
      <c r="I45">
        <v>7005</v>
      </c>
      <c r="J45">
        <v>37523</v>
      </c>
    </row>
    <row r="46" spans="1:13" x14ac:dyDescent="0.3">
      <c r="A46">
        <v>45523</v>
      </c>
      <c r="B46">
        <v>12</v>
      </c>
      <c r="C46" t="s">
        <v>22</v>
      </c>
      <c r="D46">
        <v>7488</v>
      </c>
      <c r="E46">
        <v>568</v>
      </c>
      <c r="F46">
        <v>354010</v>
      </c>
      <c r="G46">
        <v>13.47730290104799</v>
      </c>
      <c r="H46" t="s">
        <v>349</v>
      </c>
      <c r="I46">
        <v>6920</v>
      </c>
      <c r="J46">
        <v>46727</v>
      </c>
    </row>
    <row r="47" spans="1:13" x14ac:dyDescent="0.3">
      <c r="A47">
        <v>45523</v>
      </c>
      <c r="B47">
        <v>12</v>
      </c>
      <c r="C47" t="s">
        <v>13</v>
      </c>
      <c r="D47">
        <v>5737</v>
      </c>
      <c r="E47">
        <v>666</v>
      </c>
      <c r="F47">
        <v>359081</v>
      </c>
      <c r="G47">
        <v>4.6034181702735593</v>
      </c>
      <c r="H47" t="s">
        <v>349</v>
      </c>
      <c r="I47">
        <v>5071</v>
      </c>
      <c r="J47">
        <v>21005</v>
      </c>
    </row>
    <row r="48" spans="1:13" x14ac:dyDescent="0.3">
      <c r="A48">
        <v>45523</v>
      </c>
      <c r="B48">
        <v>12</v>
      </c>
      <c r="C48" t="s">
        <v>22</v>
      </c>
      <c r="D48">
        <v>7525</v>
      </c>
      <c r="E48">
        <v>610</v>
      </c>
      <c r="F48">
        <v>365996</v>
      </c>
      <c r="G48">
        <v>5.7694619613329108</v>
      </c>
      <c r="H48" t="s">
        <v>349</v>
      </c>
      <c r="I48">
        <v>6915</v>
      </c>
      <c r="J48">
        <v>53543</v>
      </c>
    </row>
    <row r="49" spans="1:10" x14ac:dyDescent="0.3">
      <c r="A49">
        <v>45523</v>
      </c>
      <c r="B49">
        <v>12</v>
      </c>
      <c r="C49" t="s">
        <v>13</v>
      </c>
      <c r="D49">
        <v>4850</v>
      </c>
      <c r="E49">
        <v>494</v>
      </c>
      <c r="F49">
        <v>370352</v>
      </c>
      <c r="G49">
        <v>20.46539508359615</v>
      </c>
      <c r="H49" t="s">
        <v>349</v>
      </c>
      <c r="I49">
        <v>4356</v>
      </c>
      <c r="J49">
        <v>10161</v>
      </c>
    </row>
    <row r="50" spans="1:10" x14ac:dyDescent="0.3">
      <c r="A50">
        <v>45530</v>
      </c>
      <c r="B50">
        <v>13</v>
      </c>
      <c r="C50" t="s">
        <v>18</v>
      </c>
      <c r="D50">
        <v>1689</v>
      </c>
      <c r="E50">
        <v>176</v>
      </c>
      <c r="F50">
        <v>371865</v>
      </c>
      <c r="G50">
        <v>38.012181840183942</v>
      </c>
      <c r="H50" t="s">
        <v>348</v>
      </c>
      <c r="I50">
        <v>1513</v>
      </c>
      <c r="J50">
        <v>26029</v>
      </c>
    </row>
    <row r="51" spans="1:10" x14ac:dyDescent="0.3">
      <c r="A51">
        <v>45530</v>
      </c>
      <c r="B51">
        <v>13</v>
      </c>
      <c r="C51" t="s">
        <v>40</v>
      </c>
      <c r="D51">
        <v>6175</v>
      </c>
      <c r="E51">
        <v>422</v>
      </c>
      <c r="F51">
        <v>377618</v>
      </c>
      <c r="G51">
        <v>37.86101298137271</v>
      </c>
      <c r="H51" t="s">
        <v>348</v>
      </c>
      <c r="I51">
        <v>5753</v>
      </c>
      <c r="J51">
        <v>59745</v>
      </c>
    </row>
    <row r="52" spans="1:10" x14ac:dyDescent="0.3">
      <c r="A52">
        <v>45530</v>
      </c>
      <c r="B52">
        <v>13</v>
      </c>
      <c r="C52" t="s">
        <v>22</v>
      </c>
      <c r="D52">
        <v>9648</v>
      </c>
      <c r="E52">
        <v>1417</v>
      </c>
      <c r="F52">
        <v>385849</v>
      </c>
      <c r="G52">
        <v>3.6633501706626168</v>
      </c>
      <c r="H52" t="s">
        <v>352</v>
      </c>
      <c r="I52">
        <v>8231</v>
      </c>
      <c r="J52">
        <v>24226</v>
      </c>
    </row>
    <row r="53" spans="1:10" x14ac:dyDescent="0.3">
      <c r="A53">
        <v>45530</v>
      </c>
      <c r="B53">
        <v>13</v>
      </c>
      <c r="C53" t="s">
        <v>13</v>
      </c>
      <c r="D53">
        <v>6078</v>
      </c>
      <c r="E53">
        <v>775</v>
      </c>
      <c r="F53">
        <v>391152</v>
      </c>
      <c r="G53">
        <v>37.760512537325639</v>
      </c>
      <c r="H53" t="s">
        <v>352</v>
      </c>
      <c r="I53">
        <v>5303</v>
      </c>
      <c r="J53">
        <v>38731</v>
      </c>
    </row>
    <row r="54" spans="1:10" x14ac:dyDescent="0.3">
      <c r="A54">
        <v>45537</v>
      </c>
      <c r="B54">
        <v>14</v>
      </c>
      <c r="C54" t="s">
        <v>22</v>
      </c>
      <c r="D54">
        <v>6448</v>
      </c>
      <c r="E54">
        <v>928</v>
      </c>
      <c r="F54">
        <v>396672</v>
      </c>
      <c r="G54">
        <v>30.118586640851881</v>
      </c>
      <c r="H54" t="s">
        <v>348</v>
      </c>
      <c r="I54">
        <v>5520</v>
      </c>
      <c r="J54">
        <v>53922</v>
      </c>
    </row>
    <row r="55" spans="1:10" x14ac:dyDescent="0.3">
      <c r="A55">
        <v>45537</v>
      </c>
      <c r="B55">
        <v>14</v>
      </c>
      <c r="C55" t="s">
        <v>22</v>
      </c>
      <c r="D55">
        <v>2179</v>
      </c>
      <c r="E55">
        <v>303</v>
      </c>
      <c r="F55">
        <v>398548</v>
      </c>
      <c r="G55">
        <v>33.909842729106657</v>
      </c>
      <c r="H55" t="s">
        <v>348</v>
      </c>
      <c r="I55">
        <v>1876</v>
      </c>
      <c r="J55">
        <v>54848</v>
      </c>
    </row>
    <row r="56" spans="1:10" x14ac:dyDescent="0.3">
      <c r="A56">
        <v>45537</v>
      </c>
      <c r="B56">
        <v>14</v>
      </c>
      <c r="C56" t="s">
        <v>40</v>
      </c>
      <c r="D56">
        <v>7406</v>
      </c>
      <c r="E56">
        <v>813</v>
      </c>
      <c r="F56">
        <v>405141</v>
      </c>
      <c r="G56">
        <v>24.457411123534769</v>
      </c>
      <c r="H56" t="s">
        <v>351</v>
      </c>
      <c r="I56">
        <v>6593</v>
      </c>
      <c r="J56">
        <v>13390</v>
      </c>
    </row>
    <row r="57" spans="1:10" x14ac:dyDescent="0.3">
      <c r="A57">
        <v>45537</v>
      </c>
      <c r="B57">
        <v>14</v>
      </c>
      <c r="C57" t="s">
        <v>18</v>
      </c>
      <c r="D57">
        <v>9591</v>
      </c>
      <c r="E57">
        <v>1363</v>
      </c>
      <c r="F57">
        <v>413369</v>
      </c>
      <c r="G57">
        <v>10.494255737609739</v>
      </c>
      <c r="H57" t="s">
        <v>351</v>
      </c>
      <c r="I57">
        <v>8228</v>
      </c>
      <c r="J57">
        <v>15997</v>
      </c>
    </row>
    <row r="58" spans="1:10" x14ac:dyDescent="0.3">
      <c r="A58">
        <v>45544</v>
      </c>
      <c r="B58">
        <v>15</v>
      </c>
      <c r="C58" t="s">
        <v>22</v>
      </c>
      <c r="D58">
        <v>7907</v>
      </c>
      <c r="E58">
        <v>465</v>
      </c>
      <c r="F58">
        <v>420811</v>
      </c>
      <c r="G58">
        <v>33.257448118038738</v>
      </c>
      <c r="H58" t="s">
        <v>350</v>
      </c>
      <c r="I58">
        <v>7442</v>
      </c>
      <c r="J58">
        <v>22693</v>
      </c>
    </row>
    <row r="59" spans="1:10" x14ac:dyDescent="0.3">
      <c r="A59">
        <v>45544</v>
      </c>
      <c r="B59">
        <v>15</v>
      </c>
      <c r="C59" t="s">
        <v>13</v>
      </c>
      <c r="D59">
        <v>9800</v>
      </c>
      <c r="E59">
        <v>682</v>
      </c>
      <c r="F59">
        <v>429929</v>
      </c>
      <c r="G59">
        <v>6.2966210699906267</v>
      </c>
      <c r="H59" t="s">
        <v>350</v>
      </c>
      <c r="I59">
        <v>9118</v>
      </c>
      <c r="J59">
        <v>59815</v>
      </c>
    </row>
    <row r="60" spans="1:10" x14ac:dyDescent="0.3">
      <c r="A60">
        <v>45544</v>
      </c>
      <c r="B60">
        <v>15</v>
      </c>
      <c r="C60" t="s">
        <v>13</v>
      </c>
      <c r="D60">
        <v>2638</v>
      </c>
      <c r="E60">
        <v>143</v>
      </c>
      <c r="F60">
        <v>432424</v>
      </c>
      <c r="G60">
        <v>6.9547481175882924</v>
      </c>
      <c r="H60" t="s">
        <v>349</v>
      </c>
      <c r="I60">
        <v>2495</v>
      </c>
      <c r="J60">
        <v>52092</v>
      </c>
    </row>
    <row r="61" spans="1:10" x14ac:dyDescent="0.3">
      <c r="A61">
        <v>45544</v>
      </c>
      <c r="B61">
        <v>15</v>
      </c>
      <c r="C61" t="s">
        <v>18</v>
      </c>
      <c r="D61">
        <v>6671</v>
      </c>
      <c r="E61">
        <v>550</v>
      </c>
      <c r="F61">
        <v>438545</v>
      </c>
      <c r="G61">
        <v>17.750287883797562</v>
      </c>
      <c r="H61" t="s">
        <v>349</v>
      </c>
      <c r="I61">
        <v>6121</v>
      </c>
      <c r="J61">
        <v>10541</v>
      </c>
    </row>
    <row r="62" spans="1:10" x14ac:dyDescent="0.3">
      <c r="A62">
        <v>45551</v>
      </c>
      <c r="B62">
        <v>16</v>
      </c>
      <c r="C62" t="s">
        <v>13</v>
      </c>
      <c r="D62">
        <v>7928</v>
      </c>
      <c r="E62">
        <v>704</v>
      </c>
      <c r="F62">
        <v>445769</v>
      </c>
      <c r="G62">
        <v>11.194362999670229</v>
      </c>
      <c r="H62" t="s">
        <v>349</v>
      </c>
      <c r="I62">
        <v>7224</v>
      </c>
      <c r="J62">
        <v>31817</v>
      </c>
    </row>
    <row r="63" spans="1:10" x14ac:dyDescent="0.3">
      <c r="A63">
        <v>45551</v>
      </c>
      <c r="B63">
        <v>16</v>
      </c>
      <c r="C63" t="s">
        <v>18</v>
      </c>
      <c r="D63">
        <v>2382</v>
      </c>
      <c r="E63">
        <v>183</v>
      </c>
      <c r="F63">
        <v>447968</v>
      </c>
      <c r="G63">
        <v>4.7335970426459033</v>
      </c>
      <c r="H63" t="s">
        <v>349</v>
      </c>
      <c r="I63">
        <v>2199</v>
      </c>
      <c r="J63">
        <v>47861</v>
      </c>
    </row>
    <row r="64" spans="1:10" x14ac:dyDescent="0.3">
      <c r="A64">
        <v>45551</v>
      </c>
      <c r="B64">
        <v>16</v>
      </c>
      <c r="C64" t="s">
        <v>13</v>
      </c>
      <c r="D64">
        <v>2403</v>
      </c>
      <c r="E64">
        <v>319</v>
      </c>
      <c r="F64">
        <v>450052</v>
      </c>
      <c r="G64">
        <v>29.92120910472568</v>
      </c>
      <c r="H64" t="s">
        <v>350</v>
      </c>
      <c r="I64">
        <v>2084</v>
      </c>
      <c r="J64">
        <v>23428</v>
      </c>
    </row>
    <row r="65" spans="1:10" x14ac:dyDescent="0.3">
      <c r="A65">
        <v>45551</v>
      </c>
      <c r="B65">
        <v>16</v>
      </c>
      <c r="C65" t="s">
        <v>40</v>
      </c>
      <c r="D65">
        <v>4292</v>
      </c>
      <c r="E65">
        <v>367</v>
      </c>
      <c r="F65">
        <v>453977</v>
      </c>
      <c r="G65">
        <v>3.5037017293827661</v>
      </c>
      <c r="H65" t="s">
        <v>350</v>
      </c>
      <c r="I65">
        <v>3925</v>
      </c>
      <c r="J65">
        <v>53934</v>
      </c>
    </row>
    <row r="66" spans="1:10" x14ac:dyDescent="0.3">
      <c r="A66">
        <v>45558</v>
      </c>
      <c r="B66">
        <v>17</v>
      </c>
      <c r="C66" t="s">
        <v>22</v>
      </c>
      <c r="D66">
        <v>1419</v>
      </c>
      <c r="E66">
        <v>110</v>
      </c>
      <c r="F66">
        <v>455286</v>
      </c>
      <c r="G66">
        <v>31.554451487636339</v>
      </c>
      <c r="H66" t="s">
        <v>352</v>
      </c>
      <c r="I66">
        <v>1309</v>
      </c>
      <c r="J66">
        <v>58831</v>
      </c>
    </row>
    <row r="67" spans="1:10" x14ac:dyDescent="0.3">
      <c r="A67">
        <v>45558</v>
      </c>
      <c r="B67">
        <v>17</v>
      </c>
      <c r="C67" t="s">
        <v>40</v>
      </c>
      <c r="D67">
        <v>5517</v>
      </c>
      <c r="E67">
        <v>575</v>
      </c>
      <c r="F67">
        <v>460228</v>
      </c>
      <c r="G67">
        <v>29.45844233727631</v>
      </c>
      <c r="H67" t="s">
        <v>352</v>
      </c>
      <c r="I67">
        <v>4942</v>
      </c>
      <c r="J67">
        <v>20258</v>
      </c>
    </row>
    <row r="68" spans="1:10" x14ac:dyDescent="0.3">
      <c r="A68">
        <v>45558</v>
      </c>
      <c r="B68">
        <v>17</v>
      </c>
      <c r="C68" t="s">
        <v>22</v>
      </c>
      <c r="D68">
        <v>4302</v>
      </c>
      <c r="E68">
        <v>275</v>
      </c>
      <c r="F68">
        <v>464255</v>
      </c>
      <c r="G68">
        <v>15.72131694865968</v>
      </c>
      <c r="H68" t="s">
        <v>351</v>
      </c>
      <c r="I68">
        <v>4027</v>
      </c>
      <c r="J68">
        <v>26044</v>
      </c>
    </row>
    <row r="69" spans="1:10" x14ac:dyDescent="0.3">
      <c r="A69">
        <v>45558</v>
      </c>
      <c r="B69">
        <v>17</v>
      </c>
      <c r="C69" t="s">
        <v>22</v>
      </c>
      <c r="D69">
        <v>8857</v>
      </c>
      <c r="E69">
        <v>1153</v>
      </c>
      <c r="F69">
        <v>471959</v>
      </c>
      <c r="G69">
        <v>19.214592793018038</v>
      </c>
      <c r="H69" t="s">
        <v>351</v>
      </c>
      <c r="I69">
        <v>7704</v>
      </c>
      <c r="J69">
        <v>39411</v>
      </c>
    </row>
    <row r="70" spans="1:10" x14ac:dyDescent="0.3">
      <c r="A70">
        <v>45565</v>
      </c>
      <c r="B70">
        <v>18</v>
      </c>
      <c r="C70" t="s">
        <v>22</v>
      </c>
      <c r="D70">
        <v>8870</v>
      </c>
      <c r="E70">
        <v>509</v>
      </c>
      <c r="F70">
        <v>480320</v>
      </c>
      <c r="G70">
        <v>25.077864756828781</v>
      </c>
      <c r="H70" t="s">
        <v>349</v>
      </c>
      <c r="I70">
        <v>8361</v>
      </c>
      <c r="J70">
        <v>15469</v>
      </c>
    </row>
    <row r="71" spans="1:10" x14ac:dyDescent="0.3">
      <c r="A71">
        <v>45565</v>
      </c>
      <c r="B71">
        <v>18</v>
      </c>
      <c r="C71" t="s">
        <v>40</v>
      </c>
      <c r="D71">
        <v>6693</v>
      </c>
      <c r="E71">
        <v>995</v>
      </c>
      <c r="F71">
        <v>486018</v>
      </c>
      <c r="G71">
        <v>23.761877132122681</v>
      </c>
      <c r="H71" t="s">
        <v>349</v>
      </c>
      <c r="I71">
        <v>5698</v>
      </c>
      <c r="J71">
        <v>38854</v>
      </c>
    </row>
    <row r="72" spans="1:10" x14ac:dyDescent="0.3">
      <c r="A72">
        <v>45565</v>
      </c>
      <c r="B72">
        <v>18</v>
      </c>
      <c r="C72" t="s">
        <v>22</v>
      </c>
      <c r="D72">
        <v>1767</v>
      </c>
      <c r="E72">
        <v>224</v>
      </c>
      <c r="F72">
        <v>487561</v>
      </c>
      <c r="G72">
        <v>13.208603641390511</v>
      </c>
      <c r="H72" t="s">
        <v>351</v>
      </c>
      <c r="I72">
        <v>1543</v>
      </c>
      <c r="J72">
        <v>16256</v>
      </c>
    </row>
    <row r="73" spans="1:10" x14ac:dyDescent="0.3">
      <c r="A73">
        <v>45565</v>
      </c>
      <c r="B73">
        <v>18</v>
      </c>
      <c r="C73" t="s">
        <v>40</v>
      </c>
      <c r="D73">
        <v>3044</v>
      </c>
      <c r="E73">
        <v>212</v>
      </c>
      <c r="F73">
        <v>490393</v>
      </c>
      <c r="G73">
        <v>8.5343795690395261</v>
      </c>
      <c r="H73" t="s">
        <v>351</v>
      </c>
      <c r="I73">
        <v>2832</v>
      </c>
      <c r="J73">
        <v>20720</v>
      </c>
    </row>
    <row r="74" spans="1:10" x14ac:dyDescent="0.3">
      <c r="A74">
        <v>45572</v>
      </c>
      <c r="B74">
        <v>19</v>
      </c>
      <c r="C74" t="s">
        <v>18</v>
      </c>
      <c r="D74">
        <v>2549</v>
      </c>
      <c r="E74">
        <v>128</v>
      </c>
      <c r="F74">
        <v>492814</v>
      </c>
      <c r="G74">
        <v>12.734216154573531</v>
      </c>
      <c r="H74" t="s">
        <v>350</v>
      </c>
      <c r="I74">
        <v>2421</v>
      </c>
      <c r="J74">
        <v>43937</v>
      </c>
    </row>
    <row r="75" spans="1:10" x14ac:dyDescent="0.3">
      <c r="A75">
        <v>45572</v>
      </c>
      <c r="B75">
        <v>19</v>
      </c>
      <c r="C75" t="s">
        <v>13</v>
      </c>
      <c r="D75">
        <v>7140</v>
      </c>
      <c r="E75">
        <v>939</v>
      </c>
      <c r="F75">
        <v>499015</v>
      </c>
      <c r="G75">
        <v>25.120888149654821</v>
      </c>
      <c r="H75" t="s">
        <v>350</v>
      </c>
      <c r="I75">
        <v>6201</v>
      </c>
      <c r="J75">
        <v>43598</v>
      </c>
    </row>
    <row r="76" spans="1:10" x14ac:dyDescent="0.3">
      <c r="A76">
        <v>45572</v>
      </c>
      <c r="B76">
        <v>19</v>
      </c>
      <c r="C76" t="s">
        <v>13</v>
      </c>
      <c r="D76">
        <v>4716</v>
      </c>
      <c r="E76">
        <v>569</v>
      </c>
      <c r="F76">
        <v>503162</v>
      </c>
      <c r="G76">
        <v>25.64820077827817</v>
      </c>
      <c r="H76" t="s">
        <v>351</v>
      </c>
      <c r="I76">
        <v>4147</v>
      </c>
      <c r="J76">
        <v>11651</v>
      </c>
    </row>
    <row r="77" spans="1:10" x14ac:dyDescent="0.3">
      <c r="A77">
        <v>45572</v>
      </c>
      <c r="B77">
        <v>19</v>
      </c>
      <c r="C77" t="s">
        <v>22</v>
      </c>
      <c r="D77">
        <v>5481</v>
      </c>
      <c r="E77">
        <v>673</v>
      </c>
      <c r="F77">
        <v>507970</v>
      </c>
      <c r="G77">
        <v>13.08758391243577</v>
      </c>
      <c r="H77" t="s">
        <v>351</v>
      </c>
      <c r="I77">
        <v>4808</v>
      </c>
      <c r="J77">
        <v>29194</v>
      </c>
    </row>
    <row r="78" spans="1:10" x14ac:dyDescent="0.3">
      <c r="A78">
        <v>45579</v>
      </c>
      <c r="B78">
        <v>20</v>
      </c>
      <c r="C78" t="s">
        <v>40</v>
      </c>
      <c r="D78">
        <v>8898</v>
      </c>
      <c r="E78">
        <v>1131</v>
      </c>
      <c r="F78">
        <v>515737</v>
      </c>
      <c r="G78">
        <v>2.1877429775253669</v>
      </c>
      <c r="H78" t="s">
        <v>352</v>
      </c>
      <c r="I78">
        <v>7767</v>
      </c>
      <c r="J78">
        <v>35051</v>
      </c>
    </row>
    <row r="79" spans="1:10" x14ac:dyDescent="0.3">
      <c r="A79">
        <v>45579</v>
      </c>
      <c r="B79">
        <v>20</v>
      </c>
      <c r="C79" t="s">
        <v>13</v>
      </c>
      <c r="D79">
        <v>7548</v>
      </c>
      <c r="E79">
        <v>433</v>
      </c>
      <c r="F79">
        <v>522852</v>
      </c>
      <c r="G79">
        <v>8.3562843787534522</v>
      </c>
      <c r="H79" t="s">
        <v>352</v>
      </c>
      <c r="I79">
        <v>7115</v>
      </c>
      <c r="J79">
        <v>37386</v>
      </c>
    </row>
    <row r="80" spans="1:10" x14ac:dyDescent="0.3">
      <c r="A80">
        <v>45579</v>
      </c>
      <c r="B80">
        <v>20</v>
      </c>
      <c r="C80" t="s">
        <v>40</v>
      </c>
      <c r="D80">
        <v>3293</v>
      </c>
      <c r="E80">
        <v>282</v>
      </c>
      <c r="F80">
        <v>525863</v>
      </c>
      <c r="G80">
        <v>27.040693108281051</v>
      </c>
      <c r="H80" t="s">
        <v>350</v>
      </c>
      <c r="I80">
        <v>3011</v>
      </c>
      <c r="J80">
        <v>19518</v>
      </c>
    </row>
    <row r="81" spans="1:10" x14ac:dyDescent="0.3">
      <c r="A81">
        <v>45579</v>
      </c>
      <c r="B81">
        <v>20</v>
      </c>
      <c r="C81" t="s">
        <v>40</v>
      </c>
      <c r="D81">
        <v>5837</v>
      </c>
      <c r="E81">
        <v>359</v>
      </c>
      <c r="F81">
        <v>531341</v>
      </c>
      <c r="G81">
        <v>6.8073045370110723</v>
      </c>
      <c r="H81" t="s">
        <v>350</v>
      </c>
      <c r="I81">
        <v>5478</v>
      </c>
      <c r="J81">
        <v>56026</v>
      </c>
    </row>
    <row r="82" spans="1:10" x14ac:dyDescent="0.3">
      <c r="A82">
        <v>45586</v>
      </c>
      <c r="B82">
        <v>21</v>
      </c>
      <c r="C82" t="s">
        <v>22</v>
      </c>
      <c r="D82">
        <v>8758</v>
      </c>
      <c r="E82">
        <v>1193</v>
      </c>
      <c r="F82">
        <v>538906</v>
      </c>
      <c r="G82">
        <v>3.4213758985797149</v>
      </c>
      <c r="H82" t="s">
        <v>350</v>
      </c>
      <c r="I82">
        <v>7565</v>
      </c>
      <c r="J82">
        <v>26184</v>
      </c>
    </row>
    <row r="83" spans="1:10" x14ac:dyDescent="0.3">
      <c r="A83">
        <v>45586</v>
      </c>
      <c r="B83">
        <v>21</v>
      </c>
      <c r="C83" t="s">
        <v>13</v>
      </c>
      <c r="D83">
        <v>7793</v>
      </c>
      <c r="E83">
        <v>875</v>
      </c>
      <c r="F83">
        <v>545824</v>
      </c>
      <c r="G83">
        <v>5.5136820660139527</v>
      </c>
      <c r="H83" t="s">
        <v>351</v>
      </c>
      <c r="I83">
        <v>6918</v>
      </c>
      <c r="J83">
        <v>43787</v>
      </c>
    </row>
    <row r="84" spans="1:10" x14ac:dyDescent="0.3">
      <c r="A84">
        <v>45586</v>
      </c>
      <c r="B84">
        <v>21</v>
      </c>
      <c r="C84" t="s">
        <v>22</v>
      </c>
      <c r="D84">
        <v>8638</v>
      </c>
      <c r="E84">
        <v>717</v>
      </c>
      <c r="F84">
        <v>553745</v>
      </c>
      <c r="G84">
        <v>26.921416897669499</v>
      </c>
      <c r="H84" t="s">
        <v>351</v>
      </c>
      <c r="I84">
        <v>7921</v>
      </c>
      <c r="J84">
        <v>31621</v>
      </c>
    </row>
    <row r="85" spans="1:10" x14ac:dyDescent="0.3">
      <c r="A85">
        <v>45586</v>
      </c>
      <c r="B85">
        <v>21</v>
      </c>
      <c r="C85" t="s">
        <v>22</v>
      </c>
      <c r="D85">
        <v>8993</v>
      </c>
      <c r="E85">
        <v>506</v>
      </c>
      <c r="F85">
        <v>562232</v>
      </c>
      <c r="G85">
        <v>3.5131404829323132</v>
      </c>
      <c r="H85" t="s">
        <v>348</v>
      </c>
      <c r="I85">
        <v>8487</v>
      </c>
      <c r="J85">
        <v>20028</v>
      </c>
    </row>
    <row r="86" spans="1:10" x14ac:dyDescent="0.3">
      <c r="A86">
        <v>45593</v>
      </c>
      <c r="B86">
        <v>22</v>
      </c>
      <c r="C86" t="s">
        <v>13</v>
      </c>
      <c r="D86">
        <v>7007</v>
      </c>
      <c r="E86">
        <v>568</v>
      </c>
      <c r="F86">
        <v>568671</v>
      </c>
      <c r="G86">
        <v>11.50507059442103</v>
      </c>
      <c r="H86" t="s">
        <v>348</v>
      </c>
      <c r="I86">
        <v>6439</v>
      </c>
      <c r="J86">
        <v>22448</v>
      </c>
    </row>
    <row r="87" spans="1:10" x14ac:dyDescent="0.3">
      <c r="A87">
        <v>45593</v>
      </c>
      <c r="B87">
        <v>22</v>
      </c>
      <c r="C87" t="s">
        <v>13</v>
      </c>
      <c r="D87">
        <v>6542</v>
      </c>
      <c r="E87">
        <v>539</v>
      </c>
      <c r="F87">
        <v>574674</v>
      </c>
      <c r="G87">
        <v>6.4069368024305948</v>
      </c>
      <c r="H87" t="s">
        <v>350</v>
      </c>
      <c r="I87">
        <v>6003</v>
      </c>
      <c r="J87">
        <v>55253</v>
      </c>
    </row>
    <row r="88" spans="1:10" x14ac:dyDescent="0.3">
      <c r="A88">
        <v>45593</v>
      </c>
      <c r="B88">
        <v>22</v>
      </c>
      <c r="C88" t="s">
        <v>18</v>
      </c>
      <c r="D88">
        <v>7356</v>
      </c>
      <c r="E88">
        <v>904</v>
      </c>
      <c r="F88">
        <v>581126</v>
      </c>
      <c r="G88">
        <v>17.560907617280929</v>
      </c>
      <c r="H88" t="s">
        <v>350</v>
      </c>
      <c r="I88">
        <v>6452</v>
      </c>
      <c r="J88">
        <v>44051</v>
      </c>
    </row>
    <row r="89" spans="1:10" x14ac:dyDescent="0.3">
      <c r="A89">
        <v>45593</v>
      </c>
      <c r="B89">
        <v>22</v>
      </c>
      <c r="C89" t="s">
        <v>18</v>
      </c>
      <c r="D89">
        <v>9433</v>
      </c>
      <c r="E89">
        <v>1073</v>
      </c>
      <c r="F89">
        <v>589486</v>
      </c>
      <c r="G89">
        <v>7.2934726185185053</v>
      </c>
      <c r="H89" t="s">
        <v>352</v>
      </c>
      <c r="I89">
        <v>8360</v>
      </c>
      <c r="J89">
        <v>59811</v>
      </c>
    </row>
    <row r="90" spans="1:10" x14ac:dyDescent="0.3">
      <c r="A90">
        <v>45600</v>
      </c>
      <c r="B90">
        <v>23</v>
      </c>
      <c r="C90" t="s">
        <v>40</v>
      </c>
      <c r="D90">
        <v>8380</v>
      </c>
      <c r="E90">
        <v>1162</v>
      </c>
      <c r="F90">
        <v>596704</v>
      </c>
      <c r="G90">
        <v>18.05853488496809</v>
      </c>
      <c r="H90" t="s">
        <v>352</v>
      </c>
      <c r="I90">
        <v>7218</v>
      </c>
      <c r="J90">
        <v>40447</v>
      </c>
    </row>
    <row r="91" spans="1:10" x14ac:dyDescent="0.3">
      <c r="A91">
        <v>45600</v>
      </c>
      <c r="B91">
        <v>23</v>
      </c>
      <c r="C91" t="s">
        <v>13</v>
      </c>
      <c r="D91">
        <v>3385</v>
      </c>
      <c r="E91">
        <v>329</v>
      </c>
      <c r="F91">
        <v>599760</v>
      </c>
      <c r="G91">
        <v>17.61788048552755</v>
      </c>
      <c r="H91" t="s">
        <v>348</v>
      </c>
      <c r="I91">
        <v>3056</v>
      </c>
      <c r="J91">
        <v>28394</v>
      </c>
    </row>
    <row r="92" spans="1:10" x14ac:dyDescent="0.3">
      <c r="A92">
        <v>45600</v>
      </c>
      <c r="B92">
        <v>23</v>
      </c>
      <c r="C92" t="s">
        <v>18</v>
      </c>
      <c r="D92">
        <v>5268</v>
      </c>
      <c r="E92">
        <v>326</v>
      </c>
      <c r="F92">
        <v>604702</v>
      </c>
      <c r="G92">
        <v>23.435841125050029</v>
      </c>
      <c r="H92" t="s">
        <v>348</v>
      </c>
      <c r="I92">
        <v>4942</v>
      </c>
      <c r="J92">
        <v>44501</v>
      </c>
    </row>
    <row r="93" spans="1:10" x14ac:dyDescent="0.3">
      <c r="A93">
        <v>45600</v>
      </c>
      <c r="B93">
        <v>23</v>
      </c>
      <c r="C93" t="s">
        <v>40</v>
      </c>
      <c r="D93">
        <v>1671</v>
      </c>
      <c r="E93">
        <v>202</v>
      </c>
      <c r="F93">
        <v>606171</v>
      </c>
      <c r="G93">
        <v>15.150015424690389</v>
      </c>
      <c r="H93" t="s">
        <v>350</v>
      </c>
      <c r="I93">
        <v>1469</v>
      </c>
      <c r="J93">
        <v>40254</v>
      </c>
    </row>
    <row r="94" spans="1:10" x14ac:dyDescent="0.3">
      <c r="A94">
        <v>45607</v>
      </c>
      <c r="B94">
        <v>24</v>
      </c>
      <c r="C94" t="s">
        <v>40</v>
      </c>
      <c r="D94">
        <v>1163</v>
      </c>
      <c r="E94">
        <v>146</v>
      </c>
      <c r="F94">
        <v>607188</v>
      </c>
      <c r="G94">
        <v>21.77776899411715</v>
      </c>
      <c r="H94" t="s">
        <v>350</v>
      </c>
      <c r="I94">
        <v>1017</v>
      </c>
      <c r="J94">
        <v>28509</v>
      </c>
    </row>
    <row r="95" spans="1:10" x14ac:dyDescent="0.3">
      <c r="A95">
        <v>45607</v>
      </c>
      <c r="B95">
        <v>24</v>
      </c>
      <c r="C95" t="s">
        <v>40</v>
      </c>
      <c r="D95">
        <v>9656</v>
      </c>
      <c r="E95">
        <v>1024</v>
      </c>
      <c r="F95">
        <v>615820</v>
      </c>
      <c r="G95">
        <v>8.7252768666168681</v>
      </c>
      <c r="H95" t="s">
        <v>349</v>
      </c>
      <c r="I95">
        <v>8632</v>
      </c>
      <c r="J95">
        <v>58998</v>
      </c>
    </row>
    <row r="96" spans="1:10" x14ac:dyDescent="0.3">
      <c r="A96">
        <v>45607</v>
      </c>
      <c r="B96">
        <v>24</v>
      </c>
      <c r="C96" t="s">
        <v>18</v>
      </c>
      <c r="D96">
        <v>5592</v>
      </c>
      <c r="E96">
        <v>710</v>
      </c>
      <c r="F96">
        <v>620702</v>
      </c>
      <c r="G96">
        <v>9.07118069540617</v>
      </c>
      <c r="H96" t="s">
        <v>349</v>
      </c>
      <c r="I96">
        <v>4882</v>
      </c>
      <c r="J96">
        <v>24472</v>
      </c>
    </row>
    <row r="97" spans="1:10" x14ac:dyDescent="0.3">
      <c r="A97">
        <v>45607</v>
      </c>
      <c r="B97">
        <v>24</v>
      </c>
      <c r="C97" t="s">
        <v>13</v>
      </c>
      <c r="D97">
        <v>5795</v>
      </c>
      <c r="E97">
        <v>575</v>
      </c>
      <c r="F97">
        <v>625922</v>
      </c>
      <c r="G97">
        <v>3.0908004511744269</v>
      </c>
      <c r="H97" t="s">
        <v>348</v>
      </c>
      <c r="I97">
        <v>5220</v>
      </c>
      <c r="J97">
        <v>55657</v>
      </c>
    </row>
    <row r="98" spans="1:10" x14ac:dyDescent="0.3">
      <c r="A98">
        <v>45614</v>
      </c>
      <c r="B98">
        <v>25</v>
      </c>
      <c r="C98" t="s">
        <v>22</v>
      </c>
      <c r="D98">
        <v>5798</v>
      </c>
      <c r="E98">
        <v>592</v>
      </c>
      <c r="F98">
        <v>631128</v>
      </c>
      <c r="G98">
        <v>1.6774727155188811</v>
      </c>
      <c r="H98" t="s">
        <v>348</v>
      </c>
      <c r="I98">
        <v>5206</v>
      </c>
      <c r="J98">
        <v>13471</v>
      </c>
    </row>
    <row r="99" spans="1:10" x14ac:dyDescent="0.3">
      <c r="A99">
        <v>45614</v>
      </c>
      <c r="B99">
        <v>25</v>
      </c>
      <c r="C99" t="s">
        <v>40</v>
      </c>
      <c r="D99">
        <v>7036</v>
      </c>
      <c r="E99">
        <v>652</v>
      </c>
      <c r="F99">
        <v>637512</v>
      </c>
      <c r="G99">
        <v>3.5705994553828009</v>
      </c>
      <c r="H99" t="s">
        <v>352</v>
      </c>
      <c r="I99">
        <v>6384</v>
      </c>
      <c r="J99">
        <v>51796</v>
      </c>
    </row>
    <row r="100" spans="1:10" x14ac:dyDescent="0.3">
      <c r="A100">
        <v>45614</v>
      </c>
      <c r="B100">
        <v>25</v>
      </c>
      <c r="C100" t="s">
        <v>18</v>
      </c>
      <c r="D100">
        <v>3355</v>
      </c>
      <c r="E100">
        <v>176</v>
      </c>
      <c r="F100">
        <v>640691</v>
      </c>
      <c r="G100">
        <v>12.426427091999111</v>
      </c>
      <c r="H100" t="s">
        <v>352</v>
      </c>
      <c r="I100">
        <v>3179</v>
      </c>
      <c r="J100">
        <v>40268</v>
      </c>
    </row>
    <row r="101" spans="1:10" x14ac:dyDescent="0.3">
      <c r="A101">
        <v>45614</v>
      </c>
      <c r="B101">
        <v>25</v>
      </c>
      <c r="C101" t="s">
        <v>18</v>
      </c>
      <c r="D101">
        <v>6887</v>
      </c>
      <c r="E101">
        <v>418</v>
      </c>
      <c r="F101">
        <v>647160</v>
      </c>
      <c r="G101">
        <v>20.240280610668151</v>
      </c>
      <c r="H101" t="s">
        <v>352</v>
      </c>
      <c r="I101">
        <v>6469</v>
      </c>
      <c r="J101">
        <v>18329</v>
      </c>
    </row>
    <row r="102" spans="1:10" x14ac:dyDescent="0.3">
      <c r="A102">
        <v>45621</v>
      </c>
      <c r="B102">
        <v>26</v>
      </c>
      <c r="C102" t="s">
        <v>22</v>
      </c>
      <c r="D102">
        <v>8961</v>
      </c>
      <c r="E102">
        <v>476</v>
      </c>
      <c r="F102">
        <v>655645</v>
      </c>
      <c r="G102">
        <v>15.458517947974901</v>
      </c>
      <c r="H102" t="s">
        <v>352</v>
      </c>
      <c r="I102">
        <v>8485</v>
      </c>
      <c r="J102">
        <v>44865</v>
      </c>
    </row>
    <row r="103" spans="1:10" x14ac:dyDescent="0.3">
      <c r="A103">
        <v>45621</v>
      </c>
      <c r="B103">
        <v>26</v>
      </c>
      <c r="C103" t="s">
        <v>22</v>
      </c>
      <c r="D103">
        <v>6827</v>
      </c>
      <c r="E103">
        <v>775</v>
      </c>
      <c r="F103">
        <v>661697</v>
      </c>
      <c r="G103">
        <v>15.96622018839439</v>
      </c>
      <c r="H103" t="s">
        <v>350</v>
      </c>
      <c r="I103">
        <v>6052</v>
      </c>
      <c r="J103">
        <v>56850</v>
      </c>
    </row>
    <row r="104" spans="1:10" x14ac:dyDescent="0.3">
      <c r="A104">
        <v>45621</v>
      </c>
      <c r="B104">
        <v>26</v>
      </c>
      <c r="C104" t="s">
        <v>18</v>
      </c>
      <c r="D104">
        <v>9737</v>
      </c>
      <c r="E104">
        <v>792</v>
      </c>
      <c r="F104">
        <v>670642</v>
      </c>
      <c r="G104">
        <v>5.301785453341723</v>
      </c>
      <c r="H104" t="s">
        <v>350</v>
      </c>
      <c r="I104">
        <v>8945</v>
      </c>
      <c r="J104">
        <v>56698</v>
      </c>
    </row>
    <row r="105" spans="1:10" x14ac:dyDescent="0.3">
      <c r="A105">
        <v>45621</v>
      </c>
      <c r="B105">
        <v>26</v>
      </c>
      <c r="C105" t="s">
        <v>13</v>
      </c>
      <c r="D105">
        <v>5719</v>
      </c>
      <c r="E105">
        <v>576</v>
      </c>
      <c r="F105">
        <v>675785</v>
      </c>
      <c r="G105">
        <v>10.21656296011305</v>
      </c>
      <c r="H105" t="s">
        <v>351</v>
      </c>
      <c r="I105">
        <v>5143</v>
      </c>
      <c r="J105">
        <v>38272</v>
      </c>
    </row>
    <row r="106" spans="1:10" x14ac:dyDescent="0.3">
      <c r="A106">
        <v>45628</v>
      </c>
      <c r="B106">
        <v>27</v>
      </c>
      <c r="C106" t="s">
        <v>22</v>
      </c>
      <c r="D106">
        <v>1593</v>
      </c>
      <c r="E106">
        <v>224</v>
      </c>
      <c r="F106">
        <v>677154</v>
      </c>
      <c r="G106">
        <v>4.1495730660972248</v>
      </c>
      <c r="H106" t="s">
        <v>351</v>
      </c>
      <c r="I106">
        <v>1369</v>
      </c>
      <c r="J106">
        <v>52845</v>
      </c>
    </row>
    <row r="107" spans="1:10" x14ac:dyDescent="0.3">
      <c r="A107">
        <v>45628</v>
      </c>
      <c r="B107">
        <v>27</v>
      </c>
      <c r="C107" t="s">
        <v>18</v>
      </c>
      <c r="D107">
        <v>5839</v>
      </c>
      <c r="E107">
        <v>437</v>
      </c>
      <c r="F107">
        <v>682556</v>
      </c>
      <c r="G107">
        <v>17.44750613869045</v>
      </c>
      <c r="H107" t="s">
        <v>352</v>
      </c>
      <c r="I107">
        <v>5402</v>
      </c>
      <c r="J107">
        <v>16397</v>
      </c>
    </row>
    <row r="108" spans="1:10" x14ac:dyDescent="0.3">
      <c r="A108">
        <v>45628</v>
      </c>
      <c r="B108">
        <v>27</v>
      </c>
      <c r="C108" t="s">
        <v>22</v>
      </c>
      <c r="D108">
        <v>8394</v>
      </c>
      <c r="E108">
        <v>764</v>
      </c>
      <c r="F108">
        <v>690186</v>
      </c>
      <c r="G108">
        <v>6.3556780346167558</v>
      </c>
      <c r="H108" t="s">
        <v>352</v>
      </c>
      <c r="I108">
        <v>7630</v>
      </c>
      <c r="J108">
        <v>42373</v>
      </c>
    </row>
    <row r="109" spans="1:10" x14ac:dyDescent="0.3">
      <c r="A109">
        <v>45628</v>
      </c>
      <c r="B109">
        <v>27</v>
      </c>
      <c r="C109" t="s">
        <v>13</v>
      </c>
      <c r="D109">
        <v>4493</v>
      </c>
      <c r="E109">
        <v>564</v>
      </c>
      <c r="F109">
        <v>694115</v>
      </c>
      <c r="G109">
        <v>16.625487131094989</v>
      </c>
      <c r="H109" t="s">
        <v>349</v>
      </c>
      <c r="I109">
        <v>3929</v>
      </c>
      <c r="J109">
        <v>45525</v>
      </c>
    </row>
    <row r="110" spans="1:10" x14ac:dyDescent="0.3">
      <c r="A110">
        <v>45635</v>
      </c>
      <c r="B110">
        <v>28</v>
      </c>
      <c r="C110" t="s">
        <v>40</v>
      </c>
      <c r="D110">
        <v>7164</v>
      </c>
      <c r="E110">
        <v>522</v>
      </c>
      <c r="F110">
        <v>700757</v>
      </c>
      <c r="G110">
        <v>13.449169969047761</v>
      </c>
      <c r="H110" t="s">
        <v>349</v>
      </c>
      <c r="I110">
        <v>6642</v>
      </c>
      <c r="J110">
        <v>34570</v>
      </c>
    </row>
    <row r="111" spans="1:10" x14ac:dyDescent="0.3">
      <c r="A111">
        <v>45635</v>
      </c>
      <c r="B111">
        <v>28</v>
      </c>
      <c r="C111" t="s">
        <v>22</v>
      </c>
      <c r="D111">
        <v>3672</v>
      </c>
      <c r="E111">
        <v>211</v>
      </c>
      <c r="F111">
        <v>704218</v>
      </c>
      <c r="G111">
        <v>12.35057894004413</v>
      </c>
      <c r="H111" t="s">
        <v>348</v>
      </c>
      <c r="I111">
        <v>3461</v>
      </c>
      <c r="J111">
        <v>28284</v>
      </c>
    </row>
    <row r="112" spans="1:10" x14ac:dyDescent="0.3">
      <c r="A112">
        <v>45635</v>
      </c>
      <c r="B112">
        <v>28</v>
      </c>
      <c r="C112" t="s">
        <v>13</v>
      </c>
      <c r="D112">
        <v>5200</v>
      </c>
      <c r="E112">
        <v>410</v>
      </c>
      <c r="F112">
        <v>709008</v>
      </c>
      <c r="G112">
        <v>12.913394489201821</v>
      </c>
      <c r="H112" t="s">
        <v>348</v>
      </c>
      <c r="I112">
        <v>4790</v>
      </c>
      <c r="J112">
        <v>28994</v>
      </c>
    </row>
    <row r="113" spans="1:10" x14ac:dyDescent="0.3">
      <c r="A113">
        <v>45635</v>
      </c>
      <c r="B113">
        <v>28</v>
      </c>
      <c r="C113" t="s">
        <v>18</v>
      </c>
      <c r="D113">
        <v>1016</v>
      </c>
      <c r="E113">
        <v>67</v>
      </c>
      <c r="F113">
        <v>709957</v>
      </c>
      <c r="G113">
        <v>20.774215903216671</v>
      </c>
      <c r="H113" t="s">
        <v>348</v>
      </c>
      <c r="I113">
        <v>949</v>
      </c>
      <c r="J113">
        <v>33284</v>
      </c>
    </row>
    <row r="114" spans="1:10" x14ac:dyDescent="0.3">
      <c r="A114">
        <v>45642</v>
      </c>
      <c r="B114">
        <v>29</v>
      </c>
      <c r="C114" t="s">
        <v>22</v>
      </c>
      <c r="D114">
        <v>4191</v>
      </c>
      <c r="E114">
        <v>599</v>
      </c>
      <c r="F114">
        <v>713549</v>
      </c>
      <c r="G114">
        <v>11.56416728213479</v>
      </c>
      <c r="H114" t="s">
        <v>349</v>
      </c>
      <c r="I114">
        <v>3592</v>
      </c>
      <c r="J114">
        <v>27833</v>
      </c>
    </row>
    <row r="115" spans="1:10" x14ac:dyDescent="0.3">
      <c r="A115">
        <v>45642</v>
      </c>
      <c r="B115">
        <v>29</v>
      </c>
      <c r="C115" t="s">
        <v>22</v>
      </c>
      <c r="D115">
        <v>1392</v>
      </c>
      <c r="E115">
        <v>182</v>
      </c>
      <c r="F115">
        <v>714759</v>
      </c>
      <c r="G115">
        <v>5.9603306848881932</v>
      </c>
      <c r="H115" t="s">
        <v>349</v>
      </c>
      <c r="I115">
        <v>1210</v>
      </c>
      <c r="J115">
        <v>35122</v>
      </c>
    </row>
    <row r="116" spans="1:10" x14ac:dyDescent="0.3">
      <c r="A116">
        <v>45642</v>
      </c>
      <c r="B116">
        <v>29</v>
      </c>
      <c r="C116" t="s">
        <v>18</v>
      </c>
      <c r="D116">
        <v>9616</v>
      </c>
      <c r="E116">
        <v>1089</v>
      </c>
      <c r="F116">
        <v>723286</v>
      </c>
      <c r="G116">
        <v>19.25863351426683</v>
      </c>
      <c r="H116" t="s">
        <v>352</v>
      </c>
      <c r="I116">
        <v>8527</v>
      </c>
      <c r="J116">
        <v>15017</v>
      </c>
    </row>
    <row r="117" spans="1:10" x14ac:dyDescent="0.3">
      <c r="A117">
        <v>45642</v>
      </c>
      <c r="B117">
        <v>29</v>
      </c>
      <c r="C117" t="s">
        <v>40</v>
      </c>
      <c r="D117">
        <v>7272</v>
      </c>
      <c r="E117">
        <v>997</v>
      </c>
      <c r="F117">
        <v>729561</v>
      </c>
      <c r="G117">
        <v>13.428486445958599</v>
      </c>
      <c r="H117" t="s">
        <v>352</v>
      </c>
      <c r="I117">
        <v>6275</v>
      </c>
      <c r="J117">
        <v>26370</v>
      </c>
    </row>
    <row r="118" spans="1:10" x14ac:dyDescent="0.3">
      <c r="A118">
        <v>45649</v>
      </c>
      <c r="B118">
        <v>30</v>
      </c>
      <c r="C118" t="s">
        <v>18</v>
      </c>
      <c r="D118">
        <v>1571</v>
      </c>
      <c r="E118">
        <v>204</v>
      </c>
      <c r="F118">
        <v>730928</v>
      </c>
      <c r="G118">
        <v>19.449384891535139</v>
      </c>
      <c r="H118" t="s">
        <v>350</v>
      </c>
      <c r="I118">
        <v>1367</v>
      </c>
      <c r="J118">
        <v>39252</v>
      </c>
    </row>
    <row r="119" spans="1:10" x14ac:dyDescent="0.3">
      <c r="A119">
        <v>45649</v>
      </c>
      <c r="B119">
        <v>30</v>
      </c>
      <c r="C119" t="s">
        <v>22</v>
      </c>
      <c r="D119">
        <v>4631</v>
      </c>
      <c r="E119">
        <v>317</v>
      </c>
      <c r="F119">
        <v>735242</v>
      </c>
      <c r="G119">
        <v>1.381177897889402</v>
      </c>
      <c r="H119" t="s">
        <v>350</v>
      </c>
      <c r="I119">
        <v>4314</v>
      </c>
      <c r="J119">
        <v>17999</v>
      </c>
    </row>
    <row r="120" spans="1:10" x14ac:dyDescent="0.3">
      <c r="A120">
        <v>45649</v>
      </c>
      <c r="B120">
        <v>30</v>
      </c>
      <c r="C120" t="s">
        <v>18</v>
      </c>
      <c r="D120">
        <v>7172</v>
      </c>
      <c r="E120">
        <v>998</v>
      </c>
      <c r="F120">
        <v>741416</v>
      </c>
      <c r="G120">
        <v>18.0667803230575</v>
      </c>
      <c r="H120" t="s">
        <v>350</v>
      </c>
      <c r="I120">
        <v>6174</v>
      </c>
      <c r="J120">
        <v>32436</v>
      </c>
    </row>
    <row r="121" spans="1:10" x14ac:dyDescent="0.3">
      <c r="A121">
        <v>45649</v>
      </c>
      <c r="B121">
        <v>30</v>
      </c>
      <c r="C121" t="s">
        <v>13</v>
      </c>
      <c r="D121">
        <v>8177</v>
      </c>
      <c r="E121">
        <v>849</v>
      </c>
      <c r="F121">
        <v>748744</v>
      </c>
      <c r="G121">
        <v>10.34986590877523</v>
      </c>
      <c r="H121" t="s">
        <v>350</v>
      </c>
      <c r="I121">
        <v>7328</v>
      </c>
      <c r="J121">
        <v>52963</v>
      </c>
    </row>
    <row r="122" spans="1:10" x14ac:dyDescent="0.3">
      <c r="A122">
        <v>45656</v>
      </c>
      <c r="B122">
        <v>31</v>
      </c>
      <c r="C122" t="s">
        <v>18</v>
      </c>
      <c r="D122">
        <v>9433</v>
      </c>
      <c r="E122">
        <v>1233</v>
      </c>
      <c r="F122">
        <v>756944</v>
      </c>
      <c r="G122">
        <v>11.391727789638329</v>
      </c>
      <c r="H122" t="s">
        <v>352</v>
      </c>
      <c r="I122">
        <v>8200</v>
      </c>
      <c r="J122">
        <v>12096</v>
      </c>
    </row>
    <row r="123" spans="1:10" x14ac:dyDescent="0.3">
      <c r="A123">
        <v>45656</v>
      </c>
      <c r="B123">
        <v>31</v>
      </c>
      <c r="C123" t="s">
        <v>22</v>
      </c>
      <c r="D123">
        <v>4897</v>
      </c>
      <c r="E123">
        <v>683</v>
      </c>
      <c r="F123">
        <v>761158</v>
      </c>
      <c r="G123">
        <v>15.06231294947961</v>
      </c>
      <c r="H123" t="s">
        <v>352</v>
      </c>
      <c r="I123">
        <v>4214</v>
      </c>
      <c r="J123">
        <v>58201</v>
      </c>
    </row>
    <row r="124" spans="1:10" x14ac:dyDescent="0.3">
      <c r="A124">
        <v>45656</v>
      </c>
      <c r="B124">
        <v>31</v>
      </c>
      <c r="C124" t="s">
        <v>18</v>
      </c>
      <c r="D124">
        <v>9123</v>
      </c>
      <c r="E124">
        <v>746</v>
      </c>
      <c r="F124">
        <v>769535</v>
      </c>
      <c r="G124">
        <v>6.3086149427901264</v>
      </c>
      <c r="H124" t="s">
        <v>352</v>
      </c>
      <c r="I124">
        <v>8377</v>
      </c>
      <c r="J124">
        <v>35279</v>
      </c>
    </row>
    <row r="125" spans="1:10" x14ac:dyDescent="0.3">
      <c r="A125">
        <v>45656</v>
      </c>
      <c r="B125">
        <v>31</v>
      </c>
      <c r="C125" t="s">
        <v>40</v>
      </c>
      <c r="D125">
        <v>3279</v>
      </c>
      <c r="E125">
        <v>200</v>
      </c>
      <c r="F125">
        <v>772614</v>
      </c>
      <c r="G125">
        <v>5.0212654702089274</v>
      </c>
      <c r="H125" t="s">
        <v>352</v>
      </c>
      <c r="I125">
        <v>3079</v>
      </c>
      <c r="J125">
        <v>53363</v>
      </c>
    </row>
    <row r="126" spans="1:10" x14ac:dyDescent="0.3">
      <c r="A126">
        <v>45663</v>
      </c>
      <c r="B126">
        <v>32</v>
      </c>
      <c r="C126" t="s">
        <v>18</v>
      </c>
      <c r="D126">
        <v>9980</v>
      </c>
      <c r="E126">
        <v>726</v>
      </c>
      <c r="F126">
        <v>781868</v>
      </c>
      <c r="G126">
        <v>4.0220344099003924</v>
      </c>
      <c r="H126" t="s">
        <v>348</v>
      </c>
      <c r="I126">
        <v>9254</v>
      </c>
      <c r="J126">
        <v>58709</v>
      </c>
    </row>
    <row r="127" spans="1:10" x14ac:dyDescent="0.3">
      <c r="A127">
        <v>45663</v>
      </c>
      <c r="B127">
        <v>32</v>
      </c>
      <c r="C127" t="s">
        <v>40</v>
      </c>
      <c r="D127">
        <v>8451</v>
      </c>
      <c r="E127">
        <v>783</v>
      </c>
      <c r="F127">
        <v>789536</v>
      </c>
      <c r="G127">
        <v>12.407287318121019</v>
      </c>
      <c r="H127" t="s">
        <v>348</v>
      </c>
      <c r="I127">
        <v>7668</v>
      </c>
      <c r="J127">
        <v>36201</v>
      </c>
    </row>
    <row r="128" spans="1:10" x14ac:dyDescent="0.3">
      <c r="A128">
        <v>45663</v>
      </c>
      <c r="B128">
        <v>32</v>
      </c>
      <c r="C128" t="s">
        <v>13</v>
      </c>
      <c r="D128">
        <v>9906</v>
      </c>
      <c r="E128">
        <v>1305</v>
      </c>
      <c r="F128">
        <v>798137</v>
      </c>
      <c r="G128">
        <v>9.1811305577864442</v>
      </c>
      <c r="H128" t="s">
        <v>352</v>
      </c>
      <c r="I128">
        <v>8601</v>
      </c>
      <c r="J128">
        <v>29715</v>
      </c>
    </row>
    <row r="129" spans="1:10" x14ac:dyDescent="0.3">
      <c r="A129">
        <v>45663</v>
      </c>
      <c r="B129">
        <v>32</v>
      </c>
      <c r="C129" t="s">
        <v>40</v>
      </c>
      <c r="D129">
        <v>1775</v>
      </c>
      <c r="E129">
        <v>241</v>
      </c>
      <c r="F129">
        <v>799671</v>
      </c>
      <c r="G129">
        <v>8.1379717408784362</v>
      </c>
      <c r="H129" t="s">
        <v>352</v>
      </c>
      <c r="I129">
        <v>1534</v>
      </c>
      <c r="J129">
        <v>39309</v>
      </c>
    </row>
    <row r="130" spans="1:10" x14ac:dyDescent="0.3">
      <c r="A130">
        <v>45670</v>
      </c>
      <c r="B130">
        <v>33</v>
      </c>
      <c r="C130" t="s">
        <v>18</v>
      </c>
      <c r="D130">
        <v>7869</v>
      </c>
      <c r="E130">
        <v>398</v>
      </c>
      <c r="F130">
        <v>807142</v>
      </c>
      <c r="G130">
        <v>15.211945357818079</v>
      </c>
      <c r="H130" t="s">
        <v>351</v>
      </c>
      <c r="I130">
        <v>7471</v>
      </c>
      <c r="J130">
        <v>25078</v>
      </c>
    </row>
    <row r="131" spans="1:10" x14ac:dyDescent="0.3">
      <c r="A131">
        <v>45670</v>
      </c>
      <c r="B131">
        <v>33</v>
      </c>
      <c r="C131" t="s">
        <v>22</v>
      </c>
      <c r="D131">
        <v>3247</v>
      </c>
      <c r="E131">
        <v>328</v>
      </c>
      <c r="F131">
        <v>810061</v>
      </c>
      <c r="G131">
        <v>13.941172331466399</v>
      </c>
      <c r="H131" t="s">
        <v>351</v>
      </c>
      <c r="I131">
        <v>2919</v>
      </c>
      <c r="J131">
        <v>15105</v>
      </c>
    </row>
    <row r="132" spans="1:10" x14ac:dyDescent="0.3">
      <c r="A132">
        <v>45670</v>
      </c>
      <c r="B132">
        <v>33</v>
      </c>
      <c r="C132" t="s">
        <v>40</v>
      </c>
      <c r="D132">
        <v>8088</v>
      </c>
      <c r="E132">
        <v>742</v>
      </c>
      <c r="F132">
        <v>817407</v>
      </c>
      <c r="G132">
        <v>14.664542877660701</v>
      </c>
      <c r="H132" t="s">
        <v>348</v>
      </c>
      <c r="I132">
        <v>7346</v>
      </c>
      <c r="J132">
        <v>39312</v>
      </c>
    </row>
    <row r="133" spans="1:10" x14ac:dyDescent="0.3">
      <c r="A133">
        <v>45670</v>
      </c>
      <c r="B133">
        <v>33</v>
      </c>
      <c r="C133" t="s">
        <v>13</v>
      </c>
      <c r="D133">
        <v>1078</v>
      </c>
      <c r="E133">
        <v>77</v>
      </c>
      <c r="F133">
        <v>818408</v>
      </c>
      <c r="G133">
        <v>18.236747441373989</v>
      </c>
      <c r="H133" t="s">
        <v>348</v>
      </c>
      <c r="I133">
        <v>1001</v>
      </c>
      <c r="J133">
        <v>12839</v>
      </c>
    </row>
    <row r="134" spans="1:10" x14ac:dyDescent="0.3">
      <c r="A134">
        <v>45677</v>
      </c>
      <c r="B134">
        <v>34</v>
      </c>
      <c r="C134" t="s">
        <v>40</v>
      </c>
      <c r="D134">
        <v>9080</v>
      </c>
      <c r="E134">
        <v>562</v>
      </c>
      <c r="F134">
        <v>826926</v>
      </c>
      <c r="G134">
        <v>7.1083748727213809</v>
      </c>
      <c r="H134" t="s">
        <v>352</v>
      </c>
      <c r="I134">
        <v>8518</v>
      </c>
      <c r="J134">
        <v>13384</v>
      </c>
    </row>
    <row r="135" spans="1:10" x14ac:dyDescent="0.3">
      <c r="A135">
        <v>45677</v>
      </c>
      <c r="B135">
        <v>34</v>
      </c>
      <c r="C135" t="s">
        <v>40</v>
      </c>
      <c r="D135">
        <v>8099</v>
      </c>
      <c r="E135">
        <v>678</v>
      </c>
      <c r="F135">
        <v>834347</v>
      </c>
      <c r="G135">
        <v>7.6464588474579518</v>
      </c>
      <c r="H135" t="s">
        <v>352</v>
      </c>
      <c r="I135">
        <v>7421</v>
      </c>
      <c r="J135">
        <v>53619</v>
      </c>
    </row>
    <row r="136" spans="1:10" x14ac:dyDescent="0.3">
      <c r="A136">
        <v>45677</v>
      </c>
      <c r="B136">
        <v>34</v>
      </c>
      <c r="C136" t="s">
        <v>40</v>
      </c>
      <c r="D136">
        <v>4926</v>
      </c>
      <c r="E136">
        <v>710</v>
      </c>
      <c r="F136">
        <v>838563</v>
      </c>
      <c r="G136">
        <v>12.96217457722318</v>
      </c>
      <c r="H136" t="s">
        <v>348</v>
      </c>
      <c r="I136">
        <v>4216</v>
      </c>
      <c r="J136">
        <v>52821</v>
      </c>
    </row>
    <row r="137" spans="1:10" x14ac:dyDescent="0.3">
      <c r="A137">
        <v>45677</v>
      </c>
      <c r="B137">
        <v>34</v>
      </c>
      <c r="C137" t="s">
        <v>13</v>
      </c>
      <c r="D137">
        <v>8340</v>
      </c>
      <c r="E137">
        <v>686</v>
      </c>
      <c r="F137">
        <v>846217</v>
      </c>
      <c r="G137">
        <v>7.201344336027284</v>
      </c>
      <c r="H137" t="s">
        <v>348</v>
      </c>
      <c r="I137">
        <v>7654</v>
      </c>
      <c r="J137">
        <v>23493</v>
      </c>
    </row>
    <row r="138" spans="1:10" x14ac:dyDescent="0.3">
      <c r="A138">
        <v>45684</v>
      </c>
      <c r="B138">
        <v>35</v>
      </c>
      <c r="C138" t="s">
        <v>18</v>
      </c>
      <c r="D138">
        <v>8083</v>
      </c>
      <c r="E138">
        <v>823</v>
      </c>
      <c r="F138">
        <v>853477</v>
      </c>
      <c r="G138">
        <v>4.6300017457998282</v>
      </c>
      <c r="H138" t="s">
        <v>349</v>
      </c>
      <c r="I138">
        <v>7260</v>
      </c>
      <c r="J138">
        <v>27069</v>
      </c>
    </row>
    <row r="139" spans="1:10" x14ac:dyDescent="0.3">
      <c r="A139">
        <v>45684</v>
      </c>
      <c r="B139">
        <v>35</v>
      </c>
      <c r="C139" t="s">
        <v>40</v>
      </c>
      <c r="D139">
        <v>7230</v>
      </c>
      <c r="E139">
        <v>869</v>
      </c>
      <c r="F139">
        <v>859838</v>
      </c>
      <c r="G139">
        <v>7.0117859410726204</v>
      </c>
      <c r="H139" t="s">
        <v>349</v>
      </c>
      <c r="I139">
        <v>6361</v>
      </c>
      <c r="J139">
        <v>56907</v>
      </c>
    </row>
    <row r="140" spans="1:10" x14ac:dyDescent="0.3">
      <c r="A140">
        <v>45684</v>
      </c>
      <c r="B140">
        <v>35</v>
      </c>
      <c r="C140" t="s">
        <v>40</v>
      </c>
      <c r="D140">
        <v>5940</v>
      </c>
      <c r="E140">
        <v>512</v>
      </c>
      <c r="F140">
        <v>865266</v>
      </c>
      <c r="G140">
        <v>15.7972230504839</v>
      </c>
      <c r="H140" t="s">
        <v>352</v>
      </c>
      <c r="I140">
        <v>5428</v>
      </c>
      <c r="J140">
        <v>17531</v>
      </c>
    </row>
    <row r="141" spans="1:10" x14ac:dyDescent="0.3">
      <c r="A141">
        <v>45684</v>
      </c>
      <c r="B141">
        <v>35</v>
      </c>
      <c r="C141" t="s">
        <v>22</v>
      </c>
      <c r="D141">
        <v>4271</v>
      </c>
      <c r="E141">
        <v>628</v>
      </c>
      <c r="F141">
        <v>868909</v>
      </c>
      <c r="G141">
        <v>11.124410036033691</v>
      </c>
      <c r="H141" t="s">
        <v>352</v>
      </c>
      <c r="I141">
        <v>3643</v>
      </c>
      <c r="J141">
        <v>47051</v>
      </c>
    </row>
    <row r="142" spans="1:10" x14ac:dyDescent="0.3">
      <c r="A142">
        <v>45691</v>
      </c>
      <c r="B142">
        <v>36</v>
      </c>
      <c r="C142" t="s">
        <v>13</v>
      </c>
      <c r="D142">
        <v>4456</v>
      </c>
      <c r="E142">
        <v>651</v>
      </c>
      <c r="F142">
        <v>872714</v>
      </c>
      <c r="G142">
        <v>9.5052903929580594</v>
      </c>
      <c r="H142" t="s">
        <v>350</v>
      </c>
      <c r="I142">
        <v>3805</v>
      </c>
      <c r="J142">
        <v>17736</v>
      </c>
    </row>
    <row r="143" spans="1:10" x14ac:dyDescent="0.3">
      <c r="A143">
        <v>45691</v>
      </c>
      <c r="B143">
        <v>36</v>
      </c>
      <c r="C143" t="s">
        <v>40</v>
      </c>
      <c r="D143">
        <v>8788</v>
      </c>
      <c r="E143">
        <v>660</v>
      </c>
      <c r="F143">
        <v>880842</v>
      </c>
      <c r="G143">
        <v>3.7175793161543158</v>
      </c>
      <c r="H143" t="s">
        <v>350</v>
      </c>
      <c r="I143">
        <v>8128</v>
      </c>
      <c r="J143">
        <v>17710</v>
      </c>
    </row>
    <row r="144" spans="1:10" x14ac:dyDescent="0.3">
      <c r="A144">
        <v>45691</v>
      </c>
      <c r="B144">
        <v>36</v>
      </c>
      <c r="C144" t="s">
        <v>13</v>
      </c>
      <c r="D144">
        <v>9599</v>
      </c>
      <c r="E144">
        <v>957</v>
      </c>
      <c r="F144">
        <v>889484</v>
      </c>
      <c r="G144">
        <v>8.768004820772493</v>
      </c>
      <c r="H144" t="s">
        <v>352</v>
      </c>
      <c r="I144">
        <v>8642</v>
      </c>
      <c r="J144">
        <v>11619</v>
      </c>
    </row>
    <row r="145" spans="1:10" x14ac:dyDescent="0.3">
      <c r="A145">
        <v>45691</v>
      </c>
      <c r="B145">
        <v>36</v>
      </c>
      <c r="C145" t="s">
        <v>40</v>
      </c>
      <c r="D145">
        <v>8650</v>
      </c>
      <c r="E145">
        <v>692</v>
      </c>
      <c r="F145">
        <v>897442</v>
      </c>
      <c r="G145">
        <v>7.6673478620345374</v>
      </c>
      <c r="H145" t="s">
        <v>352</v>
      </c>
      <c r="I145">
        <v>7958</v>
      </c>
      <c r="J145">
        <v>23975</v>
      </c>
    </row>
    <row r="146" spans="1:10" x14ac:dyDescent="0.3">
      <c r="A146">
        <v>45698</v>
      </c>
      <c r="B146">
        <v>37</v>
      </c>
      <c r="C146" t="s">
        <v>18</v>
      </c>
      <c r="D146">
        <v>3711</v>
      </c>
      <c r="E146">
        <v>291</v>
      </c>
      <c r="F146">
        <v>900862</v>
      </c>
      <c r="G146">
        <v>14.24879726306582</v>
      </c>
      <c r="H146" t="s">
        <v>350</v>
      </c>
      <c r="I146">
        <v>3420</v>
      </c>
      <c r="J146">
        <v>55603</v>
      </c>
    </row>
    <row r="147" spans="1:10" x14ac:dyDescent="0.3">
      <c r="A147">
        <v>45698</v>
      </c>
      <c r="B147">
        <v>37</v>
      </c>
      <c r="C147" t="s">
        <v>18</v>
      </c>
      <c r="D147">
        <v>2668</v>
      </c>
      <c r="E147">
        <v>143</v>
      </c>
      <c r="F147">
        <v>903387</v>
      </c>
      <c r="G147">
        <v>15.903372530266649</v>
      </c>
      <c r="H147" t="s">
        <v>350</v>
      </c>
      <c r="I147">
        <v>2525</v>
      </c>
      <c r="J147">
        <v>33252</v>
      </c>
    </row>
    <row r="148" spans="1:10" x14ac:dyDescent="0.3">
      <c r="A148">
        <v>45698</v>
      </c>
      <c r="B148">
        <v>37</v>
      </c>
      <c r="C148" t="s">
        <v>40</v>
      </c>
      <c r="D148">
        <v>1147</v>
      </c>
      <c r="E148">
        <v>127</v>
      </c>
      <c r="F148">
        <v>904407</v>
      </c>
      <c r="G148">
        <v>1.3997016829812241</v>
      </c>
      <c r="H148" t="s">
        <v>351</v>
      </c>
      <c r="I148">
        <v>1020</v>
      </c>
      <c r="J148">
        <v>25261</v>
      </c>
    </row>
    <row r="149" spans="1:10" x14ac:dyDescent="0.3">
      <c r="A149">
        <v>45698</v>
      </c>
      <c r="B149">
        <v>37</v>
      </c>
      <c r="C149" t="s">
        <v>18</v>
      </c>
      <c r="D149">
        <v>7420</v>
      </c>
      <c r="E149">
        <v>743</v>
      </c>
      <c r="F149">
        <v>911084</v>
      </c>
      <c r="G149">
        <v>10.593534734448189</v>
      </c>
      <c r="H149" t="s">
        <v>351</v>
      </c>
      <c r="I149">
        <v>6677</v>
      </c>
      <c r="J149">
        <v>11431</v>
      </c>
    </row>
    <row r="150" spans="1:10" x14ac:dyDescent="0.3">
      <c r="A150">
        <v>45705</v>
      </c>
      <c r="B150">
        <v>38</v>
      </c>
      <c r="C150" t="s">
        <v>40</v>
      </c>
      <c r="D150">
        <v>1365</v>
      </c>
      <c r="E150">
        <v>75</v>
      </c>
      <c r="F150">
        <v>912374</v>
      </c>
      <c r="G150">
        <v>9.2688963078737441</v>
      </c>
      <c r="H150" t="s">
        <v>350</v>
      </c>
      <c r="I150">
        <v>1290</v>
      </c>
      <c r="J150">
        <v>19067</v>
      </c>
    </row>
    <row r="151" spans="1:10" x14ac:dyDescent="0.3">
      <c r="A151">
        <v>45705</v>
      </c>
      <c r="B151">
        <v>38</v>
      </c>
      <c r="C151" t="s">
        <v>18</v>
      </c>
      <c r="D151">
        <v>5531</v>
      </c>
      <c r="E151">
        <v>430</v>
      </c>
      <c r="F151">
        <v>917475</v>
      </c>
      <c r="G151">
        <v>2.7289026948963189</v>
      </c>
      <c r="H151" t="s">
        <v>350</v>
      </c>
      <c r="I151">
        <v>5101</v>
      </c>
      <c r="J151">
        <v>47481</v>
      </c>
    </row>
    <row r="152" spans="1:10" x14ac:dyDescent="0.3">
      <c r="A152">
        <v>45705</v>
      </c>
      <c r="B152">
        <v>38</v>
      </c>
      <c r="C152" t="s">
        <v>22</v>
      </c>
      <c r="D152">
        <v>6330</v>
      </c>
      <c r="E152">
        <v>891</v>
      </c>
      <c r="F152">
        <v>922914</v>
      </c>
      <c r="G152">
        <v>14.789893749580139</v>
      </c>
      <c r="H152" t="s">
        <v>349</v>
      </c>
      <c r="I152">
        <v>5439</v>
      </c>
      <c r="J152">
        <v>37037</v>
      </c>
    </row>
    <row r="153" spans="1:10" x14ac:dyDescent="0.3">
      <c r="A153">
        <v>45705</v>
      </c>
      <c r="B153">
        <v>38</v>
      </c>
      <c r="C153" t="s">
        <v>22</v>
      </c>
      <c r="D153">
        <v>6510</v>
      </c>
      <c r="E153">
        <v>481</v>
      </c>
      <c r="F153">
        <v>928943</v>
      </c>
      <c r="G153">
        <v>2.3800168578696428</v>
      </c>
      <c r="H153" t="s">
        <v>349</v>
      </c>
      <c r="I153">
        <v>6029</v>
      </c>
      <c r="J153">
        <v>19557</v>
      </c>
    </row>
    <row r="154" spans="1:10" x14ac:dyDescent="0.3">
      <c r="A154">
        <v>45712</v>
      </c>
      <c r="B154">
        <v>39</v>
      </c>
      <c r="C154" t="s">
        <v>22</v>
      </c>
      <c r="D154">
        <v>9754</v>
      </c>
      <c r="E154">
        <v>629</v>
      </c>
      <c r="F154">
        <v>938068</v>
      </c>
      <c r="G154">
        <v>3.4123325814333292</v>
      </c>
      <c r="H154" t="s">
        <v>349</v>
      </c>
      <c r="I154">
        <v>9125</v>
      </c>
      <c r="J154">
        <v>19435</v>
      </c>
    </row>
    <row r="155" spans="1:10" x14ac:dyDescent="0.3">
      <c r="A155">
        <v>45712</v>
      </c>
      <c r="B155">
        <v>39</v>
      </c>
      <c r="C155" t="s">
        <v>13</v>
      </c>
      <c r="D155">
        <v>9964</v>
      </c>
      <c r="E155">
        <v>985</v>
      </c>
      <c r="F155">
        <v>947047</v>
      </c>
      <c r="G155">
        <v>1.9837452629066989</v>
      </c>
      <c r="H155" t="s">
        <v>349</v>
      </c>
      <c r="I155">
        <v>8979</v>
      </c>
      <c r="J155">
        <v>47766</v>
      </c>
    </row>
    <row r="156" spans="1:10" x14ac:dyDescent="0.3">
      <c r="A156">
        <v>45712</v>
      </c>
      <c r="B156">
        <v>39</v>
      </c>
      <c r="C156" t="s">
        <v>13</v>
      </c>
      <c r="D156">
        <v>7493</v>
      </c>
      <c r="E156">
        <v>1113</v>
      </c>
      <c r="F156">
        <v>953427</v>
      </c>
      <c r="G156">
        <v>15.684892498324469</v>
      </c>
      <c r="H156" t="s">
        <v>348</v>
      </c>
      <c r="I156">
        <v>6380</v>
      </c>
      <c r="J156">
        <v>10162</v>
      </c>
    </row>
    <row r="157" spans="1:10" x14ac:dyDescent="0.3">
      <c r="A157">
        <v>45712</v>
      </c>
      <c r="B157">
        <v>39</v>
      </c>
      <c r="C157" t="s">
        <v>22</v>
      </c>
      <c r="D157">
        <v>6439</v>
      </c>
      <c r="E157">
        <v>477</v>
      </c>
      <c r="F157">
        <v>959389</v>
      </c>
      <c r="G157">
        <v>7.4744446725989153</v>
      </c>
      <c r="H157" t="s">
        <v>348</v>
      </c>
      <c r="I157">
        <v>5962</v>
      </c>
      <c r="J157">
        <v>44742</v>
      </c>
    </row>
    <row r="158" spans="1:10" x14ac:dyDescent="0.3">
      <c r="A158">
        <v>45719</v>
      </c>
      <c r="B158">
        <v>40</v>
      </c>
      <c r="C158" t="s">
        <v>13</v>
      </c>
      <c r="D158">
        <v>7511</v>
      </c>
      <c r="E158">
        <v>880</v>
      </c>
      <c r="F158">
        <v>966020</v>
      </c>
      <c r="G158">
        <v>4.6083932009689246</v>
      </c>
      <c r="H158" t="s">
        <v>352</v>
      </c>
      <c r="I158">
        <v>6631</v>
      </c>
      <c r="J158">
        <v>29675</v>
      </c>
    </row>
    <row r="159" spans="1:10" x14ac:dyDescent="0.3">
      <c r="A159">
        <v>45719</v>
      </c>
      <c r="B159">
        <v>40</v>
      </c>
      <c r="C159" t="s">
        <v>18</v>
      </c>
      <c r="D159">
        <v>8504</v>
      </c>
      <c r="E159">
        <v>1072</v>
      </c>
      <c r="F159">
        <v>973452</v>
      </c>
      <c r="G159">
        <v>6.5651927367759271</v>
      </c>
      <c r="H159" t="s">
        <v>348</v>
      </c>
      <c r="I159">
        <v>7432</v>
      </c>
      <c r="J159">
        <v>18461</v>
      </c>
    </row>
    <row r="160" spans="1:10" x14ac:dyDescent="0.3">
      <c r="A160">
        <v>45719</v>
      </c>
      <c r="B160">
        <v>40</v>
      </c>
      <c r="C160" t="s">
        <v>40</v>
      </c>
      <c r="D160">
        <v>2246</v>
      </c>
      <c r="E160">
        <v>165</v>
      </c>
      <c r="F160">
        <v>975533</v>
      </c>
      <c r="G160">
        <v>2.9062061457685191</v>
      </c>
      <c r="H160" t="s">
        <v>348</v>
      </c>
      <c r="I160">
        <v>2081</v>
      </c>
      <c r="J160">
        <v>27015</v>
      </c>
    </row>
    <row r="161" spans="1:10" x14ac:dyDescent="0.3">
      <c r="A161">
        <v>45719</v>
      </c>
      <c r="B161">
        <v>40</v>
      </c>
      <c r="C161" t="s">
        <v>40</v>
      </c>
      <c r="D161">
        <v>4839</v>
      </c>
      <c r="E161">
        <v>594</v>
      </c>
      <c r="F161">
        <v>979778</v>
      </c>
      <c r="G161">
        <v>2.5803804535313102</v>
      </c>
      <c r="H161" t="s">
        <v>350</v>
      </c>
      <c r="I161">
        <v>4245</v>
      </c>
      <c r="J161">
        <v>42591</v>
      </c>
    </row>
    <row r="162" spans="1:10" x14ac:dyDescent="0.3">
      <c r="A162">
        <v>45726</v>
      </c>
      <c r="B162">
        <v>41</v>
      </c>
      <c r="C162" t="s">
        <v>40</v>
      </c>
      <c r="D162">
        <v>9551</v>
      </c>
      <c r="E162">
        <v>828</v>
      </c>
      <c r="F162">
        <v>988501</v>
      </c>
      <c r="G162">
        <v>1.525036393488727</v>
      </c>
      <c r="H162" t="s">
        <v>350</v>
      </c>
      <c r="I162">
        <v>8723</v>
      </c>
      <c r="J162">
        <v>38047</v>
      </c>
    </row>
    <row r="163" spans="1:10" x14ac:dyDescent="0.3">
      <c r="A163">
        <v>45726</v>
      </c>
      <c r="B163">
        <v>41</v>
      </c>
      <c r="C163" t="s">
        <v>22</v>
      </c>
      <c r="D163">
        <v>3376</v>
      </c>
      <c r="E163">
        <v>382</v>
      </c>
      <c r="F163">
        <v>991495</v>
      </c>
      <c r="G163">
        <v>3.8694093263203548</v>
      </c>
      <c r="H163" t="s">
        <v>348</v>
      </c>
      <c r="I163">
        <v>2994</v>
      </c>
      <c r="J163">
        <v>44782</v>
      </c>
    </row>
    <row r="164" spans="1:10" x14ac:dyDescent="0.3">
      <c r="A164">
        <v>45726</v>
      </c>
      <c r="B164">
        <v>41</v>
      </c>
      <c r="C164" t="s">
        <v>13</v>
      </c>
      <c r="D164">
        <v>4009</v>
      </c>
      <c r="E164">
        <v>454</v>
      </c>
      <c r="F164">
        <v>995050</v>
      </c>
      <c r="G164">
        <v>2.1106477061454201</v>
      </c>
      <c r="H164" t="s">
        <v>348</v>
      </c>
      <c r="I164">
        <v>3555</v>
      </c>
      <c r="J164">
        <v>19833</v>
      </c>
    </row>
    <row r="165" spans="1:10" x14ac:dyDescent="0.3">
      <c r="A165">
        <v>45726</v>
      </c>
      <c r="B165">
        <v>41</v>
      </c>
      <c r="C165" t="s">
        <v>18</v>
      </c>
      <c r="D165">
        <v>2827</v>
      </c>
      <c r="E165">
        <v>292</v>
      </c>
      <c r="F165">
        <v>997585</v>
      </c>
      <c r="G165">
        <v>2.4004972007397871</v>
      </c>
      <c r="H165" t="s">
        <v>348</v>
      </c>
      <c r="I165">
        <v>2535</v>
      </c>
      <c r="J165">
        <v>17896</v>
      </c>
    </row>
    <row r="166" spans="1:10" x14ac:dyDescent="0.3">
      <c r="A166">
        <v>45733</v>
      </c>
      <c r="B166">
        <v>42</v>
      </c>
      <c r="C166" t="s">
        <v>18</v>
      </c>
      <c r="D166">
        <v>7979</v>
      </c>
      <c r="E166">
        <v>470</v>
      </c>
      <c r="F166">
        <v>1005094</v>
      </c>
      <c r="G166">
        <v>10.43086517280971</v>
      </c>
      <c r="H166" t="s">
        <v>348</v>
      </c>
      <c r="I166">
        <v>7509</v>
      </c>
      <c r="J166">
        <v>42972</v>
      </c>
    </row>
    <row r="167" spans="1:10" x14ac:dyDescent="0.3">
      <c r="A167">
        <v>45733</v>
      </c>
      <c r="B167">
        <v>42</v>
      </c>
      <c r="C167" t="s">
        <v>22</v>
      </c>
      <c r="D167">
        <v>9569</v>
      </c>
      <c r="E167">
        <v>1277</v>
      </c>
      <c r="F167">
        <v>1013386</v>
      </c>
      <c r="G167">
        <v>12.45517502708741</v>
      </c>
      <c r="H167" t="s">
        <v>348</v>
      </c>
      <c r="I167">
        <v>8292</v>
      </c>
      <c r="J167">
        <v>59733</v>
      </c>
    </row>
    <row r="168" spans="1:10" x14ac:dyDescent="0.3">
      <c r="A168">
        <v>45733</v>
      </c>
      <c r="B168">
        <v>42</v>
      </c>
      <c r="C168" t="s">
        <v>18</v>
      </c>
      <c r="D168">
        <v>5285</v>
      </c>
      <c r="E168">
        <v>433</v>
      </c>
      <c r="F168">
        <v>1018238</v>
      </c>
      <c r="G168">
        <v>8.7022876773406619</v>
      </c>
      <c r="H168" t="s">
        <v>348</v>
      </c>
      <c r="I168">
        <v>4852</v>
      </c>
      <c r="J168">
        <v>51800</v>
      </c>
    </row>
    <row r="169" spans="1:10" x14ac:dyDescent="0.3">
      <c r="A169">
        <v>45733</v>
      </c>
      <c r="B169">
        <v>42</v>
      </c>
      <c r="C169" t="s">
        <v>18</v>
      </c>
      <c r="D169">
        <v>7910</v>
      </c>
      <c r="E169">
        <v>543</v>
      </c>
      <c r="F169">
        <v>1025605</v>
      </c>
      <c r="G169">
        <v>6.0590578244060822</v>
      </c>
      <c r="H169" t="s">
        <v>351</v>
      </c>
      <c r="I169">
        <v>7367</v>
      </c>
      <c r="J169">
        <v>40508</v>
      </c>
    </row>
    <row r="170" spans="1:10" x14ac:dyDescent="0.3">
      <c r="A170">
        <v>45740</v>
      </c>
      <c r="B170">
        <v>43</v>
      </c>
      <c r="C170" t="s">
        <v>18</v>
      </c>
      <c r="D170">
        <v>9561</v>
      </c>
      <c r="E170">
        <v>517</v>
      </c>
      <c r="F170">
        <v>1034649</v>
      </c>
      <c r="G170">
        <v>6.4086467971263694</v>
      </c>
      <c r="H170" t="s">
        <v>351</v>
      </c>
      <c r="I170">
        <v>9044</v>
      </c>
      <c r="J170">
        <v>15347</v>
      </c>
    </row>
    <row r="171" spans="1:10" x14ac:dyDescent="0.3">
      <c r="A171">
        <v>45740</v>
      </c>
      <c r="B171">
        <v>43</v>
      </c>
      <c r="C171" t="s">
        <v>18</v>
      </c>
      <c r="D171">
        <v>3196</v>
      </c>
      <c r="E171">
        <v>348</v>
      </c>
      <c r="F171">
        <v>1037497</v>
      </c>
      <c r="G171">
        <v>14.03040201562029</v>
      </c>
      <c r="H171" t="s">
        <v>351</v>
      </c>
      <c r="I171">
        <v>2848</v>
      </c>
      <c r="J171">
        <v>40314</v>
      </c>
    </row>
    <row r="172" spans="1:10" x14ac:dyDescent="0.3">
      <c r="A172">
        <v>45740</v>
      </c>
      <c r="B172">
        <v>43</v>
      </c>
      <c r="C172" t="s">
        <v>13</v>
      </c>
      <c r="D172">
        <v>4747</v>
      </c>
      <c r="E172">
        <v>558</v>
      </c>
      <c r="F172">
        <v>1041686</v>
      </c>
      <c r="G172">
        <v>5.7680529449373434</v>
      </c>
      <c r="H172" t="s">
        <v>351</v>
      </c>
      <c r="I172">
        <v>4189</v>
      </c>
      <c r="J172">
        <v>12643</v>
      </c>
    </row>
    <row r="173" spans="1:10" x14ac:dyDescent="0.3">
      <c r="A173">
        <v>45740</v>
      </c>
      <c r="B173">
        <v>43</v>
      </c>
      <c r="C173" t="s">
        <v>18</v>
      </c>
      <c r="D173">
        <v>9843</v>
      </c>
      <c r="E173">
        <v>508</v>
      </c>
      <c r="F173">
        <v>1051021</v>
      </c>
      <c r="G173">
        <v>4.2080986012648651</v>
      </c>
      <c r="H173" t="s">
        <v>352</v>
      </c>
      <c r="I173">
        <v>9335</v>
      </c>
      <c r="J173">
        <v>50785</v>
      </c>
    </row>
    <row r="174" spans="1:10" x14ac:dyDescent="0.3">
      <c r="A174">
        <v>45747</v>
      </c>
      <c r="B174">
        <v>44</v>
      </c>
      <c r="C174" t="s">
        <v>40</v>
      </c>
      <c r="D174">
        <v>6978</v>
      </c>
      <c r="E174">
        <v>706</v>
      </c>
      <c r="F174">
        <v>1057293</v>
      </c>
      <c r="G174">
        <v>5.057443868445171</v>
      </c>
      <c r="H174" t="s">
        <v>352</v>
      </c>
      <c r="I174">
        <v>6272</v>
      </c>
      <c r="J174">
        <v>28681</v>
      </c>
    </row>
    <row r="175" spans="1:10" x14ac:dyDescent="0.3">
      <c r="A175">
        <v>45747</v>
      </c>
      <c r="B175">
        <v>44</v>
      </c>
      <c r="C175" t="s">
        <v>22</v>
      </c>
      <c r="D175">
        <v>6607</v>
      </c>
      <c r="E175">
        <v>479</v>
      </c>
      <c r="F175">
        <v>1063421</v>
      </c>
      <c r="G175">
        <v>5.5892257158735816</v>
      </c>
      <c r="H175" t="s">
        <v>348</v>
      </c>
      <c r="I175">
        <v>6128</v>
      </c>
      <c r="J175">
        <v>48328</v>
      </c>
    </row>
    <row r="176" spans="1:10" x14ac:dyDescent="0.3">
      <c r="A176">
        <v>45747</v>
      </c>
      <c r="B176">
        <v>44</v>
      </c>
      <c r="C176" t="s">
        <v>13</v>
      </c>
      <c r="D176">
        <v>1769</v>
      </c>
      <c r="E176">
        <v>202</v>
      </c>
      <c r="F176">
        <v>1064988</v>
      </c>
      <c r="G176">
        <v>6.5457075572682513</v>
      </c>
      <c r="H176" t="s">
        <v>348</v>
      </c>
      <c r="I176">
        <v>1567</v>
      </c>
      <c r="J176">
        <v>25892</v>
      </c>
    </row>
    <row r="177" spans="1:10" x14ac:dyDescent="0.3">
      <c r="A177">
        <v>45747</v>
      </c>
      <c r="B177">
        <v>44</v>
      </c>
      <c r="C177" t="s">
        <v>18</v>
      </c>
      <c r="D177">
        <v>1780</v>
      </c>
      <c r="E177">
        <v>120</v>
      </c>
      <c r="F177">
        <v>1066648</v>
      </c>
      <c r="G177">
        <v>13.86474263299608</v>
      </c>
      <c r="H177" t="s">
        <v>350</v>
      </c>
      <c r="I177">
        <v>1660</v>
      </c>
      <c r="J177">
        <v>57299</v>
      </c>
    </row>
    <row r="178" spans="1:10" x14ac:dyDescent="0.3">
      <c r="A178">
        <v>45754</v>
      </c>
      <c r="B178">
        <v>45</v>
      </c>
      <c r="C178" t="s">
        <v>13</v>
      </c>
      <c r="D178">
        <v>7303</v>
      </c>
      <c r="E178">
        <v>869</v>
      </c>
      <c r="F178">
        <v>1073082</v>
      </c>
      <c r="G178">
        <v>8.1237966902808925</v>
      </c>
      <c r="H178" t="s">
        <v>350</v>
      </c>
      <c r="I178">
        <v>6434</v>
      </c>
      <c r="J178">
        <v>27073</v>
      </c>
    </row>
    <row r="179" spans="1:10" x14ac:dyDescent="0.3">
      <c r="A179">
        <v>45754</v>
      </c>
      <c r="B179">
        <v>45</v>
      </c>
      <c r="C179" t="s">
        <v>18</v>
      </c>
      <c r="D179">
        <v>4983</v>
      </c>
      <c r="E179">
        <v>441</v>
      </c>
      <c r="F179">
        <v>1077624</v>
      </c>
      <c r="G179">
        <v>6.8954477628560609</v>
      </c>
      <c r="H179" t="s">
        <v>348</v>
      </c>
      <c r="I179">
        <v>4542</v>
      </c>
      <c r="J179">
        <v>46768</v>
      </c>
    </row>
    <row r="180" spans="1:10" x14ac:dyDescent="0.3">
      <c r="A180">
        <v>45754</v>
      </c>
      <c r="B180">
        <v>45</v>
      </c>
      <c r="C180" t="s">
        <v>40</v>
      </c>
      <c r="D180">
        <v>9714</v>
      </c>
      <c r="E180">
        <v>1395</v>
      </c>
      <c r="F180">
        <v>1085943</v>
      </c>
      <c r="G180">
        <v>5.2243073531483697</v>
      </c>
      <c r="H180" t="s">
        <v>348</v>
      </c>
      <c r="I180">
        <v>8319</v>
      </c>
      <c r="J180">
        <v>40682</v>
      </c>
    </row>
    <row r="181" spans="1:10" x14ac:dyDescent="0.3">
      <c r="A181">
        <v>45754</v>
      </c>
      <c r="B181">
        <v>45</v>
      </c>
      <c r="C181" t="s">
        <v>22</v>
      </c>
      <c r="D181">
        <v>1521</v>
      </c>
      <c r="E181">
        <v>96</v>
      </c>
      <c r="F181">
        <v>1087368</v>
      </c>
      <c r="G181">
        <v>12.709772588488899</v>
      </c>
      <c r="H181" t="s">
        <v>351</v>
      </c>
      <c r="I181">
        <v>1425</v>
      </c>
      <c r="J181">
        <v>42262</v>
      </c>
    </row>
    <row r="182" spans="1:10" x14ac:dyDescent="0.3">
      <c r="A182">
        <v>45761</v>
      </c>
      <c r="B182">
        <v>46</v>
      </c>
      <c r="C182" t="s">
        <v>18</v>
      </c>
      <c r="D182">
        <v>8569</v>
      </c>
      <c r="E182">
        <v>720</v>
      </c>
      <c r="F182">
        <v>1095217</v>
      </c>
      <c r="G182">
        <v>9.589697749395782</v>
      </c>
      <c r="H182" t="s">
        <v>349</v>
      </c>
      <c r="I182">
        <v>7849</v>
      </c>
      <c r="J182">
        <v>41358</v>
      </c>
    </row>
    <row r="183" spans="1:10" x14ac:dyDescent="0.3">
      <c r="A183">
        <v>45761</v>
      </c>
      <c r="B183">
        <v>46</v>
      </c>
      <c r="C183" t="s">
        <v>18</v>
      </c>
      <c r="D183">
        <v>6784</v>
      </c>
      <c r="E183">
        <v>416</v>
      </c>
      <c r="F183">
        <v>1101585</v>
      </c>
      <c r="G183">
        <v>9.3041390360253633</v>
      </c>
      <c r="H183" t="s">
        <v>349</v>
      </c>
      <c r="I183">
        <v>6368</v>
      </c>
      <c r="J183">
        <v>24289</v>
      </c>
    </row>
    <row r="184" spans="1:10" x14ac:dyDescent="0.3">
      <c r="A184">
        <v>45761</v>
      </c>
      <c r="B184">
        <v>46</v>
      </c>
      <c r="C184" t="s">
        <v>18</v>
      </c>
      <c r="D184">
        <v>5583</v>
      </c>
      <c r="E184">
        <v>795</v>
      </c>
      <c r="F184">
        <v>1106373</v>
      </c>
      <c r="G184">
        <v>12.21550055903389</v>
      </c>
      <c r="H184" t="s">
        <v>351</v>
      </c>
      <c r="I184">
        <v>4788</v>
      </c>
      <c r="J184">
        <v>59823</v>
      </c>
    </row>
    <row r="185" spans="1:10" x14ac:dyDescent="0.3">
      <c r="A185">
        <v>45761</v>
      </c>
      <c r="B185">
        <v>46</v>
      </c>
      <c r="C185" t="s">
        <v>18</v>
      </c>
      <c r="D185">
        <v>6946</v>
      </c>
      <c r="E185">
        <v>956</v>
      </c>
      <c r="F185">
        <v>1112363</v>
      </c>
      <c r="G185">
        <v>1.64146056637986</v>
      </c>
      <c r="H185" t="s">
        <v>351</v>
      </c>
      <c r="I185">
        <v>5990</v>
      </c>
      <c r="J185">
        <v>17927</v>
      </c>
    </row>
    <row r="186" spans="1:10" x14ac:dyDescent="0.3">
      <c r="A186">
        <v>45768</v>
      </c>
      <c r="B186">
        <v>47</v>
      </c>
      <c r="C186" t="s">
        <v>22</v>
      </c>
      <c r="D186">
        <v>5941</v>
      </c>
      <c r="E186">
        <v>450</v>
      </c>
      <c r="F186">
        <v>1117854</v>
      </c>
      <c r="G186">
        <v>12.414411899944</v>
      </c>
      <c r="H186" t="s">
        <v>350</v>
      </c>
      <c r="I186">
        <v>5491</v>
      </c>
      <c r="J186">
        <v>58330</v>
      </c>
    </row>
    <row r="187" spans="1:10" x14ac:dyDescent="0.3">
      <c r="A187">
        <v>45768</v>
      </c>
      <c r="B187">
        <v>47</v>
      </c>
      <c r="C187" t="s">
        <v>22</v>
      </c>
      <c r="D187">
        <v>7267</v>
      </c>
      <c r="E187">
        <v>842</v>
      </c>
      <c r="F187">
        <v>1124279</v>
      </c>
      <c r="G187">
        <v>2.2102165031989389</v>
      </c>
      <c r="H187" t="s">
        <v>350</v>
      </c>
      <c r="I187">
        <v>6425</v>
      </c>
      <c r="J187">
        <v>11171</v>
      </c>
    </row>
    <row r="188" spans="1:10" x14ac:dyDescent="0.3">
      <c r="A188">
        <v>45768</v>
      </c>
      <c r="B188">
        <v>47</v>
      </c>
      <c r="C188" t="s">
        <v>40</v>
      </c>
      <c r="D188">
        <v>8128</v>
      </c>
      <c r="E188">
        <v>1070</v>
      </c>
      <c r="F188">
        <v>1131337</v>
      </c>
      <c r="G188">
        <v>8.1114645768679008</v>
      </c>
      <c r="H188" t="s">
        <v>352</v>
      </c>
      <c r="I188">
        <v>7058</v>
      </c>
      <c r="J188">
        <v>21918</v>
      </c>
    </row>
    <row r="189" spans="1:10" x14ac:dyDescent="0.3">
      <c r="A189">
        <v>45768</v>
      </c>
      <c r="B189">
        <v>47</v>
      </c>
      <c r="C189" t="s">
        <v>22</v>
      </c>
      <c r="D189">
        <v>3461</v>
      </c>
      <c r="E189">
        <v>365</v>
      </c>
      <c r="F189">
        <v>1134433</v>
      </c>
      <c r="G189">
        <v>10.23489267325616</v>
      </c>
      <c r="H189" t="s">
        <v>352</v>
      </c>
      <c r="I189">
        <v>3096</v>
      </c>
      <c r="J189">
        <v>51903</v>
      </c>
    </row>
    <row r="190" spans="1:10" x14ac:dyDescent="0.3">
      <c r="A190">
        <v>45775</v>
      </c>
      <c r="B190">
        <v>48</v>
      </c>
      <c r="C190" t="s">
        <v>18</v>
      </c>
      <c r="D190">
        <v>1685</v>
      </c>
      <c r="E190">
        <v>173</v>
      </c>
      <c r="F190">
        <v>1135945</v>
      </c>
      <c r="G190">
        <v>8.7776256772995165</v>
      </c>
      <c r="H190" t="s">
        <v>348</v>
      </c>
      <c r="I190">
        <v>1512</v>
      </c>
      <c r="J190">
        <v>49110</v>
      </c>
    </row>
    <row r="191" spans="1:10" x14ac:dyDescent="0.3">
      <c r="A191">
        <v>45775</v>
      </c>
      <c r="B191">
        <v>48</v>
      </c>
      <c r="C191" t="s">
        <v>40</v>
      </c>
      <c r="D191">
        <v>3160</v>
      </c>
      <c r="E191">
        <v>234</v>
      </c>
      <c r="F191">
        <v>1138871</v>
      </c>
      <c r="G191">
        <v>5.6959041015180816</v>
      </c>
      <c r="H191" t="s">
        <v>348</v>
      </c>
      <c r="I191">
        <v>2926</v>
      </c>
      <c r="J191">
        <v>21929</v>
      </c>
    </row>
    <row r="192" spans="1:10" x14ac:dyDescent="0.3">
      <c r="A192">
        <v>45775</v>
      </c>
      <c r="B192">
        <v>48</v>
      </c>
      <c r="C192" t="s">
        <v>40</v>
      </c>
      <c r="D192">
        <v>8031</v>
      </c>
      <c r="E192">
        <v>476</v>
      </c>
      <c r="F192">
        <v>1146426</v>
      </c>
      <c r="G192">
        <v>11.940413075069831</v>
      </c>
      <c r="H192" t="s">
        <v>350</v>
      </c>
      <c r="I192">
        <v>7555</v>
      </c>
      <c r="J192">
        <v>12539</v>
      </c>
    </row>
    <row r="193" spans="1:10" x14ac:dyDescent="0.3">
      <c r="A193">
        <v>45775</v>
      </c>
      <c r="B193">
        <v>48</v>
      </c>
      <c r="C193" t="s">
        <v>40</v>
      </c>
      <c r="D193">
        <v>6341</v>
      </c>
      <c r="E193">
        <v>885</v>
      </c>
      <c r="F193">
        <v>1151882</v>
      </c>
      <c r="G193">
        <v>6.3457020771224837</v>
      </c>
      <c r="H193" t="s">
        <v>350</v>
      </c>
      <c r="I193">
        <v>5456</v>
      </c>
      <c r="J193">
        <v>46727</v>
      </c>
    </row>
    <row r="194" spans="1:10" x14ac:dyDescent="0.3">
      <c r="A194">
        <v>45782</v>
      </c>
      <c r="B194">
        <v>49</v>
      </c>
      <c r="C194" t="s">
        <v>18</v>
      </c>
      <c r="D194">
        <v>1038</v>
      </c>
      <c r="E194">
        <v>145</v>
      </c>
      <c r="F194">
        <v>1152775</v>
      </c>
      <c r="G194">
        <v>11.093752033137431</v>
      </c>
      <c r="H194" t="s">
        <v>351</v>
      </c>
      <c r="I194">
        <v>893</v>
      </c>
      <c r="J194">
        <v>55951</v>
      </c>
    </row>
    <row r="195" spans="1:10" x14ac:dyDescent="0.3">
      <c r="A195">
        <v>45782</v>
      </c>
      <c r="B195">
        <v>49</v>
      </c>
      <c r="C195" t="s">
        <v>13</v>
      </c>
      <c r="D195">
        <v>5875</v>
      </c>
      <c r="E195">
        <v>665</v>
      </c>
      <c r="F195">
        <v>1157985</v>
      </c>
      <c r="G195">
        <v>6.9871371390821126</v>
      </c>
      <c r="H195" t="s">
        <v>351</v>
      </c>
      <c r="I195">
        <v>5210</v>
      </c>
      <c r="J195">
        <v>32669</v>
      </c>
    </row>
    <row r="196" spans="1:10" x14ac:dyDescent="0.3">
      <c r="A196">
        <v>45782</v>
      </c>
      <c r="B196">
        <v>49</v>
      </c>
      <c r="C196" t="s">
        <v>18</v>
      </c>
      <c r="D196">
        <v>2256</v>
      </c>
      <c r="E196">
        <v>189</v>
      </c>
      <c r="F196">
        <v>1160052</v>
      </c>
      <c r="G196">
        <v>2.8935771844710412</v>
      </c>
      <c r="H196" t="s">
        <v>351</v>
      </c>
      <c r="I196">
        <v>2067</v>
      </c>
      <c r="J196">
        <v>15432</v>
      </c>
    </row>
    <row r="197" spans="1:10" x14ac:dyDescent="0.3">
      <c r="A197">
        <v>45782</v>
      </c>
      <c r="B197">
        <v>49</v>
      </c>
      <c r="C197" t="s">
        <v>22</v>
      </c>
      <c r="D197">
        <v>8697</v>
      </c>
      <c r="E197">
        <v>738</v>
      </c>
      <c r="F197">
        <v>1168011</v>
      </c>
      <c r="G197">
        <v>3.8777032065622672</v>
      </c>
      <c r="H197" t="s">
        <v>351</v>
      </c>
      <c r="I197">
        <v>7959</v>
      </c>
      <c r="J197">
        <v>30644</v>
      </c>
    </row>
    <row r="198" spans="1:10" x14ac:dyDescent="0.3">
      <c r="A198">
        <v>45789</v>
      </c>
      <c r="B198">
        <v>50</v>
      </c>
      <c r="C198" t="s">
        <v>22</v>
      </c>
      <c r="D198">
        <v>3196</v>
      </c>
      <c r="E198">
        <v>391</v>
      </c>
      <c r="F198">
        <v>1170816</v>
      </c>
      <c r="G198">
        <v>7.2439221876024931</v>
      </c>
      <c r="H198" t="s">
        <v>350</v>
      </c>
      <c r="I198">
        <v>2805</v>
      </c>
      <c r="J198">
        <v>28745</v>
      </c>
    </row>
    <row r="199" spans="1:10" x14ac:dyDescent="0.3">
      <c r="A199">
        <v>45789</v>
      </c>
      <c r="B199">
        <v>50</v>
      </c>
      <c r="C199" t="s">
        <v>18</v>
      </c>
      <c r="D199">
        <v>8165</v>
      </c>
      <c r="E199">
        <v>1140</v>
      </c>
      <c r="F199">
        <v>1177841</v>
      </c>
      <c r="G199">
        <v>9.095964565675672</v>
      </c>
      <c r="H199" t="s">
        <v>350</v>
      </c>
      <c r="I199">
        <v>7025</v>
      </c>
      <c r="J199">
        <v>38228</v>
      </c>
    </row>
    <row r="200" spans="1:10" x14ac:dyDescent="0.3">
      <c r="A200">
        <v>45789</v>
      </c>
      <c r="B200">
        <v>50</v>
      </c>
      <c r="C200" t="s">
        <v>18</v>
      </c>
      <c r="D200">
        <v>1301</v>
      </c>
      <c r="E200">
        <v>180</v>
      </c>
      <c r="F200">
        <v>1178962</v>
      </c>
      <c r="G200">
        <v>5.2275645864752214</v>
      </c>
      <c r="H200" t="s">
        <v>352</v>
      </c>
      <c r="I200">
        <v>1121</v>
      </c>
      <c r="J200">
        <v>44521</v>
      </c>
    </row>
    <row r="201" spans="1:10" x14ac:dyDescent="0.3">
      <c r="A201">
        <v>45789</v>
      </c>
      <c r="B201">
        <v>50</v>
      </c>
      <c r="C201" t="s">
        <v>40</v>
      </c>
      <c r="D201">
        <v>8527</v>
      </c>
      <c r="E201">
        <v>1091</v>
      </c>
      <c r="F201">
        <v>1186398</v>
      </c>
      <c r="G201">
        <v>1.676081719625286</v>
      </c>
      <c r="H201" t="s">
        <v>350</v>
      </c>
      <c r="I201">
        <v>7436</v>
      </c>
      <c r="J201">
        <v>41703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8EB0B-CDF8-4B87-A483-A727CA02B796}">
  <dimension ref="A2:A3"/>
  <sheetViews>
    <sheetView workbookViewId="0">
      <selection activeCell="A13" sqref="A13"/>
    </sheetView>
  </sheetViews>
  <sheetFormatPr defaultRowHeight="14.4" x14ac:dyDescent="0.3"/>
  <cols>
    <col min="1" max="1" width="79" bestFit="1" customWidth="1"/>
  </cols>
  <sheetData>
    <row r="2" spans="1:1" x14ac:dyDescent="0.3">
      <c r="A2" t="s">
        <v>485</v>
      </c>
    </row>
    <row r="3" spans="1:1" x14ac:dyDescent="0.3">
      <c r="A3" s="82" t="s">
        <v>484</v>
      </c>
    </row>
  </sheetData>
  <hyperlinks>
    <hyperlink ref="A3" r:id="rId1" xr:uid="{5C9AD5C0-266A-493A-8494-30430CB53DD4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5888760-DB40-4FF0-93AB-8B0136479AD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Posts</vt:lpstr>
      <vt:lpstr>Engagement Summary</vt:lpstr>
      <vt:lpstr>Campaign Management</vt:lpstr>
      <vt:lpstr>Task 1</vt:lpstr>
      <vt:lpstr>Task 2</vt:lpstr>
      <vt:lpstr>Task 2.3.1</vt:lpstr>
      <vt:lpstr>Task 2.3.2</vt:lpstr>
      <vt:lpstr>Task 2.4</vt:lpstr>
      <vt:lpstr>Task 2.4.1</vt:lpstr>
      <vt:lpstr>Task 3.1</vt:lpstr>
      <vt:lpstr>Task 3.2 &amp; 3.4</vt:lpstr>
      <vt:lpstr>Task 4</vt:lpstr>
      <vt:lpstr>Task 5.1.1</vt:lpstr>
      <vt:lpstr>Task 5.2.1</vt:lpstr>
      <vt:lpstr>Task 5.2.2</vt:lpstr>
      <vt:lpstr>Task 6.1</vt:lpstr>
      <vt:lpstr>Task 6.2</vt:lpstr>
      <vt:lpstr>Task 6.4</vt:lpstr>
      <vt:lpstr>Task 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Nandini More</dc:creator>
  <cp:lastModifiedBy>Nandini More</cp:lastModifiedBy>
  <dcterms:created xsi:type="dcterms:W3CDTF">2025-11-14T03:52:34Z</dcterms:created>
  <dcterms:modified xsi:type="dcterms:W3CDTF">2025-11-17T18:23:37Z</dcterms:modified>
</cp:coreProperties>
</file>